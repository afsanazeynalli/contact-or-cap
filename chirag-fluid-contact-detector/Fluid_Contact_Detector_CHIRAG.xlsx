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75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_Data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Contact_Detector" sheetId="4" state="visible" r:id="rId4"/>
    <sheet xmlns:r="http://schemas.openxmlformats.org/officeDocument/2006/relationships" name="Contact_Summary" sheetId="5" state="visible" r:id="rId5"/>
    <sheet xmlns:r="http://schemas.openxmlformats.org/officeDocument/2006/relationships" name="Methodology" sheetId="6" state="visible" r:id="rId6"/>
  </sheets>
  <definedNames>
    <definedName name="_xlnm._FilterDatabase" localSheetId="1" hidden="1">'Master_Data'!$A$1:$V$1001</definedName>
    <definedName name="_xlnm._FilterDatabase" localSheetId="3" hidden="1">'Contact_Detector'!$A$1:$Q$1000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charset val="186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17365D"/>
    </font>
    <font>
      <b val="1"/>
    </font>
    <font>
      <b val="1"/>
      <color rgb="00FFFFFF"/>
      <sz val="18"/>
    </font>
    <font>
      <b val="1"/>
      <sz val="14"/>
    </font>
    <font>
      <b val="1"/>
      <color rgb="0017365D"/>
      <sz val="14"/>
    </font>
    <font>
      <b val="1"/>
      <color rgb="00ED7D31"/>
      <sz val="14"/>
    </font>
    <font>
      <b val="1"/>
      <color rgb="0017365D"/>
      <sz val="13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DF2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6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2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2" fontId="0" fillId="0" borderId="2" applyAlignment="1" pivotButton="0" quotePrefix="0" xfId="0">
      <alignment vertical="center"/>
    </xf>
    <xf numFmtId="0" fontId="2" fillId="2" borderId="0" pivotButton="0" quotePrefix="0" xfId="0"/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9" fontId="0" fillId="0" borderId="2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2" applyAlignment="1" pivotButton="0" quotePrefix="0" xfId="0">
      <alignment vertical="center" wrapText="1"/>
    </xf>
    <xf numFmtId="2" fontId="0" fillId="0" borderId="2" applyAlignment="1" pivotButton="0" quotePrefix="0" xfId="0">
      <alignment vertical="center" wrapText="1"/>
    </xf>
    <xf numFmtId="0" fontId="9" fillId="0" borderId="0" pivotButton="0" quotePrefix="0" xfId="0"/>
  </cellXfs>
  <cellStyles count="1">
    <cellStyle name="Normal" xfId="0" builtinId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Median OWC Candidate TVD by Well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'Contact_Summary'!G1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'Contact_Summary'!$A$2:$A$21</f>
            </numRef>
          </cat>
          <val>
            <numRef>
              <f>'Contact_Summary'!$G$2:$G$21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TVD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sterDataTable" displayName="MasterDataTable" ref="A1:V1001" headerRowCount="1">
  <autoFilter ref="A1:V1001"/>
  <tableColumns count="22">
    <tableColumn id="1" name="Well"/>
    <tableColumn id="2" name="Formation"/>
    <tableColumn id="3" name="TVD_SCS"/>
    <tableColumn id="4" name="MD"/>
    <tableColumn id="5" name="PHIT"/>
    <tableColumn id="6" name="Av_PERM"/>
    <tableColumn id="7" name="Sw"/>
    <tableColumn id="8" name="Gross TST"/>
    <tableColumn id="9" name="NTG"/>
    <tableColumn id="10" name="Net_ROCK"/>
    <tableColumn id="11" name="Net_RES"/>
    <tableColumn id="12" name="Net_PAY"/>
    <tableColumn id="13" name="Fluids"/>
    <tableColumn id="14" name="Comment"/>
    <tableColumn id="15" name="TST_S (optional)"/>
    <tableColumn id="16" name="Fluid_Override (optional)"/>
    <tableColumn id="17" name="Fluid_Class"/>
    <tableColumn id="18" name="Top_TVD"/>
    <tableColumn id="19" name="Base_TVD"/>
    <tableColumn id="20" name="Contact_Unc_m"/>
    <tableColumn id="21" name="Data_Quality"/>
    <tableColumn id="22" name="Detector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tactDetectorTable" displayName="ContactDetectorTable" ref="A1:Q1000" headerRowCount="1">
  <autoFilter ref="A1:Q1000"/>
  <tableColumns count="17">
    <tableColumn id="1" name="Well"/>
    <tableColumn id="2" name="Upper Formation"/>
    <tableColumn id="3" name="Lower Formation"/>
    <tableColumn id="4" name="Upper Fluid"/>
    <tableColumn id="5" name="Lower Fluid"/>
    <tableColumn id="6" name="Contact_Type"/>
    <tableColumn id="7" name="Candidate_Contact_TVD"/>
    <tableColumn id="8" name="Uncertainty_m"/>
    <tableColumn id="9" name="Low_TVD"/>
    <tableColumn id="10" name="High_TVD"/>
    <tableColumn id="11" name="Upper_Sw"/>
    <tableColumn id="12" name="Lower_Sw"/>
    <tableColumn id="13" name="Delta_Sw"/>
    <tableColumn id="14" name="Sw_Check"/>
    <tableColumn id="15" name="Contact_Screening_Score"/>
    <tableColumn id="16" name="Evidence_Flag"/>
    <tableColumn id="17" name="Action / Interpretation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ContactSummaryTable" displayName="ContactSummaryTable" ref="A1:M21" headerRowCount="1">
  <autoFilter ref="A1:M21"/>
  <tableColumns count="13">
    <tableColumn id="1" name="Well"/>
    <tableColumn id="2" name="GOC count"/>
    <tableColumn id="3" name="GOC median TVD"/>
    <tableColumn id="4" name="GOC P10"/>
    <tableColumn id="5" name="GOC P90"/>
    <tableColumn id="6" name="OWC count"/>
    <tableColumn id="7" name="OWC median TVD"/>
    <tableColumn id="8" name="OWC P10"/>
    <tableColumn id="9" name="OWC P90"/>
    <tableColumn id="10" name="GWC count"/>
    <tableColumn id="11" name="GWC median TVD"/>
    <tableColumn id="12" name="GWC P10"/>
    <tableColumn id="13" name="GWC P90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CHIRAG FLOWSCAPE — FLUID CONTACT DETECTOR</t>
        </is>
      </c>
    </row>
    <row r="2">
      <c r="A2" s="3" t="inlineStr">
        <is>
          <t>Purpose: screen candidate GOC/OWC/GWC positions from formation-level fluid observations, TVD and thickness, while propagating a transparent contact-uncertainty envelope.</t>
        </is>
      </c>
    </row>
    <row r="3"/>
    <row r="5">
      <c r="A5" s="4" t="inlineStr">
        <is>
          <t>Input records</t>
        </is>
      </c>
      <c r="B5" s="5">
        <f>COUNTA(Master_Data!A2:A1001)</f>
        <v/>
      </c>
    </row>
    <row r="6">
      <c r="A6" s="4" t="inlineStr">
        <is>
          <t>Direct contact candidates</t>
        </is>
      </c>
      <c r="B6" s="5">
        <f>COUNTIF(Contact_Detector!F2:F1000,"GOC")+COUNTIF(Contact_Detector!F2:F1000,"OWC")+COUNTIF(Contact_Detector!F2:F1000,"GWC")</f>
        <v/>
      </c>
    </row>
    <row r="7">
      <c r="A7" s="4" t="inlineStr">
        <is>
          <t>Transition intervals</t>
        </is>
      </c>
      <c r="B7" s="5">
        <f>COUNTIF(Contact_Detector!F2:F1000,"*TRANSITION*")</f>
        <v/>
      </c>
    </row>
    <row r="8">
      <c r="A8" s="4" t="inlineStr">
        <is>
          <t>Sw conflicts</t>
        </is>
      </c>
      <c r="B8" s="5">
        <f>COUNTIF(Contact_Detector!N2:N1000,"Conflicts")</f>
        <v/>
      </c>
    </row>
    <row r="11">
      <c r="A11" s="6" t="inlineStr">
        <is>
          <t>How to use</t>
        </is>
      </c>
    </row>
    <row r="12" ht="28" customHeight="1">
      <c r="A12" s="3" t="inlineStr">
        <is>
          <t>1. Enter/replace the master well data in Master_Data. Keep records for each well ordered from shallow to deep.</t>
        </is>
      </c>
    </row>
    <row r="13" ht="28" customHeight="1">
      <c r="A13" s="3" t="inlineStr">
        <is>
          <t>2. Enter TVD_SCS and Gross TST. If you have shifted thickness (TST-S), put it in TST_S (optional); the detector will use it preferentially.</t>
        </is>
      </c>
    </row>
    <row r="14" ht="28" customHeight="1">
      <c r="A14" s="3" t="inlineStr">
        <is>
          <t>3. Enter the fluid description in Fluids. The tool classifies it automatically. Use Fluid_Override only when the automatic class is not suitable.</t>
        </is>
      </c>
    </row>
    <row r="15" ht="28" customHeight="1">
      <c r="A15" s="3" t="inlineStr">
        <is>
          <t>4. Review Contact_Detector. Direct adjacent fluid transitions generate candidate GOC/OWC/GWC positions; mixed fluid intervals remain transition intervals.</t>
        </is>
      </c>
    </row>
    <row r="16" ht="28" customHeight="1">
      <c r="A16" s="3" t="inlineStr">
        <is>
          <t>5. Review uncertainty bounds and Sw_Check. A Sw conflict is a diagnostic flag, not proof that the contact is wrong.</t>
        </is>
      </c>
    </row>
    <row r="17" ht="28" customHeight="1">
      <c r="A17" s="3" t="inlineStr">
        <is>
          <t>6. Use Contact_Summary for per-well candidate statistics. These are screening outputs, not calibrated field contacts.</t>
        </is>
      </c>
    </row>
    <row r="18" ht="28" customHeight="1">
      <c r="A18" s="3" t="inlineStr">
        <is>
          <t>7. For the PhD workflow, later add pressure/rate/4D evidence and update the static prior with dynamic evidence/Bayesian analysis.</t>
        </is>
      </c>
    </row>
    <row r="21">
      <c r="A21" s="7" t="inlineStr">
        <is>
          <t>Important scientific note</t>
        </is>
      </c>
    </row>
    <row r="22">
      <c r="A22" s="3" t="inlineStr">
        <is>
          <t>This workbook is a transparent screening tool. It does not establish a measured field contact, a common OWC/GOC, or reservoir connectivity by itself. Your supplied research explicitly treats contact shifts as uncertainty and static connectivity as a prior that should be tested/updated with independent dynamic evidence.</t>
        </is>
      </c>
    </row>
    <row r="23"/>
    <row r="24"/>
    <row r="25"/>
  </sheetData>
  <mergeCells count="10">
    <mergeCell ref="A12:H12"/>
    <mergeCell ref="A18:H18"/>
    <mergeCell ref="A15:H15"/>
    <mergeCell ref="A16:H16"/>
    <mergeCell ref="A2:H3"/>
    <mergeCell ref="A13:H13"/>
    <mergeCell ref="A14:H14"/>
    <mergeCell ref="A1:H1"/>
    <mergeCell ref="A22:H25"/>
    <mergeCell ref="A17:H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1"/>
  <sheetViews>
    <sheetView showGridLines="0" tabSelected="1" workbookViewId="0">
      <pane ySplit="1" topLeftCell="A2" activePane="bottomLeft" state="frozen"/>
      <selection pane="bottomLeft" activeCell="A1" sqref="A1:N29"/>
    </sheetView>
  </sheetViews>
  <sheetFormatPr baseColWidth="8" defaultRowHeight="15"/>
  <cols>
    <col width="10" bestFit="1" customWidth="1" style="1" min="1" max="1"/>
    <col width="24" bestFit="1" customWidth="1" style="1" min="2" max="2"/>
    <col width="12" bestFit="1" customWidth="1" style="1" min="3" max="3"/>
    <col width="12" customWidth="1" style="1" min="4" max="4"/>
    <col width="10" bestFit="1" customWidth="1" style="1" min="5" max="5"/>
    <col width="12" bestFit="1" customWidth="1" style="1" min="6" max="6"/>
    <col width="10" customWidth="1" style="1" min="7" max="7"/>
    <col width="12" bestFit="1" customWidth="1" style="1" min="8" max="8"/>
    <col width="10" bestFit="1" customWidth="1" style="1" min="9" max="9"/>
    <col width="12" customWidth="1" style="1" min="10" max="10"/>
    <col width="12" bestFit="1" customWidth="1" style="1" min="11" max="11"/>
    <col width="12" customWidth="1" style="1" min="12" max="12"/>
    <col width="24" customWidth="1" style="1" min="13" max="13"/>
    <col width="30" bestFit="1" customWidth="1" style="1" min="14" max="14"/>
    <col width="14" customWidth="1" min="15" max="15"/>
    <col width="22" customWidth="1" min="16" max="16"/>
    <col width="16" customWidth="1" min="17" max="17"/>
    <col width="12" customWidth="1" min="18" max="18"/>
    <col width="12" customWidth="1" min="19" max="19"/>
    <col width="14" customWidth="1" min="20" max="20"/>
    <col width="14" customWidth="1" min="21" max="21"/>
    <col width="28" customWidth="1" min="22" max="22"/>
  </cols>
  <sheetData>
    <row r="1" ht="30" customHeight="1">
      <c r="A1" s="8" t="inlineStr">
        <is>
          <t>Well</t>
        </is>
      </c>
      <c r="B1" s="8" t="inlineStr">
        <is>
          <t>Formation</t>
        </is>
      </c>
      <c r="C1" s="8" t="inlineStr">
        <is>
          <t>TVD_SCS</t>
        </is>
      </c>
      <c r="D1" s="8" t="inlineStr">
        <is>
          <t>MD</t>
        </is>
      </c>
      <c r="E1" s="8" t="inlineStr">
        <is>
          <t>PHIT</t>
        </is>
      </c>
      <c r="F1" s="8" t="inlineStr">
        <is>
          <t>Av_PERM</t>
        </is>
      </c>
      <c r="G1" s="8" t="inlineStr">
        <is>
          <t>Sw</t>
        </is>
      </c>
      <c r="H1" s="8" t="inlineStr">
        <is>
          <t>Gross TST</t>
        </is>
      </c>
      <c r="I1" s="8" t="inlineStr">
        <is>
          <t>NTG</t>
        </is>
      </c>
      <c r="J1" s="8" t="inlineStr">
        <is>
          <t>Net_ROCK</t>
        </is>
      </c>
      <c r="K1" s="8" t="inlineStr">
        <is>
          <t>Net_RES</t>
        </is>
      </c>
      <c r="L1" s="8" t="inlineStr">
        <is>
          <t>Net_PAY</t>
        </is>
      </c>
      <c r="M1" s="8" t="inlineStr">
        <is>
          <t>Fluids</t>
        </is>
      </c>
      <c r="N1" s="8" t="inlineStr">
        <is>
          <t>Comment</t>
        </is>
      </c>
      <c r="O1" s="8" t="inlineStr">
        <is>
          <t>TST_S (optional)</t>
        </is>
      </c>
      <c r="P1" s="8" t="inlineStr">
        <is>
          <t>Fluid_Override (optional)</t>
        </is>
      </c>
      <c r="Q1" s="8" t="inlineStr">
        <is>
          <t>Fluid_Class</t>
        </is>
      </c>
      <c r="R1" s="8" t="inlineStr">
        <is>
          <t>Top_TVD</t>
        </is>
      </c>
      <c r="S1" s="8" t="inlineStr">
        <is>
          <t>Base_TVD</t>
        </is>
      </c>
      <c r="T1" s="8" t="inlineStr">
        <is>
          <t>Contact_Unc_m</t>
        </is>
      </c>
      <c r="U1" s="8" t="inlineStr">
        <is>
          <t>Data_Quality</t>
        </is>
      </c>
      <c r="V1" s="8" t="inlineStr">
        <is>
          <t>Detector_Note</t>
        </is>
      </c>
    </row>
    <row r="2">
      <c r="A2" s="9" t="inlineStr">
        <is>
          <t>X1</t>
        </is>
      </c>
      <c r="B2" s="9" t="inlineStr">
        <is>
          <t>Surakhany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9" t="n"/>
      <c r="N2" s="9" t="n"/>
      <c r="O2" s="10" t="n"/>
      <c r="P2" s="9" t="n"/>
      <c r="Q2" s="11">
        <f>IF(P2&lt;&gt;"",P2,IF(M2="","UNKNOWN",IF(AND(ISNUMBER(SEARCH("gas",LOWER(M2))),ISNUMBER(SEARCH("water",LOWER(M2)))),"GAS_WATER",IF(AND(ISNUMBER(SEARCH("oil",LOWER(M2))),ISNUMBER(SEARCH("water",LOWER(M2)))),"OIL_WATER",IF(ISNUMBER(SEARCH("gas",LOWER(M2))),"GAS",IF(ISNUMBER(SEARCH("water",LOWER(M2))),"WATER",IF(ISNUMBER(SEARCH("oil",LOWER(M2))),"OIL","UNKNOWN")))))))</f>
        <v/>
      </c>
      <c r="R2" s="12">
        <f>IF(C2="","",C2)</f>
        <v/>
      </c>
      <c r="S2" s="12">
        <f>IF(R2="","",R2+IF(O2&lt;&gt;"",O2,IF(H2="",0,H2)))</f>
        <v/>
      </c>
      <c r="T2" s="12">
        <f>IF(R2="","",MAX(Settings!$B$3,Settings!$B$4*IF(O2&lt;&gt;"",O2,IF(H2="",0,H2))))</f>
        <v/>
      </c>
      <c r="U2" s="11">
        <f>IF(AND(C2&lt;&gt;"",M2&lt;&gt;"",OR(H2&lt;&gt;"",O2&lt;&gt;"")),"COMPLETE",IF(OR(C2&lt;&gt;"",M2&lt;&gt;""),"PARTIAL","MISSING"))</f>
        <v/>
      </c>
      <c r="V2" s="11">
        <f>IF(Q2="UNKNOWN","Check fluid description",IF(AND(R2&lt;&gt;"",S2&lt;&gt;""),"Ready for contact screening","Needs TVD + thickness"))</f>
        <v/>
      </c>
    </row>
    <row r="3">
      <c r="A3" s="9" t="inlineStr">
        <is>
          <t>X1</t>
        </is>
      </c>
      <c r="B3" s="9" t="inlineStr">
        <is>
          <t>Sabunchi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9" t="n"/>
      <c r="N3" s="9" t="n"/>
      <c r="O3" s="10" t="n"/>
      <c r="P3" s="9" t="n"/>
      <c r="Q3" s="11">
        <f>IF(P3&lt;&gt;"",P3,IF(M3="","UNKNOWN",IF(AND(ISNUMBER(SEARCH("gas",LOWER(M3))),ISNUMBER(SEARCH("water",LOWER(M3)))),"GAS_WATER",IF(AND(ISNUMBER(SEARCH("oil",LOWER(M3))),ISNUMBER(SEARCH("water",LOWER(M3)))),"OIL_WATER",IF(ISNUMBER(SEARCH("gas",LOWER(M3))),"GAS",IF(ISNUMBER(SEARCH("water",LOWER(M3))),"WATER",IF(ISNUMBER(SEARCH("oil",LOWER(M3))),"OIL","UNKNOWN")))))))</f>
        <v/>
      </c>
      <c r="R3" s="12">
        <f>IF(C3="","",C3)</f>
        <v/>
      </c>
      <c r="S3" s="12">
        <f>IF(R3="","",R3+IF(O3&lt;&gt;"",O3,IF(H3="",0,H3)))</f>
        <v/>
      </c>
      <c r="T3" s="12">
        <f>IF(R3="","",MAX(Settings!$B$3,Settings!$B$4*IF(O3&lt;&gt;"",O3,IF(H3="",0,H3))))</f>
        <v/>
      </c>
      <c r="U3" s="11">
        <f>IF(AND(C3&lt;&gt;"",M3&lt;&gt;"",OR(H3&lt;&gt;"",O3&lt;&gt;"")),"COMPLETE",IF(OR(C3&lt;&gt;"",M3&lt;&gt;""),"PARTIAL","MISSING"))</f>
        <v/>
      </c>
      <c r="V3" s="11">
        <f>IF(Q3="UNKNOWN","Check fluid description",IF(AND(R3&lt;&gt;"",S3&lt;&gt;""),"Ready for contact screening","Needs TVD + thickness"))</f>
        <v/>
      </c>
    </row>
    <row r="4">
      <c r="A4" s="9" t="inlineStr">
        <is>
          <t>X1</t>
        </is>
      </c>
      <c r="B4" s="9" t="inlineStr">
        <is>
          <t>Sabunchi GM</t>
        </is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9" t="n"/>
      <c r="N4" s="9" t="n"/>
      <c r="O4" s="10" t="n"/>
      <c r="P4" s="9" t="n"/>
      <c r="Q4" s="11">
        <f>IF(P4&lt;&gt;"",P4,IF(M4="","UNKNOWN",IF(AND(ISNUMBER(SEARCH("gas",LOWER(M4))),ISNUMBER(SEARCH("water",LOWER(M4)))),"GAS_WATER",IF(AND(ISNUMBER(SEARCH("oil",LOWER(M4))),ISNUMBER(SEARCH("water",LOWER(M4)))),"OIL_WATER",IF(ISNUMBER(SEARCH("gas",LOWER(M4))),"GAS",IF(ISNUMBER(SEARCH("water",LOWER(M4))),"WATER",IF(ISNUMBER(SEARCH("oil",LOWER(M4))),"OIL","UNKNOWN")))))))</f>
        <v/>
      </c>
      <c r="R4" s="12">
        <f>IF(C4="","",C4)</f>
        <v/>
      </c>
      <c r="S4" s="12">
        <f>IF(R4="","",R4+IF(O4&lt;&gt;"",O4,IF(H4="",0,H4)))</f>
        <v/>
      </c>
      <c r="T4" s="12">
        <f>IF(R4="","",MAX(Settings!$B$3,Settings!$B$4*IF(O4&lt;&gt;"",O4,IF(H4="",0,H4))))</f>
        <v/>
      </c>
      <c r="U4" s="11">
        <f>IF(AND(C4&lt;&gt;"",M4&lt;&gt;"",OR(H4&lt;&gt;"",O4&lt;&gt;"")),"COMPLETE",IF(OR(C4&lt;&gt;"",M4&lt;&gt;""),"PARTIAL","MISSING"))</f>
        <v/>
      </c>
      <c r="V4" s="11">
        <f>IF(Q4="UNKNOWN","Check fluid description",IF(AND(R4&lt;&gt;"",S4&lt;&gt;""),"Ready for contact screening","Needs TVD + thickness"))</f>
        <v/>
      </c>
    </row>
    <row r="5">
      <c r="A5" s="9" t="inlineStr">
        <is>
          <t>X1</t>
        </is>
      </c>
      <c r="B5" s="9" t="inlineStr">
        <is>
          <t>Balakhany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9" t="n"/>
      <c r="N5" s="9" t="n"/>
      <c r="O5" s="10" t="n"/>
      <c r="P5" s="9" t="n"/>
      <c r="Q5" s="11">
        <f>IF(P5&lt;&gt;"",P5,IF(M5="","UNKNOWN",IF(AND(ISNUMBER(SEARCH("gas",LOWER(M5))),ISNUMBER(SEARCH("water",LOWER(M5)))),"GAS_WATER",IF(AND(ISNUMBER(SEARCH("oil",LOWER(M5))),ISNUMBER(SEARCH("water",LOWER(M5)))),"OIL_WATER",IF(ISNUMBER(SEARCH("gas",LOWER(M5))),"GAS",IF(ISNUMBER(SEARCH("water",LOWER(M5))),"WATER",IF(ISNUMBER(SEARCH("oil",LOWER(M5))),"OIL","UNKNOWN")))))))</f>
        <v/>
      </c>
      <c r="R5" s="12">
        <f>IF(C5="","",C5)</f>
        <v/>
      </c>
      <c r="S5" s="12">
        <f>IF(R5="","",R5+IF(O5&lt;&gt;"",O5,IF(H5="",0,H5)))</f>
        <v/>
      </c>
      <c r="T5" s="12">
        <f>IF(R5="","",MAX(Settings!$B$3,Settings!$B$4*IF(O5&lt;&gt;"",O5,IF(H5="",0,H5))))</f>
        <v/>
      </c>
      <c r="U5" s="11">
        <f>IF(AND(C5&lt;&gt;"",M5&lt;&gt;"",OR(H5&lt;&gt;"",O5&lt;&gt;"")),"COMPLETE",IF(OR(C5&lt;&gt;"",M5&lt;&gt;""),"PARTIAL","MISSING"))</f>
        <v/>
      </c>
      <c r="V5" s="11">
        <f>IF(Q5="UNKNOWN","Check fluid description",IF(AND(R5&lt;&gt;"",S5&lt;&gt;""),"Ready for contact screening","Needs TVD + thickness"))</f>
        <v/>
      </c>
    </row>
    <row r="6">
      <c r="A6" s="9" t="inlineStr">
        <is>
          <t>X1</t>
        </is>
      </c>
      <c r="B6" s="9" t="inlineStr">
        <is>
          <t>Balakhany V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9" t="n"/>
      <c r="N6" s="9" t="n"/>
      <c r="O6" s="10" t="n"/>
      <c r="P6" s="9" t="n"/>
      <c r="Q6" s="11">
        <f>IF(P6&lt;&gt;"",P6,IF(M6="","UNKNOWN",IF(AND(ISNUMBER(SEARCH("gas",LOWER(M6))),ISNUMBER(SEARCH("water",LOWER(M6)))),"GAS_WATER",IF(AND(ISNUMBER(SEARCH("oil",LOWER(M6))),ISNUMBER(SEARCH("water",LOWER(M6)))),"OIL_WATER",IF(ISNUMBER(SEARCH("gas",LOWER(M6))),"GAS",IF(ISNUMBER(SEARCH("water",LOWER(M6))),"WATER",IF(ISNUMBER(SEARCH("oil",LOWER(M6))),"OIL","UNKNOWN")))))))</f>
        <v/>
      </c>
      <c r="R6" s="12">
        <f>IF(C6="","",C6)</f>
        <v/>
      </c>
      <c r="S6" s="12">
        <f>IF(R6="","",R6+IF(O6&lt;&gt;"",O6,IF(H6="",0,H6)))</f>
        <v/>
      </c>
      <c r="T6" s="12">
        <f>IF(R6="","",MAX(Settings!$B$3,Settings!$B$4*IF(O6&lt;&gt;"",O6,IF(H6="",0,H6))))</f>
        <v/>
      </c>
      <c r="U6" s="11">
        <f>IF(AND(C6&lt;&gt;"",M6&lt;&gt;"",OR(H6&lt;&gt;"",O6&lt;&gt;"")),"COMPLETE",IF(OR(C6&lt;&gt;"",M6&lt;&gt;""),"PARTIAL","MISSING"))</f>
        <v/>
      </c>
      <c r="V6" s="11">
        <f>IF(Q6="UNKNOWN","Check fluid description",IF(AND(R6&lt;&gt;"",S6&lt;&gt;""),"Ready for contact screening","Needs TVD + thickness"))</f>
        <v/>
      </c>
    </row>
    <row r="7">
      <c r="A7" s="9" t="inlineStr">
        <is>
          <t>X1</t>
        </is>
      </c>
      <c r="B7" s="9" t="inlineStr">
        <is>
          <t>Balakhany VI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9" t="n"/>
      <c r="N7" s="9" t="n"/>
      <c r="O7" s="10" t="n"/>
      <c r="P7" s="9" t="n"/>
      <c r="Q7" s="11">
        <f>IF(P7&lt;&gt;"",P7,IF(M7="","UNKNOWN",IF(AND(ISNUMBER(SEARCH("gas",LOWER(M7))),ISNUMBER(SEARCH("water",LOWER(M7)))),"GAS_WATER",IF(AND(ISNUMBER(SEARCH("oil",LOWER(M7))),ISNUMBER(SEARCH("water",LOWER(M7)))),"OIL_WATER",IF(ISNUMBER(SEARCH("gas",LOWER(M7))),"GAS",IF(ISNUMBER(SEARCH("water",LOWER(M7))),"WATER",IF(ISNUMBER(SEARCH("oil",LOWER(M7))),"OIL","UNKNOWN")))))))</f>
        <v/>
      </c>
      <c r="R7" s="12">
        <f>IF(C7="","",C7)</f>
        <v/>
      </c>
      <c r="S7" s="12">
        <f>IF(R7="","",R7+IF(O7&lt;&gt;"",O7,IF(H7="",0,H7)))</f>
        <v/>
      </c>
      <c r="T7" s="12">
        <f>IF(R7="","",MAX(Settings!$B$3,Settings!$B$4*IF(O7&lt;&gt;"",O7,IF(H7="",0,H7))))</f>
        <v/>
      </c>
      <c r="U7" s="11">
        <f>IF(AND(C7&lt;&gt;"",M7&lt;&gt;"",OR(H7&lt;&gt;"",O7&lt;&gt;"")),"COMPLETE",IF(OR(C7&lt;&gt;"",M7&lt;&gt;""),"PARTIAL","MISSING"))</f>
        <v/>
      </c>
      <c r="V7" s="11">
        <f>IF(Q7="UNKNOWN","Check fluid description",IF(AND(R7&lt;&gt;"",S7&lt;&gt;""),"Ready for contact screening","Needs TVD + thickness"))</f>
        <v/>
      </c>
    </row>
    <row r="8">
      <c r="A8" s="9" t="inlineStr">
        <is>
          <t>X1</t>
        </is>
      </c>
      <c r="B8" s="9" t="inlineStr">
        <is>
          <t>Balakhany VI Sand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9" t="n"/>
      <c r="N8" s="9" t="n"/>
      <c r="O8" s="10" t="n"/>
      <c r="P8" s="9" t="n"/>
      <c r="Q8" s="11">
        <f>IF(P8&lt;&gt;"",P8,IF(M8="","UNKNOWN",IF(AND(ISNUMBER(SEARCH("gas",LOWER(M8))),ISNUMBER(SEARCH("water",LOWER(M8)))),"GAS_WATER",IF(AND(ISNUMBER(SEARCH("oil",LOWER(M8))),ISNUMBER(SEARCH("water",LOWER(M8)))),"OIL_WATER",IF(ISNUMBER(SEARCH("gas",LOWER(M8))),"GAS",IF(ISNUMBER(SEARCH("water",LOWER(M8))),"WATER",IF(ISNUMBER(SEARCH("oil",LOWER(M8))),"OIL","UNKNOWN")))))))</f>
        <v/>
      </c>
      <c r="R8" s="12">
        <f>IF(C8="","",C8)</f>
        <v/>
      </c>
      <c r="S8" s="12">
        <f>IF(R8="","",R8+IF(O8&lt;&gt;"",O8,IF(H8="",0,H8)))</f>
        <v/>
      </c>
      <c r="T8" s="12">
        <f>IF(R8="","",MAX(Settings!$B$3,Settings!$B$4*IF(O8&lt;&gt;"",O8,IF(H8="",0,H8))))</f>
        <v/>
      </c>
      <c r="U8" s="11">
        <f>IF(AND(C8&lt;&gt;"",M8&lt;&gt;"",OR(H8&lt;&gt;"",O8&lt;&gt;"")),"COMPLETE",IF(OR(C8&lt;&gt;"",M8&lt;&gt;""),"PARTIAL","MISSING"))</f>
        <v/>
      </c>
      <c r="V8" s="11">
        <f>IF(Q8="UNKNOWN","Check fluid description",IF(AND(R8&lt;&gt;"",S8&lt;&gt;""),"Ready for contact screening","Needs TVD + thickness"))</f>
        <v/>
      </c>
    </row>
    <row r="9">
      <c r="A9" s="9" t="inlineStr">
        <is>
          <t>X1</t>
        </is>
      </c>
      <c r="B9" s="9" t="inlineStr">
        <is>
          <t>Balakhany VII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9" t="n"/>
      <c r="N9" s="9" t="n"/>
      <c r="O9" s="10" t="n"/>
      <c r="P9" s="9" t="n"/>
      <c r="Q9" s="11">
        <f>IF(P9&lt;&gt;"",P9,IF(M9="","UNKNOWN",IF(AND(ISNUMBER(SEARCH("gas",LOWER(M9))),ISNUMBER(SEARCH("water",LOWER(M9)))),"GAS_WATER",IF(AND(ISNUMBER(SEARCH("oil",LOWER(M9))),ISNUMBER(SEARCH("water",LOWER(M9)))),"OIL_WATER",IF(ISNUMBER(SEARCH("gas",LOWER(M9))),"GAS",IF(ISNUMBER(SEARCH("water",LOWER(M9))),"WATER",IF(ISNUMBER(SEARCH("oil",LOWER(M9))),"OIL","UNKNOWN")))))))</f>
        <v/>
      </c>
      <c r="R9" s="12">
        <f>IF(C9="","",C9)</f>
        <v/>
      </c>
      <c r="S9" s="12">
        <f>IF(R9="","",R9+IF(O9&lt;&gt;"",O9,IF(H9="",0,H9)))</f>
        <v/>
      </c>
      <c r="T9" s="12">
        <f>IF(R9="","",MAX(Settings!$B$3,Settings!$B$4*IF(O9&lt;&gt;"",O9,IF(H9="",0,H9))))</f>
        <v/>
      </c>
      <c r="U9" s="11">
        <f>IF(AND(C9&lt;&gt;"",M9&lt;&gt;"",OR(H9&lt;&gt;"",O9&lt;&gt;"")),"COMPLETE",IF(OR(C9&lt;&gt;"",M9&lt;&gt;""),"PARTIAL","MISSING"))</f>
        <v/>
      </c>
      <c r="V9" s="11">
        <f>IF(Q9="UNKNOWN","Check fluid description",IF(AND(R9&lt;&gt;"",S9&lt;&gt;""),"Ready for contact screening","Needs TVD + thickness"))</f>
        <v/>
      </c>
    </row>
    <row r="10">
      <c r="A10" s="9" t="inlineStr">
        <is>
          <t>X1</t>
        </is>
      </c>
      <c r="B10" s="9" t="inlineStr">
        <is>
          <t>Balakhany VII Sand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9" t="n"/>
      <c r="N10" s="9" t="n"/>
      <c r="O10" s="10" t="n"/>
      <c r="P10" s="9" t="n"/>
      <c r="Q10" s="11">
        <f>IF(P10&lt;&gt;"",P10,IF(M10="","UNKNOWN",IF(AND(ISNUMBER(SEARCH("gas",LOWER(M10))),ISNUMBER(SEARCH("water",LOWER(M10)))),"GAS_WATER",IF(AND(ISNUMBER(SEARCH("oil",LOWER(M10))),ISNUMBER(SEARCH("water",LOWER(M10)))),"OIL_WATER",IF(ISNUMBER(SEARCH("gas",LOWER(M10))),"GAS",IF(ISNUMBER(SEARCH("water",LOWER(M10))),"WATER",IF(ISNUMBER(SEARCH("oil",LOWER(M10))),"OIL","UNKNOWN")))))))</f>
        <v/>
      </c>
      <c r="R10" s="12">
        <f>IF(C10="","",C10)</f>
        <v/>
      </c>
      <c r="S10" s="12">
        <f>IF(R10="","",R10+IF(O10&lt;&gt;"",O10,IF(H10="",0,H10)))</f>
        <v/>
      </c>
      <c r="T10" s="12">
        <f>IF(R10="","",MAX(Settings!$B$3,Settings!$B$4*IF(O10&lt;&gt;"",O10,IF(H10="",0,H10))))</f>
        <v/>
      </c>
      <c r="U10" s="11">
        <f>IF(AND(C10&lt;&gt;"",M10&lt;&gt;"",OR(H10&lt;&gt;"",O10&lt;&gt;"")),"COMPLETE",IF(OR(C10&lt;&gt;"",M10&lt;&gt;""),"PARTIAL","MISSING"))</f>
        <v/>
      </c>
      <c r="V10" s="11">
        <f>IF(Q10="UNKNOWN","Check fluid description",IF(AND(R10&lt;&gt;"",S10&lt;&gt;""),"Ready for contact screening","Needs TVD + thickness"))</f>
        <v/>
      </c>
    </row>
    <row r="11">
      <c r="A11" s="9" t="inlineStr">
        <is>
          <t>X1</t>
        </is>
      </c>
      <c r="B11" s="9" t="inlineStr">
        <is>
          <t>Balakhany VIII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9" t="n"/>
      <c r="N11" s="9" t="n"/>
      <c r="O11" s="10" t="n"/>
      <c r="P11" s="9" t="n"/>
      <c r="Q11" s="11">
        <f>IF(P11&lt;&gt;"",P11,IF(M11="","UNKNOWN",IF(AND(ISNUMBER(SEARCH("gas",LOWER(M11))),ISNUMBER(SEARCH("water",LOWER(M11)))),"GAS_WATER",IF(AND(ISNUMBER(SEARCH("oil",LOWER(M11))),ISNUMBER(SEARCH("water",LOWER(M11)))),"OIL_WATER",IF(ISNUMBER(SEARCH("gas",LOWER(M11))),"GAS",IF(ISNUMBER(SEARCH("water",LOWER(M11))),"WATER",IF(ISNUMBER(SEARCH("oil",LOWER(M11))),"OIL","UNKNOWN")))))))</f>
        <v/>
      </c>
      <c r="R11" s="12">
        <f>IF(C11="","",C11)</f>
        <v/>
      </c>
      <c r="S11" s="12">
        <f>IF(R11="","",R11+IF(O11&lt;&gt;"",O11,IF(H11="",0,H11)))</f>
        <v/>
      </c>
      <c r="T11" s="12">
        <f>IF(R11="","",MAX(Settings!$B$3,Settings!$B$4*IF(O11&lt;&gt;"",O11,IF(H11="",0,H11))))</f>
        <v/>
      </c>
      <c r="U11" s="11">
        <f>IF(AND(C11&lt;&gt;"",M11&lt;&gt;"",OR(H11&lt;&gt;"",O11&lt;&gt;"")),"COMPLETE",IF(OR(C11&lt;&gt;"",M11&lt;&gt;""),"PARTIAL","MISSING"))</f>
        <v/>
      </c>
      <c r="V11" s="11">
        <f>IF(Q11="UNKNOWN","Check fluid description",IF(AND(R11&lt;&gt;"",S11&lt;&gt;""),"Ready for contact screening","Needs TVD + thickness"))</f>
        <v/>
      </c>
    </row>
    <row r="12">
      <c r="A12" s="9" t="inlineStr">
        <is>
          <t>X1</t>
        </is>
      </c>
      <c r="B12" s="9" t="inlineStr">
        <is>
          <t>Balakhany VIII Sand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9" t="n"/>
      <c r="N12" s="9" t="n"/>
      <c r="O12" s="10" t="n"/>
      <c r="P12" s="9" t="n"/>
      <c r="Q12" s="11">
        <f>IF(P12&lt;&gt;"",P12,IF(M12="","UNKNOWN",IF(AND(ISNUMBER(SEARCH("gas",LOWER(M12))),ISNUMBER(SEARCH("water",LOWER(M12)))),"GAS_WATER",IF(AND(ISNUMBER(SEARCH("oil",LOWER(M12))),ISNUMBER(SEARCH("water",LOWER(M12)))),"OIL_WATER",IF(ISNUMBER(SEARCH("gas",LOWER(M12))),"GAS",IF(ISNUMBER(SEARCH("water",LOWER(M12))),"WATER",IF(ISNUMBER(SEARCH("oil",LOWER(M12))),"OIL","UNKNOWN")))))))</f>
        <v/>
      </c>
      <c r="R12" s="12">
        <f>IF(C12="","",C12)</f>
        <v/>
      </c>
      <c r="S12" s="12">
        <f>IF(R12="","",R12+IF(O12&lt;&gt;"",O12,IF(H12="",0,H12)))</f>
        <v/>
      </c>
      <c r="T12" s="12">
        <f>IF(R12="","",MAX(Settings!$B$3,Settings!$B$4*IF(O12&lt;&gt;"",O12,IF(H12="",0,H12))))</f>
        <v/>
      </c>
      <c r="U12" s="11">
        <f>IF(AND(C12&lt;&gt;"",M12&lt;&gt;"",OR(H12&lt;&gt;"",O12&lt;&gt;"")),"COMPLETE",IF(OR(C12&lt;&gt;"",M12&lt;&gt;""),"PARTIAL","MISSING"))</f>
        <v/>
      </c>
      <c r="V12" s="11">
        <f>IF(Q12="UNKNOWN","Check fluid description",IF(AND(R12&lt;&gt;"",S12&lt;&gt;""),"Ready for contact screening","Needs TVD + thickness"))</f>
        <v/>
      </c>
    </row>
    <row r="13">
      <c r="A13" s="9" t="inlineStr">
        <is>
          <t>X1</t>
        </is>
      </c>
      <c r="B13" s="9" t="inlineStr">
        <is>
          <t>Balakhany VIII 10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9" t="n"/>
      <c r="N13" s="9" t="n"/>
      <c r="O13" s="10" t="n"/>
      <c r="P13" s="9" t="n"/>
      <c r="Q13" s="11">
        <f>IF(P13&lt;&gt;"",P13,IF(M13="","UNKNOWN",IF(AND(ISNUMBER(SEARCH("gas",LOWER(M13))),ISNUMBER(SEARCH("water",LOWER(M13)))),"GAS_WATER",IF(AND(ISNUMBER(SEARCH("oil",LOWER(M13))),ISNUMBER(SEARCH("water",LOWER(M13)))),"OIL_WATER",IF(ISNUMBER(SEARCH("gas",LOWER(M13))),"GAS",IF(ISNUMBER(SEARCH("water",LOWER(M13))),"WATER",IF(ISNUMBER(SEARCH("oil",LOWER(M13))),"OIL","UNKNOWN")))))))</f>
        <v/>
      </c>
      <c r="R13" s="12">
        <f>IF(C13="","",C13)</f>
        <v/>
      </c>
      <c r="S13" s="12">
        <f>IF(R13="","",R13+IF(O13&lt;&gt;"",O13,IF(H13="",0,H13)))</f>
        <v/>
      </c>
      <c r="T13" s="12">
        <f>IF(R13="","",MAX(Settings!$B$3,Settings!$B$4*IF(O13&lt;&gt;"",O13,IF(H13="",0,H13))))</f>
        <v/>
      </c>
      <c r="U13" s="11">
        <f>IF(AND(C13&lt;&gt;"",M13&lt;&gt;"",OR(H13&lt;&gt;"",O13&lt;&gt;"")),"COMPLETE",IF(OR(C13&lt;&gt;"",M13&lt;&gt;""),"PARTIAL","MISSING"))</f>
        <v/>
      </c>
      <c r="V13" s="11">
        <f>IF(Q13="UNKNOWN","Check fluid description",IF(AND(R13&lt;&gt;"",S13&lt;&gt;""),"Ready for contact screening","Needs TVD + thickness"))</f>
        <v/>
      </c>
    </row>
    <row r="14">
      <c r="A14" s="9" t="inlineStr">
        <is>
          <t>X1</t>
        </is>
      </c>
      <c r="B14" s="9" t="inlineStr">
        <is>
          <t>Balakhany IX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9" t="n"/>
      <c r="N14" s="9" t="n"/>
      <c r="O14" s="10" t="n"/>
      <c r="P14" s="9" t="n"/>
      <c r="Q14" s="11">
        <f>IF(P14&lt;&gt;"",P14,IF(M14="","UNKNOWN",IF(AND(ISNUMBER(SEARCH("gas",LOWER(M14))),ISNUMBER(SEARCH("water",LOWER(M14)))),"GAS_WATER",IF(AND(ISNUMBER(SEARCH("oil",LOWER(M14))),ISNUMBER(SEARCH("water",LOWER(M14)))),"OIL_WATER",IF(ISNUMBER(SEARCH("gas",LOWER(M14))),"GAS",IF(ISNUMBER(SEARCH("water",LOWER(M14))),"WATER",IF(ISNUMBER(SEARCH("oil",LOWER(M14))),"OIL","UNKNOWN")))))))</f>
        <v/>
      </c>
      <c r="R14" s="12">
        <f>IF(C14="","",C14)</f>
        <v/>
      </c>
      <c r="S14" s="12">
        <f>IF(R14="","",R14+IF(O14&lt;&gt;"",O14,IF(H14="",0,H14)))</f>
        <v/>
      </c>
      <c r="T14" s="12">
        <f>IF(R14="","",MAX(Settings!$B$3,Settings!$B$4*IF(O14&lt;&gt;"",O14,IF(H14="",0,H14))))</f>
        <v/>
      </c>
      <c r="U14" s="11">
        <f>IF(AND(C14&lt;&gt;"",M14&lt;&gt;"",OR(H14&lt;&gt;"",O14&lt;&gt;"")),"COMPLETE",IF(OR(C14&lt;&gt;"",M14&lt;&gt;""),"PARTIAL","MISSING"))</f>
        <v/>
      </c>
      <c r="V14" s="11">
        <f>IF(Q14="UNKNOWN","Check fluid description",IF(AND(R14&lt;&gt;"",S14&lt;&gt;""),"Ready for contact screening","Needs TVD + thickness"))</f>
        <v/>
      </c>
    </row>
    <row r="15">
      <c r="A15" s="9" t="inlineStr">
        <is>
          <t>X1</t>
        </is>
      </c>
      <c r="B15" s="9" t="inlineStr">
        <is>
          <t>Balakhany IX Sand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9" t="n"/>
      <c r="N15" s="9" t="n"/>
      <c r="O15" s="10" t="n"/>
      <c r="P15" s="9" t="n"/>
      <c r="Q15" s="11">
        <f>IF(P15&lt;&gt;"",P15,IF(M15="","UNKNOWN",IF(AND(ISNUMBER(SEARCH("gas",LOWER(M15))),ISNUMBER(SEARCH("water",LOWER(M15)))),"GAS_WATER",IF(AND(ISNUMBER(SEARCH("oil",LOWER(M15))),ISNUMBER(SEARCH("water",LOWER(M15)))),"OIL_WATER",IF(ISNUMBER(SEARCH("gas",LOWER(M15))),"GAS",IF(ISNUMBER(SEARCH("water",LOWER(M15))),"WATER",IF(ISNUMBER(SEARCH("oil",LOWER(M15))),"OIL","UNKNOWN")))))))</f>
        <v/>
      </c>
      <c r="R15" s="12">
        <f>IF(C15="","",C15)</f>
        <v/>
      </c>
      <c r="S15" s="12">
        <f>IF(R15="","",R15+IF(O15&lt;&gt;"",O15,IF(H15="",0,H15)))</f>
        <v/>
      </c>
      <c r="T15" s="12">
        <f>IF(R15="","",MAX(Settings!$B$3,Settings!$B$4*IF(O15&lt;&gt;"",O15,IF(H15="",0,H15))))</f>
        <v/>
      </c>
      <c r="U15" s="11">
        <f>IF(AND(C15&lt;&gt;"",M15&lt;&gt;"",OR(H15&lt;&gt;"",O15&lt;&gt;"")),"COMPLETE",IF(OR(C15&lt;&gt;"",M15&lt;&gt;""),"PARTIAL","MISSING"))</f>
        <v/>
      </c>
      <c r="V15" s="11">
        <f>IF(Q15="UNKNOWN","Check fluid description",IF(AND(R15&lt;&gt;"",S15&lt;&gt;""),"Ready for contact screening","Needs TVD + thickness"))</f>
        <v/>
      </c>
    </row>
    <row r="16">
      <c r="A16" s="9" t="inlineStr">
        <is>
          <t>X1</t>
        </is>
      </c>
      <c r="B16" s="9" t="inlineStr">
        <is>
          <t>Balakhany IX 20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9" t="n"/>
      <c r="N16" s="9" t="n"/>
      <c r="O16" s="10" t="n"/>
      <c r="P16" s="9" t="n"/>
      <c r="Q16" s="11">
        <f>IF(P16&lt;&gt;"",P16,IF(M16="","UNKNOWN",IF(AND(ISNUMBER(SEARCH("gas",LOWER(M16))),ISNUMBER(SEARCH("water",LOWER(M16)))),"GAS_WATER",IF(AND(ISNUMBER(SEARCH("oil",LOWER(M16))),ISNUMBER(SEARCH("water",LOWER(M16)))),"OIL_WATER",IF(ISNUMBER(SEARCH("gas",LOWER(M16))),"GAS",IF(ISNUMBER(SEARCH("water",LOWER(M16))),"WATER",IF(ISNUMBER(SEARCH("oil",LOWER(M16))),"OIL","UNKNOWN")))))))</f>
        <v/>
      </c>
      <c r="R16" s="12">
        <f>IF(C16="","",C16)</f>
        <v/>
      </c>
      <c r="S16" s="12">
        <f>IF(R16="","",R16+IF(O16&lt;&gt;"",O16,IF(H16="",0,H16)))</f>
        <v/>
      </c>
      <c r="T16" s="12">
        <f>IF(R16="","",MAX(Settings!$B$3,Settings!$B$4*IF(O16&lt;&gt;"",O16,IF(H16="",0,H16))))</f>
        <v/>
      </c>
      <c r="U16" s="11">
        <f>IF(AND(C16&lt;&gt;"",M16&lt;&gt;"",OR(H16&lt;&gt;"",O16&lt;&gt;"")),"COMPLETE",IF(OR(C16&lt;&gt;"",M16&lt;&gt;""),"PARTIAL","MISSING"))</f>
        <v/>
      </c>
      <c r="V16" s="11">
        <f>IF(Q16="UNKNOWN","Check fluid description",IF(AND(R16&lt;&gt;"",S16&lt;&gt;""),"Ready for contact screening","Needs TVD + thickness"))</f>
        <v/>
      </c>
    </row>
    <row r="17">
      <c r="A17" s="9" t="inlineStr">
        <is>
          <t>X1</t>
        </is>
      </c>
      <c r="B17" s="9" t="inlineStr">
        <is>
          <t>Balakhany IX 15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9" t="n"/>
      <c r="N17" s="9" t="n"/>
      <c r="O17" s="10" t="n"/>
      <c r="P17" s="9" t="n"/>
      <c r="Q17" s="11">
        <f>IF(P17&lt;&gt;"",P17,IF(M17="","UNKNOWN",IF(AND(ISNUMBER(SEARCH("gas",LOWER(M17))),ISNUMBER(SEARCH("water",LOWER(M17)))),"GAS_WATER",IF(AND(ISNUMBER(SEARCH("oil",LOWER(M17))),ISNUMBER(SEARCH("water",LOWER(M17)))),"OIL_WATER",IF(ISNUMBER(SEARCH("gas",LOWER(M17))),"GAS",IF(ISNUMBER(SEARCH("water",LOWER(M17))),"WATER",IF(ISNUMBER(SEARCH("oil",LOWER(M17))),"OIL","UNKNOWN")))))))</f>
        <v/>
      </c>
      <c r="R17" s="12">
        <f>IF(C17="","",C17)</f>
        <v/>
      </c>
      <c r="S17" s="12">
        <f>IF(R17="","",R17+IF(O17&lt;&gt;"",O17,IF(H17="",0,H17)))</f>
        <v/>
      </c>
      <c r="T17" s="12">
        <f>IF(R17="","",MAX(Settings!$B$3,Settings!$B$4*IF(O17&lt;&gt;"",O17,IF(H17="",0,H17))))</f>
        <v/>
      </c>
      <c r="U17" s="11">
        <f>IF(AND(C17&lt;&gt;"",M17&lt;&gt;"",OR(H17&lt;&gt;"",O17&lt;&gt;"")),"COMPLETE",IF(OR(C17&lt;&gt;"",M17&lt;&gt;""),"PARTIAL","MISSING"))</f>
        <v/>
      </c>
      <c r="V17" s="11">
        <f>IF(Q17="UNKNOWN","Check fluid description",IF(AND(R17&lt;&gt;"",S17&lt;&gt;""),"Ready for contact screening","Needs TVD + thickness"))</f>
        <v/>
      </c>
    </row>
    <row r="18">
      <c r="A18" s="9" t="inlineStr">
        <is>
          <t>X1</t>
        </is>
      </c>
      <c r="B18" s="9" t="inlineStr">
        <is>
          <t>Balakhany IX LS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9" t="n"/>
      <c r="N18" s="9" t="n"/>
      <c r="O18" s="10" t="n"/>
      <c r="P18" s="9" t="n"/>
      <c r="Q18" s="11">
        <f>IF(P18&lt;&gt;"",P18,IF(M18="","UNKNOWN",IF(AND(ISNUMBER(SEARCH("gas",LOWER(M18))),ISNUMBER(SEARCH("water",LOWER(M18)))),"GAS_WATER",IF(AND(ISNUMBER(SEARCH("oil",LOWER(M18))),ISNUMBER(SEARCH("water",LOWER(M18)))),"OIL_WATER",IF(ISNUMBER(SEARCH("gas",LOWER(M18))),"GAS",IF(ISNUMBER(SEARCH("water",LOWER(M18))),"WATER",IF(ISNUMBER(SEARCH("oil",LOWER(M18))),"OIL","UNKNOWN")))))))</f>
        <v/>
      </c>
      <c r="R18" s="12">
        <f>IF(C18="","",C18)</f>
        <v/>
      </c>
      <c r="S18" s="12">
        <f>IF(R18="","",R18+IF(O18&lt;&gt;"",O18,IF(H18="",0,H18)))</f>
        <v/>
      </c>
      <c r="T18" s="12">
        <f>IF(R18="","",MAX(Settings!$B$3,Settings!$B$4*IF(O18&lt;&gt;"",O18,IF(H18="",0,H18))))</f>
        <v/>
      </c>
      <c r="U18" s="11">
        <f>IF(AND(C18&lt;&gt;"",M18&lt;&gt;"",OR(H18&lt;&gt;"",O18&lt;&gt;"")),"COMPLETE",IF(OR(C18&lt;&gt;"",M18&lt;&gt;""),"PARTIAL","MISSING"))</f>
        <v/>
      </c>
      <c r="V18" s="11">
        <f>IF(Q18="UNKNOWN","Check fluid description",IF(AND(R18&lt;&gt;"",S18&lt;&gt;""),"Ready for contact screening","Needs TVD + thickness"))</f>
        <v/>
      </c>
    </row>
    <row r="19">
      <c r="A19" s="9" t="inlineStr">
        <is>
          <t>X1</t>
        </is>
      </c>
      <c r="B19" s="9" t="inlineStr">
        <is>
          <t>Balakhany IX 5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9" t="n"/>
      <c r="N19" s="9" t="n"/>
      <c r="O19" s="10" t="n"/>
      <c r="P19" s="9" t="n"/>
      <c r="Q19" s="11">
        <f>IF(P19&lt;&gt;"",P19,IF(M19="","UNKNOWN",IF(AND(ISNUMBER(SEARCH("gas",LOWER(M19))),ISNUMBER(SEARCH("water",LOWER(M19)))),"GAS_WATER",IF(AND(ISNUMBER(SEARCH("oil",LOWER(M19))),ISNUMBER(SEARCH("water",LOWER(M19)))),"OIL_WATER",IF(ISNUMBER(SEARCH("gas",LOWER(M19))),"GAS",IF(ISNUMBER(SEARCH("water",LOWER(M19))),"WATER",IF(ISNUMBER(SEARCH("oil",LOWER(M19))),"OIL","UNKNOWN")))))))</f>
        <v/>
      </c>
      <c r="R19" s="12">
        <f>IF(C19="","",C19)</f>
        <v/>
      </c>
      <c r="S19" s="12">
        <f>IF(R19="","",R19+IF(O19&lt;&gt;"",O19,IF(H19="",0,H19)))</f>
        <v/>
      </c>
      <c r="T19" s="12">
        <f>IF(R19="","",MAX(Settings!$B$3,Settings!$B$4*IF(O19&lt;&gt;"",O19,IF(H19="",0,H19))))</f>
        <v/>
      </c>
      <c r="U19" s="11">
        <f>IF(AND(C19&lt;&gt;"",M19&lt;&gt;"",OR(H19&lt;&gt;"",O19&lt;&gt;"")),"COMPLETE",IF(OR(C19&lt;&gt;"",M19&lt;&gt;""),"PARTIAL","MISSING"))</f>
        <v/>
      </c>
      <c r="V19" s="11">
        <f>IF(Q19="UNKNOWN","Check fluid description",IF(AND(R19&lt;&gt;"",S19&lt;&gt;""),"Ready for contact screening","Needs TVD + thickness"))</f>
        <v/>
      </c>
    </row>
    <row r="20">
      <c r="A20" s="9" t="inlineStr">
        <is>
          <t>X1</t>
        </is>
      </c>
      <c r="B20" s="9" t="inlineStr">
        <is>
          <t>Balakhany X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9" t="n"/>
      <c r="N20" s="9" t="n"/>
      <c r="O20" s="10" t="n"/>
      <c r="P20" s="9" t="n"/>
      <c r="Q20" s="11">
        <f>IF(P20&lt;&gt;"",P20,IF(M20="","UNKNOWN",IF(AND(ISNUMBER(SEARCH("gas",LOWER(M20))),ISNUMBER(SEARCH("water",LOWER(M20)))),"GAS_WATER",IF(AND(ISNUMBER(SEARCH("oil",LOWER(M20))),ISNUMBER(SEARCH("water",LOWER(M20)))),"OIL_WATER",IF(ISNUMBER(SEARCH("gas",LOWER(M20))),"GAS",IF(ISNUMBER(SEARCH("water",LOWER(M20))),"WATER",IF(ISNUMBER(SEARCH("oil",LOWER(M20))),"OIL","UNKNOWN")))))))</f>
        <v/>
      </c>
      <c r="R20" s="12">
        <f>IF(C20="","",C20)</f>
        <v/>
      </c>
      <c r="S20" s="12">
        <f>IF(R20="","",R20+IF(O20&lt;&gt;"",O20,IF(H20="",0,H20)))</f>
        <v/>
      </c>
      <c r="T20" s="12">
        <f>IF(R20="","",MAX(Settings!$B$3,Settings!$B$4*IF(O20&lt;&gt;"",O20,IF(H20="",0,H20))))</f>
        <v/>
      </c>
      <c r="U20" s="11">
        <f>IF(AND(C20&lt;&gt;"",M20&lt;&gt;"",OR(H20&lt;&gt;"",O20&lt;&gt;"")),"COMPLETE",IF(OR(C20&lt;&gt;"",M20&lt;&gt;""),"PARTIAL","MISSING"))</f>
        <v/>
      </c>
      <c r="V20" s="11">
        <f>IF(Q20="UNKNOWN","Check fluid description",IF(AND(R20&lt;&gt;"",S20&lt;&gt;""),"Ready for contact screening","Needs TVD + thickness"))</f>
        <v/>
      </c>
    </row>
    <row r="21">
      <c r="A21" s="9" t="inlineStr">
        <is>
          <t>X1</t>
        </is>
      </c>
      <c r="B21" s="9" t="inlineStr">
        <is>
          <t>Balakhany X Sand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9" t="n"/>
      <c r="N21" s="9" t="n"/>
      <c r="O21" s="10" t="n"/>
      <c r="P21" s="9" t="n"/>
      <c r="Q21" s="11">
        <f>IF(P21&lt;&gt;"",P21,IF(M21="","UNKNOWN",IF(AND(ISNUMBER(SEARCH("gas",LOWER(M21))),ISNUMBER(SEARCH("water",LOWER(M21)))),"GAS_WATER",IF(AND(ISNUMBER(SEARCH("oil",LOWER(M21))),ISNUMBER(SEARCH("water",LOWER(M21)))),"OIL_WATER",IF(ISNUMBER(SEARCH("gas",LOWER(M21))),"GAS",IF(ISNUMBER(SEARCH("water",LOWER(M21))),"WATER",IF(ISNUMBER(SEARCH("oil",LOWER(M21))),"OIL","UNKNOWN")))))))</f>
        <v/>
      </c>
      <c r="R21" s="12">
        <f>IF(C21="","",C21)</f>
        <v/>
      </c>
      <c r="S21" s="12">
        <f>IF(R21="","",R21+IF(O21&lt;&gt;"",O21,IF(H21="",0,H21)))</f>
        <v/>
      </c>
      <c r="T21" s="12">
        <f>IF(R21="","",MAX(Settings!$B$3,Settings!$B$4*IF(O21&lt;&gt;"",O21,IF(H21="",0,H21))))</f>
        <v/>
      </c>
      <c r="U21" s="11">
        <f>IF(AND(C21&lt;&gt;"",M21&lt;&gt;"",OR(H21&lt;&gt;"",O21&lt;&gt;"")),"COMPLETE",IF(OR(C21&lt;&gt;"",M21&lt;&gt;""),"PARTIAL","MISSING"))</f>
        <v/>
      </c>
      <c r="V21" s="11">
        <f>IF(Q21="UNKNOWN","Check fluid description",IF(AND(R21&lt;&gt;"",S21&lt;&gt;""),"Ready for contact screening","Needs TVD + thickness"))</f>
        <v/>
      </c>
    </row>
    <row r="22">
      <c r="A22" s="9" t="inlineStr">
        <is>
          <t>X1</t>
        </is>
      </c>
      <c r="B22" s="9" t="inlineStr">
        <is>
          <t>Balakhany X40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9" t="n"/>
      <c r="N22" s="9" t="n"/>
      <c r="O22" s="10" t="n"/>
      <c r="P22" s="9" t="n"/>
      <c r="Q22" s="11">
        <f>IF(P22&lt;&gt;"",P22,IF(M22="","UNKNOWN",IF(AND(ISNUMBER(SEARCH("gas",LOWER(M22))),ISNUMBER(SEARCH("water",LOWER(M22)))),"GAS_WATER",IF(AND(ISNUMBER(SEARCH("oil",LOWER(M22))),ISNUMBER(SEARCH("water",LOWER(M22)))),"OIL_WATER",IF(ISNUMBER(SEARCH("gas",LOWER(M22))),"GAS",IF(ISNUMBER(SEARCH("water",LOWER(M22))),"WATER",IF(ISNUMBER(SEARCH("oil",LOWER(M22))),"OIL","UNKNOWN")))))))</f>
        <v/>
      </c>
      <c r="R22" s="12">
        <f>IF(C22="","",C22)</f>
        <v/>
      </c>
      <c r="S22" s="12">
        <f>IF(R22="","",R22+IF(O22&lt;&gt;"",O22,IF(H22="",0,H22)))</f>
        <v/>
      </c>
      <c r="T22" s="12">
        <f>IF(R22="","",MAX(Settings!$B$3,Settings!$B$4*IF(O22&lt;&gt;"",O22,IF(H22="",0,H22))))</f>
        <v/>
      </c>
      <c r="U22" s="11">
        <f>IF(AND(C22&lt;&gt;"",M22&lt;&gt;"",OR(H22&lt;&gt;"",O22&lt;&gt;"")),"COMPLETE",IF(OR(C22&lt;&gt;"",M22&lt;&gt;""),"PARTIAL","MISSING"))</f>
        <v/>
      </c>
      <c r="V22" s="11">
        <f>IF(Q22="UNKNOWN","Check fluid description",IF(AND(R22&lt;&gt;"",S22&lt;&gt;""),"Ready for contact screening","Needs TVD + thickness"))</f>
        <v/>
      </c>
    </row>
    <row r="23">
      <c r="A23" s="9" t="inlineStr">
        <is>
          <t>X1</t>
        </is>
      </c>
      <c r="B23" s="9" t="inlineStr">
        <is>
          <t>Balakhany X 20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9" t="n"/>
      <c r="N23" s="9" t="n"/>
      <c r="O23" s="10" t="n"/>
      <c r="P23" s="9" t="n"/>
      <c r="Q23" s="11">
        <f>IF(P23&lt;&gt;"",P23,IF(M23="","UNKNOWN",IF(AND(ISNUMBER(SEARCH("gas",LOWER(M23))),ISNUMBER(SEARCH("water",LOWER(M23)))),"GAS_WATER",IF(AND(ISNUMBER(SEARCH("oil",LOWER(M23))),ISNUMBER(SEARCH("water",LOWER(M23)))),"OIL_WATER",IF(ISNUMBER(SEARCH("gas",LOWER(M23))),"GAS",IF(ISNUMBER(SEARCH("water",LOWER(M23))),"WATER",IF(ISNUMBER(SEARCH("oil",LOWER(M23))),"OIL","UNKNOWN")))))))</f>
        <v/>
      </c>
      <c r="R23" s="12">
        <f>IF(C23="","",C23)</f>
        <v/>
      </c>
      <c r="S23" s="12">
        <f>IF(R23="","",R23+IF(O23&lt;&gt;"",O23,IF(H23="",0,H23)))</f>
        <v/>
      </c>
      <c r="T23" s="12">
        <f>IF(R23="","",MAX(Settings!$B$3,Settings!$B$4*IF(O23&lt;&gt;"",O23,IF(H23="",0,H23))))</f>
        <v/>
      </c>
      <c r="U23" s="11">
        <f>IF(AND(C23&lt;&gt;"",M23&lt;&gt;"",OR(H23&lt;&gt;"",O23&lt;&gt;"")),"COMPLETE",IF(OR(C23&lt;&gt;"",M23&lt;&gt;""),"PARTIAL","MISSING"))</f>
        <v/>
      </c>
      <c r="V23" s="11">
        <f>IF(Q23="UNKNOWN","Check fluid description",IF(AND(R23&lt;&gt;"",S23&lt;&gt;""),"Ready for contact screening","Needs TVD + thickness"))</f>
        <v/>
      </c>
    </row>
    <row r="24">
      <c r="A24" s="9" t="inlineStr">
        <is>
          <t>X1</t>
        </is>
      </c>
      <c r="B24" s="9" t="inlineStr">
        <is>
          <t>Fasila A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9" t="n"/>
      <c r="N24" s="9" t="n"/>
      <c r="O24" s="10" t="n"/>
      <c r="P24" s="9" t="n"/>
      <c r="Q24" s="11">
        <f>IF(P24&lt;&gt;"",P24,IF(M24="","UNKNOWN",IF(AND(ISNUMBER(SEARCH("gas",LOWER(M24))),ISNUMBER(SEARCH("water",LOWER(M24)))),"GAS_WATER",IF(AND(ISNUMBER(SEARCH("oil",LOWER(M24))),ISNUMBER(SEARCH("water",LOWER(M24)))),"OIL_WATER",IF(ISNUMBER(SEARCH("gas",LOWER(M24))),"GAS",IF(ISNUMBER(SEARCH("water",LOWER(M24))),"WATER",IF(ISNUMBER(SEARCH("oil",LOWER(M24))),"OIL","UNKNOWN")))))))</f>
        <v/>
      </c>
      <c r="R24" s="12">
        <f>IF(C24="","",C24)</f>
        <v/>
      </c>
      <c r="S24" s="12">
        <f>IF(R24="","",R24+IF(O24&lt;&gt;"",O24,IF(H24="",0,H24)))</f>
        <v/>
      </c>
      <c r="T24" s="12">
        <f>IF(R24="","",MAX(Settings!$B$3,Settings!$B$4*IF(O24&lt;&gt;"",O24,IF(H24="",0,H24))))</f>
        <v/>
      </c>
      <c r="U24" s="11">
        <f>IF(AND(C24&lt;&gt;"",M24&lt;&gt;"",OR(H24&lt;&gt;"",O24&lt;&gt;"")),"COMPLETE",IF(OR(C24&lt;&gt;"",M24&lt;&gt;""),"PARTIAL","MISSING"))</f>
        <v/>
      </c>
      <c r="V24" s="11">
        <f>IF(Q24="UNKNOWN","Check fluid description",IF(AND(R24&lt;&gt;"",S24&lt;&gt;""),"Ready for contact screening","Needs TVD + thickness"))</f>
        <v/>
      </c>
    </row>
    <row r="25">
      <c r="A25" s="9" t="inlineStr">
        <is>
          <t>X1</t>
        </is>
      </c>
      <c r="B25" s="9" t="inlineStr">
        <is>
          <t>Fasila B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9" t="n"/>
      <c r="N25" s="9" t="n"/>
      <c r="O25" s="10" t="n"/>
      <c r="P25" s="9" t="n"/>
      <c r="Q25" s="11">
        <f>IF(P25&lt;&gt;"",P25,IF(M25="","UNKNOWN",IF(AND(ISNUMBER(SEARCH("gas",LOWER(M25))),ISNUMBER(SEARCH("water",LOWER(M25)))),"GAS_WATER",IF(AND(ISNUMBER(SEARCH("oil",LOWER(M25))),ISNUMBER(SEARCH("water",LOWER(M25)))),"OIL_WATER",IF(ISNUMBER(SEARCH("gas",LOWER(M25))),"GAS",IF(ISNUMBER(SEARCH("water",LOWER(M25))),"WATER",IF(ISNUMBER(SEARCH("oil",LOWER(M25))),"OIL","UNKNOWN")))))))</f>
        <v/>
      </c>
      <c r="R25" s="12">
        <f>IF(C25="","",C25)</f>
        <v/>
      </c>
      <c r="S25" s="12">
        <f>IF(R25="","",R25+IF(O25&lt;&gt;"",O25,IF(H25="",0,H25)))</f>
        <v/>
      </c>
      <c r="T25" s="12">
        <f>IF(R25="","",MAX(Settings!$B$3,Settings!$B$4*IF(O25&lt;&gt;"",O25,IF(H25="",0,H25))))</f>
        <v/>
      </c>
      <c r="U25" s="11">
        <f>IF(AND(C25&lt;&gt;"",M25&lt;&gt;"",OR(H25&lt;&gt;"",O25&lt;&gt;"")),"COMPLETE",IF(OR(C25&lt;&gt;"",M25&lt;&gt;""),"PARTIAL","MISSING"))</f>
        <v/>
      </c>
      <c r="V25" s="11">
        <f>IF(Q25="UNKNOWN","Check fluid description",IF(AND(R25&lt;&gt;"",S25&lt;&gt;""),"Ready for contact screening","Needs TVD + thickness"))</f>
        <v/>
      </c>
    </row>
    <row r="26">
      <c r="A26" s="9" t="inlineStr">
        <is>
          <t>X1</t>
        </is>
      </c>
      <c r="B26" s="9" t="inlineStr">
        <is>
          <t>Fasila C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9" t="n"/>
      <c r="N26" s="9" t="n"/>
      <c r="O26" s="10" t="n"/>
      <c r="P26" s="9" t="n"/>
      <c r="Q26" s="11">
        <f>IF(P26&lt;&gt;"",P26,IF(M26="","UNKNOWN",IF(AND(ISNUMBER(SEARCH("gas",LOWER(M26))),ISNUMBER(SEARCH("water",LOWER(M26)))),"GAS_WATER",IF(AND(ISNUMBER(SEARCH("oil",LOWER(M26))),ISNUMBER(SEARCH("water",LOWER(M26)))),"OIL_WATER",IF(ISNUMBER(SEARCH("gas",LOWER(M26))),"GAS",IF(ISNUMBER(SEARCH("water",LOWER(M26))),"WATER",IF(ISNUMBER(SEARCH("oil",LOWER(M26))),"OIL","UNKNOWN")))))))</f>
        <v/>
      </c>
      <c r="R26" s="12">
        <f>IF(C26="","",C26)</f>
        <v/>
      </c>
      <c r="S26" s="12">
        <f>IF(R26="","",R26+IF(O26&lt;&gt;"",O26,IF(H26="",0,H26)))</f>
        <v/>
      </c>
      <c r="T26" s="12">
        <f>IF(R26="","",MAX(Settings!$B$3,Settings!$B$4*IF(O26&lt;&gt;"",O26,IF(H26="",0,H26))))</f>
        <v/>
      </c>
      <c r="U26" s="11">
        <f>IF(AND(C26&lt;&gt;"",M26&lt;&gt;"",OR(H26&lt;&gt;"",O26&lt;&gt;"")),"COMPLETE",IF(OR(C26&lt;&gt;"",M26&lt;&gt;""),"PARTIAL","MISSING"))</f>
        <v/>
      </c>
      <c r="V26" s="11">
        <f>IF(Q26="UNKNOWN","Check fluid description",IF(AND(R26&lt;&gt;"",S26&lt;&gt;""),"Ready for contact screening","Needs TVD + thickness"))</f>
        <v/>
      </c>
    </row>
    <row r="27">
      <c r="A27" s="9" t="inlineStr">
        <is>
          <t>X1</t>
        </is>
      </c>
      <c r="B27" s="9" t="inlineStr">
        <is>
          <t>Fasila d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9" t="n"/>
      <c r="N27" s="9" t="n"/>
      <c r="O27" s="10" t="n"/>
      <c r="P27" s="9" t="n"/>
      <c r="Q27" s="11">
        <f>IF(P27&lt;&gt;"",P27,IF(M27="","UNKNOWN",IF(AND(ISNUMBER(SEARCH("gas",LOWER(M27))),ISNUMBER(SEARCH("water",LOWER(M27)))),"GAS_WATER",IF(AND(ISNUMBER(SEARCH("oil",LOWER(M27))),ISNUMBER(SEARCH("water",LOWER(M27)))),"OIL_WATER",IF(ISNUMBER(SEARCH("gas",LOWER(M27))),"GAS",IF(ISNUMBER(SEARCH("water",LOWER(M27))),"WATER",IF(ISNUMBER(SEARCH("oil",LOWER(M27))),"OIL","UNKNOWN")))))))</f>
        <v/>
      </c>
      <c r="R27" s="12">
        <f>IF(C27="","",C27)</f>
        <v/>
      </c>
      <c r="S27" s="12">
        <f>IF(R27="","",R27+IF(O27&lt;&gt;"",O27,IF(H27="",0,H27)))</f>
        <v/>
      </c>
      <c r="T27" s="12">
        <f>IF(R27="","",MAX(Settings!$B$3,Settings!$B$4*IF(O27&lt;&gt;"",O27,IF(H27="",0,H27))))</f>
        <v/>
      </c>
      <c r="U27" s="11">
        <f>IF(AND(C27&lt;&gt;"",M27&lt;&gt;"",OR(H27&lt;&gt;"",O27&lt;&gt;"")),"COMPLETE",IF(OR(C27&lt;&gt;"",M27&lt;&gt;""),"PARTIAL","MISSING"))</f>
        <v/>
      </c>
      <c r="V27" s="11">
        <f>IF(Q27="UNKNOWN","Check fluid description",IF(AND(R27&lt;&gt;"",S27&lt;&gt;""),"Ready for contact screening","Needs TVD + thickness"))</f>
        <v/>
      </c>
    </row>
    <row r="28">
      <c r="A28" s="9" t="inlineStr">
        <is>
          <t>X1</t>
        </is>
      </c>
      <c r="B28" s="9" t="inlineStr">
        <is>
          <t>Fasila E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9" t="n"/>
      <c r="N28" s="9" t="n"/>
      <c r="O28" s="10" t="n"/>
      <c r="P28" s="9" t="n"/>
      <c r="Q28" s="11">
        <f>IF(P28&lt;&gt;"",P28,IF(M28="","UNKNOWN",IF(AND(ISNUMBER(SEARCH("gas",LOWER(M28))),ISNUMBER(SEARCH("water",LOWER(M28)))),"GAS_WATER",IF(AND(ISNUMBER(SEARCH("oil",LOWER(M28))),ISNUMBER(SEARCH("water",LOWER(M28)))),"OIL_WATER",IF(ISNUMBER(SEARCH("gas",LOWER(M28))),"GAS",IF(ISNUMBER(SEARCH("water",LOWER(M28))),"WATER",IF(ISNUMBER(SEARCH("oil",LOWER(M28))),"OIL","UNKNOWN")))))))</f>
        <v/>
      </c>
      <c r="R28" s="12">
        <f>IF(C28="","",C28)</f>
        <v/>
      </c>
      <c r="S28" s="12">
        <f>IF(R28="","",R28+IF(O28&lt;&gt;"",O28,IF(H28="",0,H28)))</f>
        <v/>
      </c>
      <c r="T28" s="12">
        <f>IF(R28="","",MAX(Settings!$B$3,Settings!$B$4*IF(O28&lt;&gt;"",O28,IF(H28="",0,H28))))</f>
        <v/>
      </c>
      <c r="U28" s="11">
        <f>IF(AND(C28&lt;&gt;"",M28&lt;&gt;"",OR(H28&lt;&gt;"",O28&lt;&gt;"")),"COMPLETE",IF(OR(C28&lt;&gt;"",M28&lt;&gt;""),"PARTIAL","MISSING"))</f>
        <v/>
      </c>
      <c r="V28" s="11">
        <f>IF(Q28="UNKNOWN","Check fluid description",IF(AND(R28&lt;&gt;"",S28&lt;&gt;""),"Ready for contact screening","Needs TVD + thickness"))</f>
        <v/>
      </c>
    </row>
    <row r="29">
      <c r="A29" s="9" t="inlineStr">
        <is>
          <t>X1</t>
        </is>
      </c>
      <c r="B29" s="9" t="inlineStr">
        <is>
          <t>NKG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9" t="n"/>
      <c r="N29" s="9" t="n"/>
      <c r="O29" s="10" t="n"/>
      <c r="P29" s="9" t="n"/>
      <c r="Q29" s="11">
        <f>IF(P29&lt;&gt;"",P29,IF(M29="","UNKNOWN",IF(AND(ISNUMBER(SEARCH("gas",LOWER(M29))),ISNUMBER(SEARCH("water",LOWER(M29)))),"GAS_WATER",IF(AND(ISNUMBER(SEARCH("oil",LOWER(M29))),ISNUMBER(SEARCH("water",LOWER(M29)))),"OIL_WATER",IF(ISNUMBER(SEARCH("gas",LOWER(M29))),"GAS",IF(ISNUMBER(SEARCH("water",LOWER(M29))),"WATER",IF(ISNUMBER(SEARCH("oil",LOWER(M29))),"OIL","UNKNOWN")))))))</f>
        <v/>
      </c>
      <c r="R29" s="12">
        <f>IF(C29="","",C29)</f>
        <v/>
      </c>
      <c r="S29" s="12">
        <f>IF(R29="","",R29+IF(O29&lt;&gt;"",O29,IF(H29="",0,H29)))</f>
        <v/>
      </c>
      <c r="T29" s="12">
        <f>IF(R29="","",MAX(Settings!$B$3,Settings!$B$4*IF(O29&lt;&gt;"",O29,IF(H29="",0,H29))))</f>
        <v/>
      </c>
      <c r="U29" s="11">
        <f>IF(AND(C29&lt;&gt;"",M29&lt;&gt;"",OR(H29&lt;&gt;"",O29&lt;&gt;"")),"COMPLETE",IF(OR(C29&lt;&gt;"",M29&lt;&gt;""),"PARTIAL","MISSING"))</f>
        <v/>
      </c>
      <c r="V29" s="11">
        <f>IF(Q29="UNKNOWN","Check fluid description",IF(AND(R29&lt;&gt;"",S29&lt;&gt;""),"Ready for contact screening","Needs TVD + thickness"))</f>
        <v/>
      </c>
    </row>
    <row r="30">
      <c r="A30" s="9" t="n"/>
      <c r="B30" s="9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9" t="n"/>
      <c r="N30" s="9" t="n"/>
      <c r="O30" s="10" t="n"/>
      <c r="P30" s="9" t="n"/>
      <c r="Q30" s="11">
        <f>IF(P30&lt;&gt;"",P30,IF(M30="","UNKNOWN",IF(AND(ISNUMBER(SEARCH("gas",LOWER(M30))),ISNUMBER(SEARCH("water",LOWER(M30)))),"GAS_WATER",IF(AND(ISNUMBER(SEARCH("oil",LOWER(M30))),ISNUMBER(SEARCH("water",LOWER(M30)))),"OIL_WATER",IF(ISNUMBER(SEARCH("gas",LOWER(M30))),"GAS",IF(ISNUMBER(SEARCH("water",LOWER(M30))),"WATER",IF(ISNUMBER(SEARCH("oil",LOWER(M30))),"OIL","UNKNOWN")))))))</f>
        <v/>
      </c>
      <c r="R30" s="12">
        <f>IF(C30="","",C30)</f>
        <v/>
      </c>
      <c r="S30" s="12">
        <f>IF(R30="","",R30+IF(O30&lt;&gt;"",O30,IF(H30="",0,H30)))</f>
        <v/>
      </c>
      <c r="T30" s="12">
        <f>IF(R30="","",MAX(Settings!$B$3,Settings!$B$4*IF(O30&lt;&gt;"",O30,IF(H30="",0,H30))))</f>
        <v/>
      </c>
      <c r="U30" s="11">
        <f>IF(AND(C30&lt;&gt;"",M30&lt;&gt;"",OR(H30&lt;&gt;"",O30&lt;&gt;"")),"COMPLETE",IF(OR(C30&lt;&gt;"",M30&lt;&gt;""),"PARTIAL","MISSING"))</f>
        <v/>
      </c>
      <c r="V30" s="11">
        <f>IF(Q30="UNKNOWN","Check fluid description",IF(AND(R30&lt;&gt;"",S30&lt;&gt;""),"Ready for contact screening","Needs TVD + thickness"))</f>
        <v/>
      </c>
    </row>
    <row r="31">
      <c r="A31" s="9" t="n"/>
      <c r="B31" s="9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9" t="n"/>
      <c r="N31" s="9" t="n"/>
      <c r="O31" s="10" t="n"/>
      <c r="P31" s="9" t="n"/>
      <c r="Q31" s="11">
        <f>IF(P31&lt;&gt;"",P31,IF(M31="","UNKNOWN",IF(AND(ISNUMBER(SEARCH("gas",LOWER(M31))),ISNUMBER(SEARCH("water",LOWER(M31)))),"GAS_WATER",IF(AND(ISNUMBER(SEARCH("oil",LOWER(M31))),ISNUMBER(SEARCH("water",LOWER(M31)))),"OIL_WATER",IF(ISNUMBER(SEARCH("gas",LOWER(M31))),"GAS",IF(ISNUMBER(SEARCH("water",LOWER(M31))),"WATER",IF(ISNUMBER(SEARCH("oil",LOWER(M31))),"OIL","UNKNOWN")))))))</f>
        <v/>
      </c>
      <c r="R31" s="12">
        <f>IF(C31="","",C31)</f>
        <v/>
      </c>
      <c r="S31" s="12">
        <f>IF(R31="","",R31+IF(O31&lt;&gt;"",O31,IF(H31="",0,H31)))</f>
        <v/>
      </c>
      <c r="T31" s="12">
        <f>IF(R31="","",MAX(Settings!$B$3,Settings!$B$4*IF(O31&lt;&gt;"",O31,IF(H31="",0,H31))))</f>
        <v/>
      </c>
      <c r="U31" s="11">
        <f>IF(AND(C31&lt;&gt;"",M31&lt;&gt;"",OR(H31&lt;&gt;"",O31&lt;&gt;"")),"COMPLETE",IF(OR(C31&lt;&gt;"",M31&lt;&gt;""),"PARTIAL","MISSING"))</f>
        <v/>
      </c>
      <c r="V31" s="11">
        <f>IF(Q31="UNKNOWN","Check fluid description",IF(AND(R31&lt;&gt;"",S31&lt;&gt;""),"Ready for contact screening","Needs TVD + thickness"))</f>
        <v/>
      </c>
    </row>
    <row r="32">
      <c r="A32" s="9" t="n"/>
      <c r="B32" s="9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9" t="n"/>
      <c r="N32" s="9" t="n"/>
      <c r="O32" s="10" t="n"/>
      <c r="P32" s="9" t="n"/>
      <c r="Q32" s="11">
        <f>IF(P32&lt;&gt;"",P32,IF(M32="","UNKNOWN",IF(AND(ISNUMBER(SEARCH("gas",LOWER(M32))),ISNUMBER(SEARCH("water",LOWER(M32)))),"GAS_WATER",IF(AND(ISNUMBER(SEARCH("oil",LOWER(M32))),ISNUMBER(SEARCH("water",LOWER(M32)))),"OIL_WATER",IF(ISNUMBER(SEARCH("gas",LOWER(M32))),"GAS",IF(ISNUMBER(SEARCH("water",LOWER(M32))),"WATER",IF(ISNUMBER(SEARCH("oil",LOWER(M32))),"OIL","UNKNOWN")))))))</f>
        <v/>
      </c>
      <c r="R32" s="12">
        <f>IF(C32="","",C32)</f>
        <v/>
      </c>
      <c r="S32" s="12">
        <f>IF(R32="","",R32+IF(O32&lt;&gt;"",O32,IF(H32="",0,H32)))</f>
        <v/>
      </c>
      <c r="T32" s="12">
        <f>IF(R32="","",MAX(Settings!$B$3,Settings!$B$4*IF(O32&lt;&gt;"",O32,IF(H32="",0,H32))))</f>
        <v/>
      </c>
      <c r="U32" s="11">
        <f>IF(AND(C32&lt;&gt;"",M32&lt;&gt;"",OR(H32&lt;&gt;"",O32&lt;&gt;"")),"COMPLETE",IF(OR(C32&lt;&gt;"",M32&lt;&gt;""),"PARTIAL","MISSING"))</f>
        <v/>
      </c>
      <c r="V32" s="11">
        <f>IF(Q32="UNKNOWN","Check fluid description",IF(AND(R32&lt;&gt;"",S32&lt;&gt;""),"Ready for contact screening","Needs TVD + thickness"))</f>
        <v/>
      </c>
    </row>
    <row r="33">
      <c r="A33" s="9" t="n"/>
      <c r="B33" s="9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9" t="n"/>
      <c r="N33" s="9" t="n"/>
      <c r="O33" s="10" t="n"/>
      <c r="P33" s="9" t="n"/>
      <c r="Q33" s="11">
        <f>IF(P33&lt;&gt;"",P33,IF(M33="","UNKNOWN",IF(AND(ISNUMBER(SEARCH("gas",LOWER(M33))),ISNUMBER(SEARCH("water",LOWER(M33)))),"GAS_WATER",IF(AND(ISNUMBER(SEARCH("oil",LOWER(M33))),ISNUMBER(SEARCH("water",LOWER(M33)))),"OIL_WATER",IF(ISNUMBER(SEARCH("gas",LOWER(M33))),"GAS",IF(ISNUMBER(SEARCH("water",LOWER(M33))),"WATER",IF(ISNUMBER(SEARCH("oil",LOWER(M33))),"OIL","UNKNOWN")))))))</f>
        <v/>
      </c>
      <c r="R33" s="12">
        <f>IF(C33="","",C33)</f>
        <v/>
      </c>
      <c r="S33" s="12">
        <f>IF(R33="","",R33+IF(O33&lt;&gt;"",O33,IF(H33="",0,H33)))</f>
        <v/>
      </c>
      <c r="T33" s="12">
        <f>IF(R33="","",MAX(Settings!$B$3,Settings!$B$4*IF(O33&lt;&gt;"",O33,IF(H33="",0,H33))))</f>
        <v/>
      </c>
      <c r="U33" s="11">
        <f>IF(AND(C33&lt;&gt;"",M33&lt;&gt;"",OR(H33&lt;&gt;"",O33&lt;&gt;"")),"COMPLETE",IF(OR(C33&lt;&gt;"",M33&lt;&gt;""),"PARTIAL","MISSING"))</f>
        <v/>
      </c>
      <c r="V33" s="11">
        <f>IF(Q33="UNKNOWN","Check fluid description",IF(AND(R33&lt;&gt;"",S33&lt;&gt;""),"Ready for contact screening","Needs TVD + thickness"))</f>
        <v/>
      </c>
    </row>
    <row r="34">
      <c r="A34" s="9" t="n"/>
      <c r="B34" s="9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9" t="n"/>
      <c r="N34" s="9" t="n"/>
      <c r="O34" s="10" t="n"/>
      <c r="P34" s="9" t="n"/>
      <c r="Q34" s="11">
        <f>IF(P34&lt;&gt;"",P34,IF(M34="","UNKNOWN",IF(AND(ISNUMBER(SEARCH("gas",LOWER(M34))),ISNUMBER(SEARCH("water",LOWER(M34)))),"GAS_WATER",IF(AND(ISNUMBER(SEARCH("oil",LOWER(M34))),ISNUMBER(SEARCH("water",LOWER(M34)))),"OIL_WATER",IF(ISNUMBER(SEARCH("gas",LOWER(M34))),"GAS",IF(ISNUMBER(SEARCH("water",LOWER(M34))),"WATER",IF(ISNUMBER(SEARCH("oil",LOWER(M34))),"OIL","UNKNOWN")))))))</f>
        <v/>
      </c>
      <c r="R34" s="12">
        <f>IF(C34="","",C34)</f>
        <v/>
      </c>
      <c r="S34" s="12">
        <f>IF(R34="","",R34+IF(O34&lt;&gt;"",O34,IF(H34="",0,H34)))</f>
        <v/>
      </c>
      <c r="T34" s="12">
        <f>IF(R34="","",MAX(Settings!$B$3,Settings!$B$4*IF(O34&lt;&gt;"",O34,IF(H34="",0,H34))))</f>
        <v/>
      </c>
      <c r="U34" s="11">
        <f>IF(AND(C34&lt;&gt;"",M34&lt;&gt;"",OR(H34&lt;&gt;"",O34&lt;&gt;"")),"COMPLETE",IF(OR(C34&lt;&gt;"",M34&lt;&gt;""),"PARTIAL","MISSING"))</f>
        <v/>
      </c>
      <c r="V34" s="11">
        <f>IF(Q34="UNKNOWN","Check fluid description",IF(AND(R34&lt;&gt;"",S34&lt;&gt;""),"Ready for contact screening","Needs TVD + thickness"))</f>
        <v/>
      </c>
    </row>
    <row r="35">
      <c r="A35" s="9" t="n"/>
      <c r="B35" s="9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9" t="n"/>
      <c r="N35" s="9" t="n"/>
      <c r="O35" s="10" t="n"/>
      <c r="P35" s="9" t="n"/>
      <c r="Q35" s="11">
        <f>IF(P35&lt;&gt;"",P35,IF(M35="","UNKNOWN",IF(AND(ISNUMBER(SEARCH("gas",LOWER(M35))),ISNUMBER(SEARCH("water",LOWER(M35)))),"GAS_WATER",IF(AND(ISNUMBER(SEARCH("oil",LOWER(M35))),ISNUMBER(SEARCH("water",LOWER(M35)))),"OIL_WATER",IF(ISNUMBER(SEARCH("gas",LOWER(M35))),"GAS",IF(ISNUMBER(SEARCH("water",LOWER(M35))),"WATER",IF(ISNUMBER(SEARCH("oil",LOWER(M35))),"OIL","UNKNOWN")))))))</f>
        <v/>
      </c>
      <c r="R35" s="12">
        <f>IF(C35="","",C35)</f>
        <v/>
      </c>
      <c r="S35" s="12">
        <f>IF(R35="","",R35+IF(O35&lt;&gt;"",O35,IF(H35="",0,H35)))</f>
        <v/>
      </c>
      <c r="T35" s="12">
        <f>IF(R35="","",MAX(Settings!$B$3,Settings!$B$4*IF(O35&lt;&gt;"",O35,IF(H35="",0,H35))))</f>
        <v/>
      </c>
      <c r="U35" s="11">
        <f>IF(AND(C35&lt;&gt;"",M35&lt;&gt;"",OR(H35&lt;&gt;"",O35&lt;&gt;"")),"COMPLETE",IF(OR(C35&lt;&gt;"",M35&lt;&gt;""),"PARTIAL","MISSING"))</f>
        <v/>
      </c>
      <c r="V35" s="11">
        <f>IF(Q35="UNKNOWN","Check fluid description",IF(AND(R35&lt;&gt;"",S35&lt;&gt;""),"Ready for contact screening","Needs TVD + thickness"))</f>
        <v/>
      </c>
    </row>
    <row r="36">
      <c r="A36" s="9" t="n"/>
      <c r="B36" s="9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9" t="n"/>
      <c r="N36" s="9" t="n"/>
      <c r="O36" s="10" t="n"/>
      <c r="P36" s="9" t="n"/>
      <c r="Q36" s="11">
        <f>IF(P36&lt;&gt;"",P36,IF(M36="","UNKNOWN",IF(AND(ISNUMBER(SEARCH("gas",LOWER(M36))),ISNUMBER(SEARCH("water",LOWER(M36)))),"GAS_WATER",IF(AND(ISNUMBER(SEARCH("oil",LOWER(M36))),ISNUMBER(SEARCH("water",LOWER(M36)))),"OIL_WATER",IF(ISNUMBER(SEARCH("gas",LOWER(M36))),"GAS",IF(ISNUMBER(SEARCH("water",LOWER(M36))),"WATER",IF(ISNUMBER(SEARCH("oil",LOWER(M36))),"OIL","UNKNOWN")))))))</f>
        <v/>
      </c>
      <c r="R36" s="12">
        <f>IF(C36="","",C36)</f>
        <v/>
      </c>
      <c r="S36" s="12">
        <f>IF(R36="","",R36+IF(O36&lt;&gt;"",O36,IF(H36="",0,H36)))</f>
        <v/>
      </c>
      <c r="T36" s="12">
        <f>IF(R36="","",MAX(Settings!$B$3,Settings!$B$4*IF(O36&lt;&gt;"",O36,IF(H36="",0,H36))))</f>
        <v/>
      </c>
      <c r="U36" s="11">
        <f>IF(AND(C36&lt;&gt;"",M36&lt;&gt;"",OR(H36&lt;&gt;"",O36&lt;&gt;"")),"COMPLETE",IF(OR(C36&lt;&gt;"",M36&lt;&gt;""),"PARTIAL","MISSING"))</f>
        <v/>
      </c>
      <c r="V36" s="11">
        <f>IF(Q36="UNKNOWN","Check fluid description",IF(AND(R36&lt;&gt;"",S36&lt;&gt;""),"Ready for contact screening","Needs TVD + thickness"))</f>
        <v/>
      </c>
    </row>
    <row r="37">
      <c r="A37" s="9" t="n"/>
      <c r="B37" s="9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9" t="n"/>
      <c r="N37" s="9" t="n"/>
      <c r="O37" s="10" t="n"/>
      <c r="P37" s="9" t="n"/>
      <c r="Q37" s="11">
        <f>IF(P37&lt;&gt;"",P37,IF(M37="","UNKNOWN",IF(AND(ISNUMBER(SEARCH("gas",LOWER(M37))),ISNUMBER(SEARCH("water",LOWER(M37)))),"GAS_WATER",IF(AND(ISNUMBER(SEARCH("oil",LOWER(M37))),ISNUMBER(SEARCH("water",LOWER(M37)))),"OIL_WATER",IF(ISNUMBER(SEARCH("gas",LOWER(M37))),"GAS",IF(ISNUMBER(SEARCH("water",LOWER(M37))),"WATER",IF(ISNUMBER(SEARCH("oil",LOWER(M37))),"OIL","UNKNOWN")))))))</f>
        <v/>
      </c>
      <c r="R37" s="12">
        <f>IF(C37="","",C37)</f>
        <v/>
      </c>
      <c r="S37" s="12">
        <f>IF(R37="","",R37+IF(O37&lt;&gt;"",O37,IF(H37="",0,H37)))</f>
        <v/>
      </c>
      <c r="T37" s="12">
        <f>IF(R37="","",MAX(Settings!$B$3,Settings!$B$4*IF(O37&lt;&gt;"",O37,IF(H37="",0,H37))))</f>
        <v/>
      </c>
      <c r="U37" s="11">
        <f>IF(AND(C37&lt;&gt;"",M37&lt;&gt;"",OR(H37&lt;&gt;"",O37&lt;&gt;"")),"COMPLETE",IF(OR(C37&lt;&gt;"",M37&lt;&gt;""),"PARTIAL","MISSING"))</f>
        <v/>
      </c>
      <c r="V37" s="11">
        <f>IF(Q37="UNKNOWN","Check fluid description",IF(AND(R37&lt;&gt;"",S37&lt;&gt;""),"Ready for contact screening","Needs TVD + thickness"))</f>
        <v/>
      </c>
    </row>
    <row r="38">
      <c r="A38" s="9" t="n"/>
      <c r="B38" s="9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9" t="n"/>
      <c r="N38" s="9" t="n"/>
      <c r="O38" s="10" t="n"/>
      <c r="P38" s="9" t="n"/>
      <c r="Q38" s="11">
        <f>IF(P38&lt;&gt;"",P38,IF(M38="","UNKNOWN",IF(AND(ISNUMBER(SEARCH("gas",LOWER(M38))),ISNUMBER(SEARCH("water",LOWER(M38)))),"GAS_WATER",IF(AND(ISNUMBER(SEARCH("oil",LOWER(M38))),ISNUMBER(SEARCH("water",LOWER(M38)))),"OIL_WATER",IF(ISNUMBER(SEARCH("gas",LOWER(M38))),"GAS",IF(ISNUMBER(SEARCH("water",LOWER(M38))),"WATER",IF(ISNUMBER(SEARCH("oil",LOWER(M38))),"OIL","UNKNOWN")))))))</f>
        <v/>
      </c>
      <c r="R38" s="12">
        <f>IF(C38="","",C38)</f>
        <v/>
      </c>
      <c r="S38" s="12">
        <f>IF(R38="","",R38+IF(O38&lt;&gt;"",O38,IF(H38="",0,H38)))</f>
        <v/>
      </c>
      <c r="T38" s="12">
        <f>IF(R38="","",MAX(Settings!$B$3,Settings!$B$4*IF(O38&lt;&gt;"",O38,IF(H38="",0,H38))))</f>
        <v/>
      </c>
      <c r="U38" s="11">
        <f>IF(AND(C38&lt;&gt;"",M38&lt;&gt;"",OR(H38&lt;&gt;"",O38&lt;&gt;"")),"COMPLETE",IF(OR(C38&lt;&gt;"",M38&lt;&gt;""),"PARTIAL","MISSING"))</f>
        <v/>
      </c>
      <c r="V38" s="11">
        <f>IF(Q38="UNKNOWN","Check fluid description",IF(AND(R38&lt;&gt;"",S38&lt;&gt;""),"Ready for contact screening","Needs TVD + thickness"))</f>
        <v/>
      </c>
    </row>
    <row r="39">
      <c r="A39" s="9" t="n"/>
      <c r="B39" s="9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9" t="n"/>
      <c r="N39" s="9" t="n"/>
      <c r="O39" s="10" t="n"/>
      <c r="P39" s="9" t="n"/>
      <c r="Q39" s="11">
        <f>IF(P39&lt;&gt;"",P39,IF(M39="","UNKNOWN",IF(AND(ISNUMBER(SEARCH("gas",LOWER(M39))),ISNUMBER(SEARCH("water",LOWER(M39)))),"GAS_WATER",IF(AND(ISNUMBER(SEARCH("oil",LOWER(M39))),ISNUMBER(SEARCH("water",LOWER(M39)))),"OIL_WATER",IF(ISNUMBER(SEARCH("gas",LOWER(M39))),"GAS",IF(ISNUMBER(SEARCH("water",LOWER(M39))),"WATER",IF(ISNUMBER(SEARCH("oil",LOWER(M39))),"OIL","UNKNOWN")))))))</f>
        <v/>
      </c>
      <c r="R39" s="12">
        <f>IF(C39="","",C39)</f>
        <v/>
      </c>
      <c r="S39" s="12">
        <f>IF(R39="","",R39+IF(O39&lt;&gt;"",O39,IF(H39="",0,H39)))</f>
        <v/>
      </c>
      <c r="T39" s="12">
        <f>IF(R39="","",MAX(Settings!$B$3,Settings!$B$4*IF(O39&lt;&gt;"",O39,IF(H39="",0,H39))))</f>
        <v/>
      </c>
      <c r="U39" s="11">
        <f>IF(AND(C39&lt;&gt;"",M39&lt;&gt;"",OR(H39&lt;&gt;"",O39&lt;&gt;"")),"COMPLETE",IF(OR(C39&lt;&gt;"",M39&lt;&gt;""),"PARTIAL","MISSING"))</f>
        <v/>
      </c>
      <c r="V39" s="11">
        <f>IF(Q39="UNKNOWN","Check fluid description",IF(AND(R39&lt;&gt;"",S39&lt;&gt;""),"Ready for contact screening","Needs TVD + thickness"))</f>
        <v/>
      </c>
    </row>
    <row r="40">
      <c r="A40" s="9" t="n"/>
      <c r="B40" s="9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9" t="n"/>
      <c r="N40" s="9" t="n"/>
      <c r="O40" s="10" t="n"/>
      <c r="P40" s="9" t="n"/>
      <c r="Q40" s="11">
        <f>IF(P40&lt;&gt;"",P40,IF(M40="","UNKNOWN",IF(AND(ISNUMBER(SEARCH("gas",LOWER(M40))),ISNUMBER(SEARCH("water",LOWER(M40)))),"GAS_WATER",IF(AND(ISNUMBER(SEARCH("oil",LOWER(M40))),ISNUMBER(SEARCH("water",LOWER(M40)))),"OIL_WATER",IF(ISNUMBER(SEARCH("gas",LOWER(M40))),"GAS",IF(ISNUMBER(SEARCH("water",LOWER(M40))),"WATER",IF(ISNUMBER(SEARCH("oil",LOWER(M40))),"OIL","UNKNOWN")))))))</f>
        <v/>
      </c>
      <c r="R40" s="12">
        <f>IF(C40="","",C40)</f>
        <v/>
      </c>
      <c r="S40" s="12">
        <f>IF(R40="","",R40+IF(O40&lt;&gt;"",O40,IF(H40="",0,H40)))</f>
        <v/>
      </c>
      <c r="T40" s="12">
        <f>IF(R40="","",MAX(Settings!$B$3,Settings!$B$4*IF(O40&lt;&gt;"",O40,IF(H40="",0,H40))))</f>
        <v/>
      </c>
      <c r="U40" s="11">
        <f>IF(AND(C40&lt;&gt;"",M40&lt;&gt;"",OR(H40&lt;&gt;"",O40&lt;&gt;"")),"COMPLETE",IF(OR(C40&lt;&gt;"",M40&lt;&gt;""),"PARTIAL","MISSING"))</f>
        <v/>
      </c>
      <c r="V40" s="11">
        <f>IF(Q40="UNKNOWN","Check fluid description",IF(AND(R40&lt;&gt;"",S40&lt;&gt;""),"Ready for contact screening","Needs TVD + thickness"))</f>
        <v/>
      </c>
    </row>
    <row r="41">
      <c r="A41" s="9" t="n"/>
      <c r="B41" s="9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9" t="n"/>
      <c r="N41" s="9" t="n"/>
      <c r="O41" s="10" t="n"/>
      <c r="P41" s="9" t="n"/>
      <c r="Q41" s="11">
        <f>IF(P41&lt;&gt;"",P41,IF(M41="","UNKNOWN",IF(AND(ISNUMBER(SEARCH("gas",LOWER(M41))),ISNUMBER(SEARCH("water",LOWER(M41)))),"GAS_WATER",IF(AND(ISNUMBER(SEARCH("oil",LOWER(M41))),ISNUMBER(SEARCH("water",LOWER(M41)))),"OIL_WATER",IF(ISNUMBER(SEARCH("gas",LOWER(M41))),"GAS",IF(ISNUMBER(SEARCH("water",LOWER(M41))),"WATER",IF(ISNUMBER(SEARCH("oil",LOWER(M41))),"OIL","UNKNOWN")))))))</f>
        <v/>
      </c>
      <c r="R41" s="12">
        <f>IF(C41="","",C41)</f>
        <v/>
      </c>
      <c r="S41" s="12">
        <f>IF(R41="","",R41+IF(O41&lt;&gt;"",O41,IF(H41="",0,H41)))</f>
        <v/>
      </c>
      <c r="T41" s="12">
        <f>IF(R41="","",MAX(Settings!$B$3,Settings!$B$4*IF(O41&lt;&gt;"",O41,IF(H41="",0,H41))))</f>
        <v/>
      </c>
      <c r="U41" s="11">
        <f>IF(AND(C41&lt;&gt;"",M41&lt;&gt;"",OR(H41&lt;&gt;"",O41&lt;&gt;"")),"COMPLETE",IF(OR(C41&lt;&gt;"",M41&lt;&gt;""),"PARTIAL","MISSING"))</f>
        <v/>
      </c>
      <c r="V41" s="11">
        <f>IF(Q41="UNKNOWN","Check fluid description",IF(AND(R41&lt;&gt;"",S41&lt;&gt;""),"Ready for contact screening","Needs TVD + thickness"))</f>
        <v/>
      </c>
    </row>
    <row r="42">
      <c r="A42" s="9" t="n"/>
      <c r="B42" s="9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9" t="n"/>
      <c r="N42" s="9" t="n"/>
      <c r="O42" s="10" t="n"/>
      <c r="P42" s="9" t="n"/>
      <c r="Q42" s="11">
        <f>IF(P42&lt;&gt;"",P42,IF(M42="","UNKNOWN",IF(AND(ISNUMBER(SEARCH("gas",LOWER(M42))),ISNUMBER(SEARCH("water",LOWER(M42)))),"GAS_WATER",IF(AND(ISNUMBER(SEARCH("oil",LOWER(M42))),ISNUMBER(SEARCH("water",LOWER(M42)))),"OIL_WATER",IF(ISNUMBER(SEARCH("gas",LOWER(M42))),"GAS",IF(ISNUMBER(SEARCH("water",LOWER(M42))),"WATER",IF(ISNUMBER(SEARCH("oil",LOWER(M42))),"OIL","UNKNOWN")))))))</f>
        <v/>
      </c>
      <c r="R42" s="12">
        <f>IF(C42="","",C42)</f>
        <v/>
      </c>
      <c r="S42" s="12">
        <f>IF(R42="","",R42+IF(O42&lt;&gt;"",O42,IF(H42="",0,H42)))</f>
        <v/>
      </c>
      <c r="T42" s="12">
        <f>IF(R42="","",MAX(Settings!$B$3,Settings!$B$4*IF(O42&lt;&gt;"",O42,IF(H42="",0,H42))))</f>
        <v/>
      </c>
      <c r="U42" s="11">
        <f>IF(AND(C42&lt;&gt;"",M42&lt;&gt;"",OR(H42&lt;&gt;"",O42&lt;&gt;"")),"COMPLETE",IF(OR(C42&lt;&gt;"",M42&lt;&gt;""),"PARTIAL","MISSING"))</f>
        <v/>
      </c>
      <c r="V42" s="11">
        <f>IF(Q42="UNKNOWN","Check fluid description",IF(AND(R42&lt;&gt;"",S42&lt;&gt;""),"Ready for contact screening","Needs TVD + thickness"))</f>
        <v/>
      </c>
    </row>
    <row r="43">
      <c r="A43" s="9" t="n"/>
      <c r="B43" s="9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9" t="n"/>
      <c r="N43" s="9" t="n"/>
      <c r="O43" s="10" t="n"/>
      <c r="P43" s="9" t="n"/>
      <c r="Q43" s="11">
        <f>IF(P43&lt;&gt;"",P43,IF(M43="","UNKNOWN",IF(AND(ISNUMBER(SEARCH("gas",LOWER(M43))),ISNUMBER(SEARCH("water",LOWER(M43)))),"GAS_WATER",IF(AND(ISNUMBER(SEARCH("oil",LOWER(M43))),ISNUMBER(SEARCH("water",LOWER(M43)))),"OIL_WATER",IF(ISNUMBER(SEARCH("gas",LOWER(M43))),"GAS",IF(ISNUMBER(SEARCH("water",LOWER(M43))),"WATER",IF(ISNUMBER(SEARCH("oil",LOWER(M43))),"OIL","UNKNOWN")))))))</f>
        <v/>
      </c>
      <c r="R43" s="12">
        <f>IF(C43="","",C43)</f>
        <v/>
      </c>
      <c r="S43" s="12">
        <f>IF(R43="","",R43+IF(O43&lt;&gt;"",O43,IF(H43="",0,H43)))</f>
        <v/>
      </c>
      <c r="T43" s="12">
        <f>IF(R43="","",MAX(Settings!$B$3,Settings!$B$4*IF(O43&lt;&gt;"",O43,IF(H43="",0,H43))))</f>
        <v/>
      </c>
      <c r="U43" s="11">
        <f>IF(AND(C43&lt;&gt;"",M43&lt;&gt;"",OR(H43&lt;&gt;"",O43&lt;&gt;"")),"COMPLETE",IF(OR(C43&lt;&gt;"",M43&lt;&gt;""),"PARTIAL","MISSING"))</f>
        <v/>
      </c>
      <c r="V43" s="11">
        <f>IF(Q43="UNKNOWN","Check fluid description",IF(AND(R43&lt;&gt;"",S43&lt;&gt;""),"Ready for contact screening","Needs TVD + thickness"))</f>
        <v/>
      </c>
    </row>
    <row r="44">
      <c r="A44" s="9" t="n"/>
      <c r="B44" s="9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9" t="n"/>
      <c r="N44" s="9" t="n"/>
      <c r="O44" s="10" t="n"/>
      <c r="P44" s="9" t="n"/>
      <c r="Q44" s="11">
        <f>IF(P44&lt;&gt;"",P44,IF(M44="","UNKNOWN",IF(AND(ISNUMBER(SEARCH("gas",LOWER(M44))),ISNUMBER(SEARCH("water",LOWER(M44)))),"GAS_WATER",IF(AND(ISNUMBER(SEARCH("oil",LOWER(M44))),ISNUMBER(SEARCH("water",LOWER(M44)))),"OIL_WATER",IF(ISNUMBER(SEARCH("gas",LOWER(M44))),"GAS",IF(ISNUMBER(SEARCH("water",LOWER(M44))),"WATER",IF(ISNUMBER(SEARCH("oil",LOWER(M44))),"OIL","UNKNOWN")))))))</f>
        <v/>
      </c>
      <c r="R44" s="12">
        <f>IF(C44="","",C44)</f>
        <v/>
      </c>
      <c r="S44" s="12">
        <f>IF(R44="","",R44+IF(O44&lt;&gt;"",O44,IF(H44="",0,H44)))</f>
        <v/>
      </c>
      <c r="T44" s="12">
        <f>IF(R44="","",MAX(Settings!$B$3,Settings!$B$4*IF(O44&lt;&gt;"",O44,IF(H44="",0,H44))))</f>
        <v/>
      </c>
      <c r="U44" s="11">
        <f>IF(AND(C44&lt;&gt;"",M44&lt;&gt;"",OR(H44&lt;&gt;"",O44&lt;&gt;"")),"COMPLETE",IF(OR(C44&lt;&gt;"",M44&lt;&gt;""),"PARTIAL","MISSING"))</f>
        <v/>
      </c>
      <c r="V44" s="11">
        <f>IF(Q44="UNKNOWN","Check fluid description",IF(AND(R44&lt;&gt;"",S44&lt;&gt;""),"Ready for contact screening","Needs TVD + thickness"))</f>
        <v/>
      </c>
    </row>
    <row r="45">
      <c r="A45" s="9" t="n"/>
      <c r="B45" s="9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9" t="n"/>
      <c r="N45" s="9" t="n"/>
      <c r="O45" s="10" t="n"/>
      <c r="P45" s="9" t="n"/>
      <c r="Q45" s="11">
        <f>IF(P45&lt;&gt;"",P45,IF(M45="","UNKNOWN",IF(AND(ISNUMBER(SEARCH("gas",LOWER(M45))),ISNUMBER(SEARCH("water",LOWER(M45)))),"GAS_WATER",IF(AND(ISNUMBER(SEARCH("oil",LOWER(M45))),ISNUMBER(SEARCH("water",LOWER(M45)))),"OIL_WATER",IF(ISNUMBER(SEARCH("gas",LOWER(M45))),"GAS",IF(ISNUMBER(SEARCH("water",LOWER(M45))),"WATER",IF(ISNUMBER(SEARCH("oil",LOWER(M45))),"OIL","UNKNOWN")))))))</f>
        <v/>
      </c>
      <c r="R45" s="12">
        <f>IF(C45="","",C45)</f>
        <v/>
      </c>
      <c r="S45" s="12">
        <f>IF(R45="","",R45+IF(O45&lt;&gt;"",O45,IF(H45="",0,H45)))</f>
        <v/>
      </c>
      <c r="T45" s="12">
        <f>IF(R45="","",MAX(Settings!$B$3,Settings!$B$4*IF(O45&lt;&gt;"",O45,IF(H45="",0,H45))))</f>
        <v/>
      </c>
      <c r="U45" s="11">
        <f>IF(AND(C45&lt;&gt;"",M45&lt;&gt;"",OR(H45&lt;&gt;"",O45&lt;&gt;"")),"COMPLETE",IF(OR(C45&lt;&gt;"",M45&lt;&gt;""),"PARTIAL","MISSING"))</f>
        <v/>
      </c>
      <c r="V45" s="11">
        <f>IF(Q45="UNKNOWN","Check fluid description",IF(AND(R45&lt;&gt;"",S45&lt;&gt;""),"Ready for contact screening","Needs TVD + thickness"))</f>
        <v/>
      </c>
    </row>
    <row r="46">
      <c r="A46" s="9" t="n"/>
      <c r="B46" s="9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9" t="n"/>
      <c r="N46" s="9" t="n"/>
      <c r="O46" s="10" t="n"/>
      <c r="P46" s="9" t="n"/>
      <c r="Q46" s="11">
        <f>IF(P46&lt;&gt;"",P46,IF(M46="","UNKNOWN",IF(AND(ISNUMBER(SEARCH("gas",LOWER(M46))),ISNUMBER(SEARCH("water",LOWER(M46)))),"GAS_WATER",IF(AND(ISNUMBER(SEARCH("oil",LOWER(M46))),ISNUMBER(SEARCH("water",LOWER(M46)))),"OIL_WATER",IF(ISNUMBER(SEARCH("gas",LOWER(M46))),"GAS",IF(ISNUMBER(SEARCH("water",LOWER(M46))),"WATER",IF(ISNUMBER(SEARCH("oil",LOWER(M46))),"OIL","UNKNOWN")))))))</f>
        <v/>
      </c>
      <c r="R46" s="12">
        <f>IF(C46="","",C46)</f>
        <v/>
      </c>
      <c r="S46" s="12">
        <f>IF(R46="","",R46+IF(O46&lt;&gt;"",O46,IF(H46="",0,H46)))</f>
        <v/>
      </c>
      <c r="T46" s="12">
        <f>IF(R46="","",MAX(Settings!$B$3,Settings!$B$4*IF(O46&lt;&gt;"",O46,IF(H46="",0,H46))))</f>
        <v/>
      </c>
      <c r="U46" s="11">
        <f>IF(AND(C46&lt;&gt;"",M46&lt;&gt;"",OR(H46&lt;&gt;"",O46&lt;&gt;"")),"COMPLETE",IF(OR(C46&lt;&gt;"",M46&lt;&gt;""),"PARTIAL","MISSING"))</f>
        <v/>
      </c>
      <c r="V46" s="11">
        <f>IF(Q46="UNKNOWN","Check fluid description",IF(AND(R46&lt;&gt;"",S46&lt;&gt;""),"Ready for contact screening","Needs TVD + thickness"))</f>
        <v/>
      </c>
    </row>
    <row r="47">
      <c r="A47" s="9" t="n"/>
      <c r="B47" s="9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9" t="n"/>
      <c r="N47" s="9" t="n"/>
      <c r="O47" s="10" t="n"/>
      <c r="P47" s="9" t="n"/>
      <c r="Q47" s="11">
        <f>IF(P47&lt;&gt;"",P47,IF(M47="","UNKNOWN",IF(AND(ISNUMBER(SEARCH("gas",LOWER(M47))),ISNUMBER(SEARCH("water",LOWER(M47)))),"GAS_WATER",IF(AND(ISNUMBER(SEARCH("oil",LOWER(M47))),ISNUMBER(SEARCH("water",LOWER(M47)))),"OIL_WATER",IF(ISNUMBER(SEARCH("gas",LOWER(M47))),"GAS",IF(ISNUMBER(SEARCH("water",LOWER(M47))),"WATER",IF(ISNUMBER(SEARCH("oil",LOWER(M47))),"OIL","UNKNOWN")))))))</f>
        <v/>
      </c>
      <c r="R47" s="12">
        <f>IF(C47="","",C47)</f>
        <v/>
      </c>
      <c r="S47" s="12">
        <f>IF(R47="","",R47+IF(O47&lt;&gt;"",O47,IF(H47="",0,H47)))</f>
        <v/>
      </c>
      <c r="T47" s="12">
        <f>IF(R47="","",MAX(Settings!$B$3,Settings!$B$4*IF(O47&lt;&gt;"",O47,IF(H47="",0,H47))))</f>
        <v/>
      </c>
      <c r="U47" s="11">
        <f>IF(AND(C47&lt;&gt;"",M47&lt;&gt;"",OR(H47&lt;&gt;"",O47&lt;&gt;"")),"COMPLETE",IF(OR(C47&lt;&gt;"",M47&lt;&gt;""),"PARTIAL","MISSING"))</f>
        <v/>
      </c>
      <c r="V47" s="11">
        <f>IF(Q47="UNKNOWN","Check fluid description",IF(AND(R47&lt;&gt;"",S47&lt;&gt;""),"Ready for contact screening","Needs TVD + thickness"))</f>
        <v/>
      </c>
    </row>
    <row r="48">
      <c r="A48" s="9" t="n"/>
      <c r="B48" s="9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9" t="n"/>
      <c r="N48" s="9" t="n"/>
      <c r="O48" s="10" t="n"/>
      <c r="P48" s="9" t="n"/>
      <c r="Q48" s="11">
        <f>IF(P48&lt;&gt;"",P48,IF(M48="","UNKNOWN",IF(AND(ISNUMBER(SEARCH("gas",LOWER(M48))),ISNUMBER(SEARCH("water",LOWER(M48)))),"GAS_WATER",IF(AND(ISNUMBER(SEARCH("oil",LOWER(M48))),ISNUMBER(SEARCH("water",LOWER(M48)))),"OIL_WATER",IF(ISNUMBER(SEARCH("gas",LOWER(M48))),"GAS",IF(ISNUMBER(SEARCH("water",LOWER(M48))),"WATER",IF(ISNUMBER(SEARCH("oil",LOWER(M48))),"OIL","UNKNOWN")))))))</f>
        <v/>
      </c>
      <c r="R48" s="12">
        <f>IF(C48="","",C48)</f>
        <v/>
      </c>
      <c r="S48" s="12">
        <f>IF(R48="","",R48+IF(O48&lt;&gt;"",O48,IF(H48="",0,H48)))</f>
        <v/>
      </c>
      <c r="T48" s="12">
        <f>IF(R48="","",MAX(Settings!$B$3,Settings!$B$4*IF(O48&lt;&gt;"",O48,IF(H48="",0,H48))))</f>
        <v/>
      </c>
      <c r="U48" s="11">
        <f>IF(AND(C48&lt;&gt;"",M48&lt;&gt;"",OR(H48&lt;&gt;"",O48&lt;&gt;"")),"COMPLETE",IF(OR(C48&lt;&gt;"",M48&lt;&gt;""),"PARTIAL","MISSING"))</f>
        <v/>
      </c>
      <c r="V48" s="11">
        <f>IF(Q48="UNKNOWN","Check fluid description",IF(AND(R48&lt;&gt;"",S48&lt;&gt;""),"Ready for contact screening","Needs TVD + thickness"))</f>
        <v/>
      </c>
    </row>
    <row r="49">
      <c r="A49" s="9" t="n"/>
      <c r="B49" s="9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9" t="n"/>
      <c r="N49" s="9" t="n"/>
      <c r="O49" s="10" t="n"/>
      <c r="P49" s="9" t="n"/>
      <c r="Q49" s="11">
        <f>IF(P49&lt;&gt;"",P49,IF(M49="","UNKNOWN",IF(AND(ISNUMBER(SEARCH("gas",LOWER(M49))),ISNUMBER(SEARCH("water",LOWER(M49)))),"GAS_WATER",IF(AND(ISNUMBER(SEARCH("oil",LOWER(M49))),ISNUMBER(SEARCH("water",LOWER(M49)))),"OIL_WATER",IF(ISNUMBER(SEARCH("gas",LOWER(M49))),"GAS",IF(ISNUMBER(SEARCH("water",LOWER(M49))),"WATER",IF(ISNUMBER(SEARCH("oil",LOWER(M49))),"OIL","UNKNOWN")))))))</f>
        <v/>
      </c>
      <c r="R49" s="12">
        <f>IF(C49="","",C49)</f>
        <v/>
      </c>
      <c r="S49" s="12">
        <f>IF(R49="","",R49+IF(O49&lt;&gt;"",O49,IF(H49="",0,H49)))</f>
        <v/>
      </c>
      <c r="T49" s="12">
        <f>IF(R49="","",MAX(Settings!$B$3,Settings!$B$4*IF(O49&lt;&gt;"",O49,IF(H49="",0,H49))))</f>
        <v/>
      </c>
      <c r="U49" s="11">
        <f>IF(AND(C49&lt;&gt;"",M49&lt;&gt;"",OR(H49&lt;&gt;"",O49&lt;&gt;"")),"COMPLETE",IF(OR(C49&lt;&gt;"",M49&lt;&gt;""),"PARTIAL","MISSING"))</f>
        <v/>
      </c>
      <c r="V49" s="11">
        <f>IF(Q49="UNKNOWN","Check fluid description",IF(AND(R49&lt;&gt;"",S49&lt;&gt;""),"Ready for contact screening","Needs TVD + thickness"))</f>
        <v/>
      </c>
    </row>
    <row r="50">
      <c r="A50" s="9" t="n"/>
      <c r="B50" s="9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9" t="n"/>
      <c r="N50" s="9" t="n"/>
      <c r="O50" s="10" t="n"/>
      <c r="P50" s="9" t="n"/>
      <c r="Q50" s="11">
        <f>IF(P50&lt;&gt;"",P50,IF(M50="","UNKNOWN",IF(AND(ISNUMBER(SEARCH("gas",LOWER(M50))),ISNUMBER(SEARCH("water",LOWER(M50)))),"GAS_WATER",IF(AND(ISNUMBER(SEARCH("oil",LOWER(M50))),ISNUMBER(SEARCH("water",LOWER(M50)))),"OIL_WATER",IF(ISNUMBER(SEARCH("gas",LOWER(M50))),"GAS",IF(ISNUMBER(SEARCH("water",LOWER(M50))),"WATER",IF(ISNUMBER(SEARCH("oil",LOWER(M50))),"OIL","UNKNOWN")))))))</f>
        <v/>
      </c>
      <c r="R50" s="12">
        <f>IF(C50="","",C50)</f>
        <v/>
      </c>
      <c r="S50" s="12">
        <f>IF(R50="","",R50+IF(O50&lt;&gt;"",O50,IF(H50="",0,H50)))</f>
        <v/>
      </c>
      <c r="T50" s="12">
        <f>IF(R50="","",MAX(Settings!$B$3,Settings!$B$4*IF(O50&lt;&gt;"",O50,IF(H50="",0,H50))))</f>
        <v/>
      </c>
      <c r="U50" s="11">
        <f>IF(AND(C50&lt;&gt;"",M50&lt;&gt;"",OR(H50&lt;&gt;"",O50&lt;&gt;"")),"COMPLETE",IF(OR(C50&lt;&gt;"",M50&lt;&gt;""),"PARTIAL","MISSING"))</f>
        <v/>
      </c>
      <c r="V50" s="11">
        <f>IF(Q50="UNKNOWN","Check fluid description",IF(AND(R50&lt;&gt;"",S50&lt;&gt;""),"Ready for contact screening","Needs TVD + thickness"))</f>
        <v/>
      </c>
    </row>
    <row r="51">
      <c r="A51" s="9" t="n"/>
      <c r="B51" s="9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9" t="n"/>
      <c r="N51" s="9" t="n"/>
      <c r="O51" s="10" t="n"/>
      <c r="P51" s="9" t="n"/>
      <c r="Q51" s="11">
        <f>IF(P51&lt;&gt;"",P51,IF(M51="","UNKNOWN",IF(AND(ISNUMBER(SEARCH("gas",LOWER(M51))),ISNUMBER(SEARCH("water",LOWER(M51)))),"GAS_WATER",IF(AND(ISNUMBER(SEARCH("oil",LOWER(M51))),ISNUMBER(SEARCH("water",LOWER(M51)))),"OIL_WATER",IF(ISNUMBER(SEARCH("gas",LOWER(M51))),"GAS",IF(ISNUMBER(SEARCH("water",LOWER(M51))),"WATER",IF(ISNUMBER(SEARCH("oil",LOWER(M51))),"OIL","UNKNOWN")))))))</f>
        <v/>
      </c>
      <c r="R51" s="12">
        <f>IF(C51="","",C51)</f>
        <v/>
      </c>
      <c r="S51" s="12">
        <f>IF(R51="","",R51+IF(O51&lt;&gt;"",O51,IF(H51="",0,H51)))</f>
        <v/>
      </c>
      <c r="T51" s="12">
        <f>IF(R51="","",MAX(Settings!$B$3,Settings!$B$4*IF(O51&lt;&gt;"",O51,IF(H51="",0,H51))))</f>
        <v/>
      </c>
      <c r="U51" s="11">
        <f>IF(AND(C51&lt;&gt;"",M51&lt;&gt;"",OR(H51&lt;&gt;"",O51&lt;&gt;"")),"COMPLETE",IF(OR(C51&lt;&gt;"",M51&lt;&gt;""),"PARTIAL","MISSING"))</f>
        <v/>
      </c>
      <c r="V51" s="11">
        <f>IF(Q51="UNKNOWN","Check fluid description",IF(AND(R51&lt;&gt;"",S51&lt;&gt;""),"Ready for contact screening","Needs TVD + thickness"))</f>
        <v/>
      </c>
    </row>
    <row r="52">
      <c r="A52" s="9" t="n"/>
      <c r="B52" s="9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9" t="n"/>
      <c r="N52" s="9" t="n"/>
      <c r="O52" s="10" t="n"/>
      <c r="P52" s="9" t="n"/>
      <c r="Q52" s="11">
        <f>IF(P52&lt;&gt;"",P52,IF(M52="","UNKNOWN",IF(AND(ISNUMBER(SEARCH("gas",LOWER(M52))),ISNUMBER(SEARCH("water",LOWER(M52)))),"GAS_WATER",IF(AND(ISNUMBER(SEARCH("oil",LOWER(M52))),ISNUMBER(SEARCH("water",LOWER(M52)))),"OIL_WATER",IF(ISNUMBER(SEARCH("gas",LOWER(M52))),"GAS",IF(ISNUMBER(SEARCH("water",LOWER(M52))),"WATER",IF(ISNUMBER(SEARCH("oil",LOWER(M52))),"OIL","UNKNOWN")))))))</f>
        <v/>
      </c>
      <c r="R52" s="12">
        <f>IF(C52="","",C52)</f>
        <v/>
      </c>
      <c r="S52" s="12">
        <f>IF(R52="","",R52+IF(O52&lt;&gt;"",O52,IF(H52="",0,H52)))</f>
        <v/>
      </c>
      <c r="T52" s="12">
        <f>IF(R52="","",MAX(Settings!$B$3,Settings!$B$4*IF(O52&lt;&gt;"",O52,IF(H52="",0,H52))))</f>
        <v/>
      </c>
      <c r="U52" s="11">
        <f>IF(AND(C52&lt;&gt;"",M52&lt;&gt;"",OR(H52&lt;&gt;"",O52&lt;&gt;"")),"COMPLETE",IF(OR(C52&lt;&gt;"",M52&lt;&gt;""),"PARTIAL","MISSING"))</f>
        <v/>
      </c>
      <c r="V52" s="11">
        <f>IF(Q52="UNKNOWN","Check fluid description",IF(AND(R52&lt;&gt;"",S52&lt;&gt;""),"Ready for contact screening","Needs TVD + thickness"))</f>
        <v/>
      </c>
    </row>
    <row r="53">
      <c r="A53" s="9" t="n"/>
      <c r="B53" s="9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9" t="n"/>
      <c r="N53" s="9" t="n"/>
      <c r="O53" s="10" t="n"/>
      <c r="P53" s="9" t="n"/>
      <c r="Q53" s="11">
        <f>IF(P53&lt;&gt;"",P53,IF(M53="","UNKNOWN",IF(AND(ISNUMBER(SEARCH("gas",LOWER(M53))),ISNUMBER(SEARCH("water",LOWER(M53)))),"GAS_WATER",IF(AND(ISNUMBER(SEARCH("oil",LOWER(M53))),ISNUMBER(SEARCH("water",LOWER(M53)))),"OIL_WATER",IF(ISNUMBER(SEARCH("gas",LOWER(M53))),"GAS",IF(ISNUMBER(SEARCH("water",LOWER(M53))),"WATER",IF(ISNUMBER(SEARCH("oil",LOWER(M53))),"OIL","UNKNOWN")))))))</f>
        <v/>
      </c>
      <c r="R53" s="12">
        <f>IF(C53="","",C53)</f>
        <v/>
      </c>
      <c r="S53" s="12">
        <f>IF(R53="","",R53+IF(O53&lt;&gt;"",O53,IF(H53="",0,H53)))</f>
        <v/>
      </c>
      <c r="T53" s="12">
        <f>IF(R53="","",MAX(Settings!$B$3,Settings!$B$4*IF(O53&lt;&gt;"",O53,IF(H53="",0,H53))))</f>
        <v/>
      </c>
      <c r="U53" s="11">
        <f>IF(AND(C53&lt;&gt;"",M53&lt;&gt;"",OR(H53&lt;&gt;"",O53&lt;&gt;"")),"COMPLETE",IF(OR(C53&lt;&gt;"",M53&lt;&gt;""),"PARTIAL","MISSING"))</f>
        <v/>
      </c>
      <c r="V53" s="11">
        <f>IF(Q53="UNKNOWN","Check fluid description",IF(AND(R53&lt;&gt;"",S53&lt;&gt;""),"Ready for contact screening","Needs TVD + thickness"))</f>
        <v/>
      </c>
    </row>
    <row r="54">
      <c r="A54" s="9" t="n"/>
      <c r="B54" s="9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9" t="n"/>
      <c r="N54" s="9" t="n"/>
      <c r="O54" s="10" t="n"/>
      <c r="P54" s="9" t="n"/>
      <c r="Q54" s="11">
        <f>IF(P54&lt;&gt;"",P54,IF(M54="","UNKNOWN",IF(AND(ISNUMBER(SEARCH("gas",LOWER(M54))),ISNUMBER(SEARCH("water",LOWER(M54)))),"GAS_WATER",IF(AND(ISNUMBER(SEARCH("oil",LOWER(M54))),ISNUMBER(SEARCH("water",LOWER(M54)))),"OIL_WATER",IF(ISNUMBER(SEARCH("gas",LOWER(M54))),"GAS",IF(ISNUMBER(SEARCH("water",LOWER(M54))),"WATER",IF(ISNUMBER(SEARCH("oil",LOWER(M54))),"OIL","UNKNOWN")))))))</f>
        <v/>
      </c>
      <c r="R54" s="12">
        <f>IF(C54="","",C54)</f>
        <v/>
      </c>
      <c r="S54" s="12">
        <f>IF(R54="","",R54+IF(O54&lt;&gt;"",O54,IF(H54="",0,H54)))</f>
        <v/>
      </c>
      <c r="T54" s="12">
        <f>IF(R54="","",MAX(Settings!$B$3,Settings!$B$4*IF(O54&lt;&gt;"",O54,IF(H54="",0,H54))))</f>
        <v/>
      </c>
      <c r="U54" s="11">
        <f>IF(AND(C54&lt;&gt;"",M54&lt;&gt;"",OR(H54&lt;&gt;"",O54&lt;&gt;"")),"COMPLETE",IF(OR(C54&lt;&gt;"",M54&lt;&gt;""),"PARTIAL","MISSING"))</f>
        <v/>
      </c>
      <c r="V54" s="11">
        <f>IF(Q54="UNKNOWN","Check fluid description",IF(AND(R54&lt;&gt;"",S54&lt;&gt;""),"Ready for contact screening","Needs TVD + thickness"))</f>
        <v/>
      </c>
    </row>
    <row r="55">
      <c r="A55" s="9" t="n"/>
      <c r="B55" s="9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9" t="n"/>
      <c r="N55" s="9" t="n"/>
      <c r="O55" s="10" t="n"/>
      <c r="P55" s="9" t="n"/>
      <c r="Q55" s="11">
        <f>IF(P55&lt;&gt;"",P55,IF(M55="","UNKNOWN",IF(AND(ISNUMBER(SEARCH("gas",LOWER(M55))),ISNUMBER(SEARCH("water",LOWER(M55)))),"GAS_WATER",IF(AND(ISNUMBER(SEARCH("oil",LOWER(M55))),ISNUMBER(SEARCH("water",LOWER(M55)))),"OIL_WATER",IF(ISNUMBER(SEARCH("gas",LOWER(M55))),"GAS",IF(ISNUMBER(SEARCH("water",LOWER(M55))),"WATER",IF(ISNUMBER(SEARCH("oil",LOWER(M55))),"OIL","UNKNOWN")))))))</f>
        <v/>
      </c>
      <c r="R55" s="12">
        <f>IF(C55="","",C55)</f>
        <v/>
      </c>
      <c r="S55" s="12">
        <f>IF(R55="","",R55+IF(O55&lt;&gt;"",O55,IF(H55="",0,H55)))</f>
        <v/>
      </c>
      <c r="T55" s="12">
        <f>IF(R55="","",MAX(Settings!$B$3,Settings!$B$4*IF(O55&lt;&gt;"",O55,IF(H55="",0,H55))))</f>
        <v/>
      </c>
      <c r="U55" s="11">
        <f>IF(AND(C55&lt;&gt;"",M55&lt;&gt;"",OR(H55&lt;&gt;"",O55&lt;&gt;"")),"COMPLETE",IF(OR(C55&lt;&gt;"",M55&lt;&gt;""),"PARTIAL","MISSING"))</f>
        <v/>
      </c>
      <c r="V55" s="11">
        <f>IF(Q55="UNKNOWN","Check fluid description",IF(AND(R55&lt;&gt;"",S55&lt;&gt;""),"Ready for contact screening","Needs TVD + thickness"))</f>
        <v/>
      </c>
    </row>
    <row r="56">
      <c r="A56" s="9" t="n"/>
      <c r="B56" s="9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9" t="n"/>
      <c r="N56" s="9" t="n"/>
      <c r="O56" s="10" t="n"/>
      <c r="P56" s="9" t="n"/>
      <c r="Q56" s="11">
        <f>IF(P56&lt;&gt;"",P56,IF(M56="","UNKNOWN",IF(AND(ISNUMBER(SEARCH("gas",LOWER(M56))),ISNUMBER(SEARCH("water",LOWER(M56)))),"GAS_WATER",IF(AND(ISNUMBER(SEARCH("oil",LOWER(M56))),ISNUMBER(SEARCH("water",LOWER(M56)))),"OIL_WATER",IF(ISNUMBER(SEARCH("gas",LOWER(M56))),"GAS",IF(ISNUMBER(SEARCH("water",LOWER(M56))),"WATER",IF(ISNUMBER(SEARCH("oil",LOWER(M56))),"OIL","UNKNOWN")))))))</f>
        <v/>
      </c>
      <c r="R56" s="12">
        <f>IF(C56="","",C56)</f>
        <v/>
      </c>
      <c r="S56" s="12">
        <f>IF(R56="","",R56+IF(O56&lt;&gt;"",O56,IF(H56="",0,H56)))</f>
        <v/>
      </c>
      <c r="T56" s="12">
        <f>IF(R56="","",MAX(Settings!$B$3,Settings!$B$4*IF(O56&lt;&gt;"",O56,IF(H56="",0,H56))))</f>
        <v/>
      </c>
      <c r="U56" s="11">
        <f>IF(AND(C56&lt;&gt;"",M56&lt;&gt;"",OR(H56&lt;&gt;"",O56&lt;&gt;"")),"COMPLETE",IF(OR(C56&lt;&gt;"",M56&lt;&gt;""),"PARTIAL","MISSING"))</f>
        <v/>
      </c>
      <c r="V56" s="11">
        <f>IF(Q56="UNKNOWN","Check fluid description",IF(AND(R56&lt;&gt;"",S56&lt;&gt;""),"Ready for contact screening","Needs TVD + thickness"))</f>
        <v/>
      </c>
    </row>
    <row r="57">
      <c r="A57" s="9" t="n"/>
      <c r="B57" s="9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9" t="n"/>
      <c r="N57" s="9" t="n"/>
      <c r="O57" s="10" t="n"/>
      <c r="P57" s="9" t="n"/>
      <c r="Q57" s="11">
        <f>IF(P57&lt;&gt;"",P57,IF(M57="","UNKNOWN",IF(AND(ISNUMBER(SEARCH("gas",LOWER(M57))),ISNUMBER(SEARCH("water",LOWER(M57)))),"GAS_WATER",IF(AND(ISNUMBER(SEARCH("oil",LOWER(M57))),ISNUMBER(SEARCH("water",LOWER(M57)))),"OIL_WATER",IF(ISNUMBER(SEARCH("gas",LOWER(M57))),"GAS",IF(ISNUMBER(SEARCH("water",LOWER(M57))),"WATER",IF(ISNUMBER(SEARCH("oil",LOWER(M57))),"OIL","UNKNOWN")))))))</f>
        <v/>
      </c>
      <c r="R57" s="12">
        <f>IF(C57="","",C57)</f>
        <v/>
      </c>
      <c r="S57" s="12">
        <f>IF(R57="","",R57+IF(O57&lt;&gt;"",O57,IF(H57="",0,H57)))</f>
        <v/>
      </c>
      <c r="T57" s="12">
        <f>IF(R57="","",MAX(Settings!$B$3,Settings!$B$4*IF(O57&lt;&gt;"",O57,IF(H57="",0,H57))))</f>
        <v/>
      </c>
      <c r="U57" s="11">
        <f>IF(AND(C57&lt;&gt;"",M57&lt;&gt;"",OR(H57&lt;&gt;"",O57&lt;&gt;"")),"COMPLETE",IF(OR(C57&lt;&gt;"",M57&lt;&gt;""),"PARTIAL","MISSING"))</f>
        <v/>
      </c>
      <c r="V57" s="11">
        <f>IF(Q57="UNKNOWN","Check fluid description",IF(AND(R57&lt;&gt;"",S57&lt;&gt;""),"Ready for contact screening","Needs TVD + thickness"))</f>
        <v/>
      </c>
    </row>
    <row r="58">
      <c r="A58" s="9" t="n"/>
      <c r="B58" s="9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9" t="n"/>
      <c r="N58" s="9" t="n"/>
      <c r="O58" s="10" t="n"/>
      <c r="P58" s="9" t="n"/>
      <c r="Q58" s="11">
        <f>IF(P58&lt;&gt;"",P58,IF(M58="","UNKNOWN",IF(AND(ISNUMBER(SEARCH("gas",LOWER(M58))),ISNUMBER(SEARCH("water",LOWER(M58)))),"GAS_WATER",IF(AND(ISNUMBER(SEARCH("oil",LOWER(M58))),ISNUMBER(SEARCH("water",LOWER(M58)))),"OIL_WATER",IF(ISNUMBER(SEARCH("gas",LOWER(M58))),"GAS",IF(ISNUMBER(SEARCH("water",LOWER(M58))),"WATER",IF(ISNUMBER(SEARCH("oil",LOWER(M58))),"OIL","UNKNOWN")))))))</f>
        <v/>
      </c>
      <c r="R58" s="12">
        <f>IF(C58="","",C58)</f>
        <v/>
      </c>
      <c r="S58" s="12">
        <f>IF(R58="","",R58+IF(O58&lt;&gt;"",O58,IF(H58="",0,H58)))</f>
        <v/>
      </c>
      <c r="T58" s="12">
        <f>IF(R58="","",MAX(Settings!$B$3,Settings!$B$4*IF(O58&lt;&gt;"",O58,IF(H58="",0,H58))))</f>
        <v/>
      </c>
      <c r="U58" s="11">
        <f>IF(AND(C58&lt;&gt;"",M58&lt;&gt;"",OR(H58&lt;&gt;"",O58&lt;&gt;"")),"COMPLETE",IF(OR(C58&lt;&gt;"",M58&lt;&gt;""),"PARTIAL","MISSING"))</f>
        <v/>
      </c>
      <c r="V58" s="11">
        <f>IF(Q58="UNKNOWN","Check fluid description",IF(AND(R58&lt;&gt;"",S58&lt;&gt;""),"Ready for contact screening","Needs TVD + thickness"))</f>
        <v/>
      </c>
    </row>
    <row r="59">
      <c r="A59" s="9" t="n"/>
      <c r="B59" s="9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9" t="n"/>
      <c r="N59" s="9" t="n"/>
      <c r="O59" s="10" t="n"/>
      <c r="P59" s="9" t="n"/>
      <c r="Q59" s="11">
        <f>IF(P59&lt;&gt;"",P59,IF(M59="","UNKNOWN",IF(AND(ISNUMBER(SEARCH("gas",LOWER(M59))),ISNUMBER(SEARCH("water",LOWER(M59)))),"GAS_WATER",IF(AND(ISNUMBER(SEARCH("oil",LOWER(M59))),ISNUMBER(SEARCH("water",LOWER(M59)))),"OIL_WATER",IF(ISNUMBER(SEARCH("gas",LOWER(M59))),"GAS",IF(ISNUMBER(SEARCH("water",LOWER(M59))),"WATER",IF(ISNUMBER(SEARCH("oil",LOWER(M59))),"OIL","UNKNOWN")))))))</f>
        <v/>
      </c>
      <c r="R59" s="12">
        <f>IF(C59="","",C59)</f>
        <v/>
      </c>
      <c r="S59" s="12">
        <f>IF(R59="","",R59+IF(O59&lt;&gt;"",O59,IF(H59="",0,H59)))</f>
        <v/>
      </c>
      <c r="T59" s="12">
        <f>IF(R59="","",MAX(Settings!$B$3,Settings!$B$4*IF(O59&lt;&gt;"",O59,IF(H59="",0,H59))))</f>
        <v/>
      </c>
      <c r="U59" s="11">
        <f>IF(AND(C59&lt;&gt;"",M59&lt;&gt;"",OR(H59&lt;&gt;"",O59&lt;&gt;"")),"COMPLETE",IF(OR(C59&lt;&gt;"",M59&lt;&gt;""),"PARTIAL","MISSING"))</f>
        <v/>
      </c>
      <c r="V59" s="11">
        <f>IF(Q59="UNKNOWN","Check fluid description",IF(AND(R59&lt;&gt;"",S59&lt;&gt;""),"Ready for contact screening","Needs TVD + thickness"))</f>
        <v/>
      </c>
    </row>
    <row r="60">
      <c r="A60" s="9" t="n"/>
      <c r="B60" s="9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9" t="n"/>
      <c r="N60" s="9" t="n"/>
      <c r="O60" s="10" t="n"/>
      <c r="P60" s="9" t="n"/>
      <c r="Q60" s="11">
        <f>IF(P60&lt;&gt;"",P60,IF(M60="","UNKNOWN",IF(AND(ISNUMBER(SEARCH("gas",LOWER(M60))),ISNUMBER(SEARCH("water",LOWER(M60)))),"GAS_WATER",IF(AND(ISNUMBER(SEARCH("oil",LOWER(M60))),ISNUMBER(SEARCH("water",LOWER(M60)))),"OIL_WATER",IF(ISNUMBER(SEARCH("gas",LOWER(M60))),"GAS",IF(ISNUMBER(SEARCH("water",LOWER(M60))),"WATER",IF(ISNUMBER(SEARCH("oil",LOWER(M60))),"OIL","UNKNOWN")))))))</f>
        <v/>
      </c>
      <c r="R60" s="12">
        <f>IF(C60="","",C60)</f>
        <v/>
      </c>
      <c r="S60" s="12">
        <f>IF(R60="","",R60+IF(O60&lt;&gt;"",O60,IF(H60="",0,H60)))</f>
        <v/>
      </c>
      <c r="T60" s="12">
        <f>IF(R60="","",MAX(Settings!$B$3,Settings!$B$4*IF(O60&lt;&gt;"",O60,IF(H60="",0,H60))))</f>
        <v/>
      </c>
      <c r="U60" s="11">
        <f>IF(AND(C60&lt;&gt;"",M60&lt;&gt;"",OR(H60&lt;&gt;"",O60&lt;&gt;"")),"COMPLETE",IF(OR(C60&lt;&gt;"",M60&lt;&gt;""),"PARTIAL","MISSING"))</f>
        <v/>
      </c>
      <c r="V60" s="11">
        <f>IF(Q60="UNKNOWN","Check fluid description",IF(AND(R60&lt;&gt;"",S60&lt;&gt;""),"Ready for contact screening","Needs TVD + thickness"))</f>
        <v/>
      </c>
    </row>
    <row r="61">
      <c r="A61" s="9" t="n"/>
      <c r="B61" s="9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9" t="n"/>
      <c r="N61" s="9" t="n"/>
      <c r="O61" s="10" t="n"/>
      <c r="P61" s="9" t="n"/>
      <c r="Q61" s="11">
        <f>IF(P61&lt;&gt;"",P61,IF(M61="","UNKNOWN",IF(AND(ISNUMBER(SEARCH("gas",LOWER(M61))),ISNUMBER(SEARCH("water",LOWER(M61)))),"GAS_WATER",IF(AND(ISNUMBER(SEARCH("oil",LOWER(M61))),ISNUMBER(SEARCH("water",LOWER(M61)))),"OIL_WATER",IF(ISNUMBER(SEARCH("gas",LOWER(M61))),"GAS",IF(ISNUMBER(SEARCH("water",LOWER(M61))),"WATER",IF(ISNUMBER(SEARCH("oil",LOWER(M61))),"OIL","UNKNOWN")))))))</f>
        <v/>
      </c>
      <c r="R61" s="12">
        <f>IF(C61="","",C61)</f>
        <v/>
      </c>
      <c r="S61" s="12">
        <f>IF(R61="","",R61+IF(O61&lt;&gt;"",O61,IF(H61="",0,H61)))</f>
        <v/>
      </c>
      <c r="T61" s="12">
        <f>IF(R61="","",MAX(Settings!$B$3,Settings!$B$4*IF(O61&lt;&gt;"",O61,IF(H61="",0,H61))))</f>
        <v/>
      </c>
      <c r="U61" s="11">
        <f>IF(AND(C61&lt;&gt;"",M61&lt;&gt;"",OR(H61&lt;&gt;"",O61&lt;&gt;"")),"COMPLETE",IF(OR(C61&lt;&gt;"",M61&lt;&gt;""),"PARTIAL","MISSING"))</f>
        <v/>
      </c>
      <c r="V61" s="11">
        <f>IF(Q61="UNKNOWN","Check fluid description",IF(AND(R61&lt;&gt;"",S61&lt;&gt;""),"Ready for contact screening","Needs TVD + thickness"))</f>
        <v/>
      </c>
    </row>
    <row r="62">
      <c r="A62" s="9" t="n"/>
      <c r="B62" s="9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9" t="n"/>
      <c r="N62" s="9" t="n"/>
      <c r="O62" s="10" t="n"/>
      <c r="P62" s="9" t="n"/>
      <c r="Q62" s="11">
        <f>IF(P62&lt;&gt;"",P62,IF(M62="","UNKNOWN",IF(AND(ISNUMBER(SEARCH("gas",LOWER(M62))),ISNUMBER(SEARCH("water",LOWER(M62)))),"GAS_WATER",IF(AND(ISNUMBER(SEARCH("oil",LOWER(M62))),ISNUMBER(SEARCH("water",LOWER(M62)))),"OIL_WATER",IF(ISNUMBER(SEARCH("gas",LOWER(M62))),"GAS",IF(ISNUMBER(SEARCH("water",LOWER(M62))),"WATER",IF(ISNUMBER(SEARCH("oil",LOWER(M62))),"OIL","UNKNOWN")))))))</f>
        <v/>
      </c>
      <c r="R62" s="12">
        <f>IF(C62="","",C62)</f>
        <v/>
      </c>
      <c r="S62" s="12">
        <f>IF(R62="","",R62+IF(O62&lt;&gt;"",O62,IF(H62="",0,H62)))</f>
        <v/>
      </c>
      <c r="T62" s="12">
        <f>IF(R62="","",MAX(Settings!$B$3,Settings!$B$4*IF(O62&lt;&gt;"",O62,IF(H62="",0,H62))))</f>
        <v/>
      </c>
      <c r="U62" s="11">
        <f>IF(AND(C62&lt;&gt;"",M62&lt;&gt;"",OR(H62&lt;&gt;"",O62&lt;&gt;"")),"COMPLETE",IF(OR(C62&lt;&gt;"",M62&lt;&gt;""),"PARTIAL","MISSING"))</f>
        <v/>
      </c>
      <c r="V62" s="11">
        <f>IF(Q62="UNKNOWN","Check fluid description",IF(AND(R62&lt;&gt;"",S62&lt;&gt;""),"Ready for contact screening","Needs TVD + thickness"))</f>
        <v/>
      </c>
    </row>
    <row r="63">
      <c r="A63" s="9" t="n"/>
      <c r="B63" s="9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9" t="n"/>
      <c r="N63" s="9" t="n"/>
      <c r="O63" s="10" t="n"/>
      <c r="P63" s="9" t="n"/>
      <c r="Q63" s="11">
        <f>IF(P63&lt;&gt;"",P63,IF(M63="","UNKNOWN",IF(AND(ISNUMBER(SEARCH("gas",LOWER(M63))),ISNUMBER(SEARCH("water",LOWER(M63)))),"GAS_WATER",IF(AND(ISNUMBER(SEARCH("oil",LOWER(M63))),ISNUMBER(SEARCH("water",LOWER(M63)))),"OIL_WATER",IF(ISNUMBER(SEARCH("gas",LOWER(M63))),"GAS",IF(ISNUMBER(SEARCH("water",LOWER(M63))),"WATER",IF(ISNUMBER(SEARCH("oil",LOWER(M63))),"OIL","UNKNOWN")))))))</f>
        <v/>
      </c>
      <c r="R63" s="12">
        <f>IF(C63="","",C63)</f>
        <v/>
      </c>
      <c r="S63" s="12">
        <f>IF(R63="","",R63+IF(O63&lt;&gt;"",O63,IF(H63="",0,H63)))</f>
        <v/>
      </c>
      <c r="T63" s="12">
        <f>IF(R63="","",MAX(Settings!$B$3,Settings!$B$4*IF(O63&lt;&gt;"",O63,IF(H63="",0,H63))))</f>
        <v/>
      </c>
      <c r="U63" s="11">
        <f>IF(AND(C63&lt;&gt;"",M63&lt;&gt;"",OR(H63&lt;&gt;"",O63&lt;&gt;"")),"COMPLETE",IF(OR(C63&lt;&gt;"",M63&lt;&gt;""),"PARTIAL","MISSING"))</f>
        <v/>
      </c>
      <c r="V63" s="11">
        <f>IF(Q63="UNKNOWN","Check fluid description",IF(AND(R63&lt;&gt;"",S63&lt;&gt;""),"Ready for contact screening","Needs TVD + thickness"))</f>
        <v/>
      </c>
    </row>
    <row r="64">
      <c r="A64" s="9" t="n"/>
      <c r="B64" s="9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9" t="n"/>
      <c r="N64" s="9" t="n"/>
      <c r="O64" s="10" t="n"/>
      <c r="P64" s="9" t="n"/>
      <c r="Q64" s="11">
        <f>IF(P64&lt;&gt;"",P64,IF(M64="","UNKNOWN",IF(AND(ISNUMBER(SEARCH("gas",LOWER(M64))),ISNUMBER(SEARCH("water",LOWER(M64)))),"GAS_WATER",IF(AND(ISNUMBER(SEARCH("oil",LOWER(M64))),ISNUMBER(SEARCH("water",LOWER(M64)))),"OIL_WATER",IF(ISNUMBER(SEARCH("gas",LOWER(M64))),"GAS",IF(ISNUMBER(SEARCH("water",LOWER(M64))),"WATER",IF(ISNUMBER(SEARCH("oil",LOWER(M64))),"OIL","UNKNOWN")))))))</f>
        <v/>
      </c>
      <c r="R64" s="12">
        <f>IF(C64="","",C64)</f>
        <v/>
      </c>
      <c r="S64" s="12">
        <f>IF(R64="","",R64+IF(O64&lt;&gt;"",O64,IF(H64="",0,H64)))</f>
        <v/>
      </c>
      <c r="T64" s="12">
        <f>IF(R64="","",MAX(Settings!$B$3,Settings!$B$4*IF(O64&lt;&gt;"",O64,IF(H64="",0,H64))))</f>
        <v/>
      </c>
      <c r="U64" s="11">
        <f>IF(AND(C64&lt;&gt;"",M64&lt;&gt;"",OR(H64&lt;&gt;"",O64&lt;&gt;"")),"COMPLETE",IF(OR(C64&lt;&gt;"",M64&lt;&gt;""),"PARTIAL","MISSING"))</f>
        <v/>
      </c>
      <c r="V64" s="11">
        <f>IF(Q64="UNKNOWN","Check fluid description",IF(AND(R64&lt;&gt;"",S64&lt;&gt;""),"Ready for contact screening","Needs TVD + thickness"))</f>
        <v/>
      </c>
    </row>
    <row r="65">
      <c r="A65" s="9" t="n"/>
      <c r="B65" s="9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9" t="n"/>
      <c r="N65" s="9" t="n"/>
      <c r="O65" s="10" t="n"/>
      <c r="P65" s="9" t="n"/>
      <c r="Q65" s="11">
        <f>IF(P65&lt;&gt;"",P65,IF(M65="","UNKNOWN",IF(AND(ISNUMBER(SEARCH("gas",LOWER(M65))),ISNUMBER(SEARCH("water",LOWER(M65)))),"GAS_WATER",IF(AND(ISNUMBER(SEARCH("oil",LOWER(M65))),ISNUMBER(SEARCH("water",LOWER(M65)))),"OIL_WATER",IF(ISNUMBER(SEARCH("gas",LOWER(M65))),"GAS",IF(ISNUMBER(SEARCH("water",LOWER(M65))),"WATER",IF(ISNUMBER(SEARCH("oil",LOWER(M65))),"OIL","UNKNOWN")))))))</f>
        <v/>
      </c>
      <c r="R65" s="12">
        <f>IF(C65="","",C65)</f>
        <v/>
      </c>
      <c r="S65" s="12">
        <f>IF(R65="","",R65+IF(O65&lt;&gt;"",O65,IF(H65="",0,H65)))</f>
        <v/>
      </c>
      <c r="T65" s="12">
        <f>IF(R65="","",MAX(Settings!$B$3,Settings!$B$4*IF(O65&lt;&gt;"",O65,IF(H65="",0,H65))))</f>
        <v/>
      </c>
      <c r="U65" s="11">
        <f>IF(AND(C65&lt;&gt;"",M65&lt;&gt;"",OR(H65&lt;&gt;"",O65&lt;&gt;"")),"COMPLETE",IF(OR(C65&lt;&gt;"",M65&lt;&gt;""),"PARTIAL","MISSING"))</f>
        <v/>
      </c>
      <c r="V65" s="11">
        <f>IF(Q65="UNKNOWN","Check fluid description",IF(AND(R65&lt;&gt;"",S65&lt;&gt;""),"Ready for contact screening","Needs TVD + thickness"))</f>
        <v/>
      </c>
    </row>
    <row r="66">
      <c r="A66" s="9" t="n"/>
      <c r="B66" s="9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9" t="n"/>
      <c r="N66" s="9" t="n"/>
      <c r="O66" s="10" t="n"/>
      <c r="P66" s="9" t="n"/>
      <c r="Q66" s="11">
        <f>IF(P66&lt;&gt;"",P66,IF(M66="","UNKNOWN",IF(AND(ISNUMBER(SEARCH("gas",LOWER(M66))),ISNUMBER(SEARCH("water",LOWER(M66)))),"GAS_WATER",IF(AND(ISNUMBER(SEARCH("oil",LOWER(M66))),ISNUMBER(SEARCH("water",LOWER(M66)))),"OIL_WATER",IF(ISNUMBER(SEARCH("gas",LOWER(M66))),"GAS",IF(ISNUMBER(SEARCH("water",LOWER(M66))),"WATER",IF(ISNUMBER(SEARCH("oil",LOWER(M66))),"OIL","UNKNOWN")))))))</f>
        <v/>
      </c>
      <c r="R66" s="12">
        <f>IF(C66="","",C66)</f>
        <v/>
      </c>
      <c r="S66" s="12">
        <f>IF(R66="","",R66+IF(O66&lt;&gt;"",O66,IF(H66="",0,H66)))</f>
        <v/>
      </c>
      <c r="T66" s="12">
        <f>IF(R66="","",MAX(Settings!$B$3,Settings!$B$4*IF(O66&lt;&gt;"",O66,IF(H66="",0,H66))))</f>
        <v/>
      </c>
      <c r="U66" s="11">
        <f>IF(AND(C66&lt;&gt;"",M66&lt;&gt;"",OR(H66&lt;&gt;"",O66&lt;&gt;"")),"COMPLETE",IF(OR(C66&lt;&gt;"",M66&lt;&gt;""),"PARTIAL","MISSING"))</f>
        <v/>
      </c>
      <c r="V66" s="11">
        <f>IF(Q66="UNKNOWN","Check fluid description",IF(AND(R66&lt;&gt;"",S66&lt;&gt;""),"Ready for contact screening","Needs TVD + thickness"))</f>
        <v/>
      </c>
    </row>
    <row r="67">
      <c r="A67" s="9" t="n"/>
      <c r="B67" s="9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9" t="n"/>
      <c r="N67" s="9" t="n"/>
      <c r="O67" s="10" t="n"/>
      <c r="P67" s="9" t="n"/>
      <c r="Q67" s="11">
        <f>IF(P67&lt;&gt;"",P67,IF(M67="","UNKNOWN",IF(AND(ISNUMBER(SEARCH("gas",LOWER(M67))),ISNUMBER(SEARCH("water",LOWER(M67)))),"GAS_WATER",IF(AND(ISNUMBER(SEARCH("oil",LOWER(M67))),ISNUMBER(SEARCH("water",LOWER(M67)))),"OIL_WATER",IF(ISNUMBER(SEARCH("gas",LOWER(M67))),"GAS",IF(ISNUMBER(SEARCH("water",LOWER(M67))),"WATER",IF(ISNUMBER(SEARCH("oil",LOWER(M67))),"OIL","UNKNOWN")))))))</f>
        <v/>
      </c>
      <c r="R67" s="12">
        <f>IF(C67="","",C67)</f>
        <v/>
      </c>
      <c r="S67" s="12">
        <f>IF(R67="","",R67+IF(O67&lt;&gt;"",O67,IF(H67="",0,H67)))</f>
        <v/>
      </c>
      <c r="T67" s="12">
        <f>IF(R67="","",MAX(Settings!$B$3,Settings!$B$4*IF(O67&lt;&gt;"",O67,IF(H67="",0,H67))))</f>
        <v/>
      </c>
      <c r="U67" s="11">
        <f>IF(AND(C67&lt;&gt;"",M67&lt;&gt;"",OR(H67&lt;&gt;"",O67&lt;&gt;"")),"COMPLETE",IF(OR(C67&lt;&gt;"",M67&lt;&gt;""),"PARTIAL","MISSING"))</f>
        <v/>
      </c>
      <c r="V67" s="11">
        <f>IF(Q67="UNKNOWN","Check fluid description",IF(AND(R67&lt;&gt;"",S67&lt;&gt;""),"Ready for contact screening","Needs TVD + thickness"))</f>
        <v/>
      </c>
    </row>
    <row r="68">
      <c r="A68" s="9" t="n"/>
      <c r="B68" s="9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9" t="n"/>
      <c r="N68" s="9" t="n"/>
      <c r="O68" s="10" t="n"/>
      <c r="P68" s="9" t="n"/>
      <c r="Q68" s="11">
        <f>IF(P68&lt;&gt;"",P68,IF(M68="","UNKNOWN",IF(AND(ISNUMBER(SEARCH("gas",LOWER(M68))),ISNUMBER(SEARCH("water",LOWER(M68)))),"GAS_WATER",IF(AND(ISNUMBER(SEARCH("oil",LOWER(M68))),ISNUMBER(SEARCH("water",LOWER(M68)))),"OIL_WATER",IF(ISNUMBER(SEARCH("gas",LOWER(M68))),"GAS",IF(ISNUMBER(SEARCH("water",LOWER(M68))),"WATER",IF(ISNUMBER(SEARCH("oil",LOWER(M68))),"OIL","UNKNOWN")))))))</f>
        <v/>
      </c>
      <c r="R68" s="12">
        <f>IF(C68="","",C68)</f>
        <v/>
      </c>
      <c r="S68" s="12">
        <f>IF(R68="","",R68+IF(O68&lt;&gt;"",O68,IF(H68="",0,H68)))</f>
        <v/>
      </c>
      <c r="T68" s="12">
        <f>IF(R68="","",MAX(Settings!$B$3,Settings!$B$4*IF(O68&lt;&gt;"",O68,IF(H68="",0,H68))))</f>
        <v/>
      </c>
      <c r="U68" s="11">
        <f>IF(AND(C68&lt;&gt;"",M68&lt;&gt;"",OR(H68&lt;&gt;"",O68&lt;&gt;"")),"COMPLETE",IF(OR(C68&lt;&gt;"",M68&lt;&gt;""),"PARTIAL","MISSING"))</f>
        <v/>
      </c>
      <c r="V68" s="11">
        <f>IF(Q68="UNKNOWN","Check fluid description",IF(AND(R68&lt;&gt;"",S68&lt;&gt;""),"Ready for contact screening","Needs TVD + thickness"))</f>
        <v/>
      </c>
    </row>
    <row r="69">
      <c r="A69" s="9" t="n"/>
      <c r="B69" s="9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9" t="n"/>
      <c r="N69" s="9" t="n"/>
      <c r="O69" s="10" t="n"/>
      <c r="P69" s="9" t="n"/>
      <c r="Q69" s="11">
        <f>IF(P69&lt;&gt;"",P69,IF(M69="","UNKNOWN",IF(AND(ISNUMBER(SEARCH("gas",LOWER(M69))),ISNUMBER(SEARCH("water",LOWER(M69)))),"GAS_WATER",IF(AND(ISNUMBER(SEARCH("oil",LOWER(M69))),ISNUMBER(SEARCH("water",LOWER(M69)))),"OIL_WATER",IF(ISNUMBER(SEARCH("gas",LOWER(M69))),"GAS",IF(ISNUMBER(SEARCH("water",LOWER(M69))),"WATER",IF(ISNUMBER(SEARCH("oil",LOWER(M69))),"OIL","UNKNOWN")))))))</f>
        <v/>
      </c>
      <c r="R69" s="12">
        <f>IF(C69="","",C69)</f>
        <v/>
      </c>
      <c r="S69" s="12">
        <f>IF(R69="","",R69+IF(O69&lt;&gt;"",O69,IF(H69="",0,H69)))</f>
        <v/>
      </c>
      <c r="T69" s="12">
        <f>IF(R69="","",MAX(Settings!$B$3,Settings!$B$4*IF(O69&lt;&gt;"",O69,IF(H69="",0,H69))))</f>
        <v/>
      </c>
      <c r="U69" s="11">
        <f>IF(AND(C69&lt;&gt;"",M69&lt;&gt;"",OR(H69&lt;&gt;"",O69&lt;&gt;"")),"COMPLETE",IF(OR(C69&lt;&gt;"",M69&lt;&gt;""),"PARTIAL","MISSING"))</f>
        <v/>
      </c>
      <c r="V69" s="11">
        <f>IF(Q69="UNKNOWN","Check fluid description",IF(AND(R69&lt;&gt;"",S69&lt;&gt;""),"Ready for contact screening","Needs TVD + thickness"))</f>
        <v/>
      </c>
    </row>
    <row r="70">
      <c r="A70" s="9" t="n"/>
      <c r="B70" s="9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9" t="n"/>
      <c r="N70" s="9" t="n"/>
      <c r="O70" s="10" t="n"/>
      <c r="P70" s="9" t="n"/>
      <c r="Q70" s="11">
        <f>IF(P70&lt;&gt;"",P70,IF(M70="","UNKNOWN",IF(AND(ISNUMBER(SEARCH("gas",LOWER(M70))),ISNUMBER(SEARCH("water",LOWER(M70)))),"GAS_WATER",IF(AND(ISNUMBER(SEARCH("oil",LOWER(M70))),ISNUMBER(SEARCH("water",LOWER(M70)))),"OIL_WATER",IF(ISNUMBER(SEARCH("gas",LOWER(M70))),"GAS",IF(ISNUMBER(SEARCH("water",LOWER(M70))),"WATER",IF(ISNUMBER(SEARCH("oil",LOWER(M70))),"OIL","UNKNOWN")))))))</f>
        <v/>
      </c>
      <c r="R70" s="12">
        <f>IF(C70="","",C70)</f>
        <v/>
      </c>
      <c r="S70" s="12">
        <f>IF(R70="","",R70+IF(O70&lt;&gt;"",O70,IF(H70="",0,H70)))</f>
        <v/>
      </c>
      <c r="T70" s="12">
        <f>IF(R70="","",MAX(Settings!$B$3,Settings!$B$4*IF(O70&lt;&gt;"",O70,IF(H70="",0,H70))))</f>
        <v/>
      </c>
      <c r="U70" s="11">
        <f>IF(AND(C70&lt;&gt;"",M70&lt;&gt;"",OR(H70&lt;&gt;"",O70&lt;&gt;"")),"COMPLETE",IF(OR(C70&lt;&gt;"",M70&lt;&gt;""),"PARTIAL","MISSING"))</f>
        <v/>
      </c>
      <c r="V70" s="11">
        <f>IF(Q70="UNKNOWN","Check fluid description",IF(AND(R70&lt;&gt;"",S70&lt;&gt;""),"Ready for contact screening","Needs TVD + thickness"))</f>
        <v/>
      </c>
    </row>
    <row r="71">
      <c r="A71" s="9" t="n"/>
      <c r="B71" s="9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9" t="n"/>
      <c r="N71" s="9" t="n"/>
      <c r="O71" s="10" t="n"/>
      <c r="P71" s="9" t="n"/>
      <c r="Q71" s="11">
        <f>IF(P71&lt;&gt;"",P71,IF(M71="","UNKNOWN",IF(AND(ISNUMBER(SEARCH("gas",LOWER(M71))),ISNUMBER(SEARCH("water",LOWER(M71)))),"GAS_WATER",IF(AND(ISNUMBER(SEARCH("oil",LOWER(M71))),ISNUMBER(SEARCH("water",LOWER(M71)))),"OIL_WATER",IF(ISNUMBER(SEARCH("gas",LOWER(M71))),"GAS",IF(ISNUMBER(SEARCH("water",LOWER(M71))),"WATER",IF(ISNUMBER(SEARCH("oil",LOWER(M71))),"OIL","UNKNOWN")))))))</f>
        <v/>
      </c>
      <c r="R71" s="12">
        <f>IF(C71="","",C71)</f>
        <v/>
      </c>
      <c r="S71" s="12">
        <f>IF(R71="","",R71+IF(O71&lt;&gt;"",O71,IF(H71="",0,H71)))</f>
        <v/>
      </c>
      <c r="T71" s="12">
        <f>IF(R71="","",MAX(Settings!$B$3,Settings!$B$4*IF(O71&lt;&gt;"",O71,IF(H71="",0,H71))))</f>
        <v/>
      </c>
      <c r="U71" s="11">
        <f>IF(AND(C71&lt;&gt;"",M71&lt;&gt;"",OR(H71&lt;&gt;"",O71&lt;&gt;"")),"COMPLETE",IF(OR(C71&lt;&gt;"",M71&lt;&gt;""),"PARTIAL","MISSING"))</f>
        <v/>
      </c>
      <c r="V71" s="11">
        <f>IF(Q71="UNKNOWN","Check fluid description",IF(AND(R71&lt;&gt;"",S71&lt;&gt;""),"Ready for contact screening","Needs TVD + thickness"))</f>
        <v/>
      </c>
    </row>
    <row r="72">
      <c r="A72" s="9" t="n"/>
      <c r="B72" s="9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9" t="n"/>
      <c r="N72" s="9" t="n"/>
      <c r="O72" s="10" t="n"/>
      <c r="P72" s="9" t="n"/>
      <c r="Q72" s="11">
        <f>IF(P72&lt;&gt;"",P72,IF(M72="","UNKNOWN",IF(AND(ISNUMBER(SEARCH("gas",LOWER(M72))),ISNUMBER(SEARCH("water",LOWER(M72)))),"GAS_WATER",IF(AND(ISNUMBER(SEARCH("oil",LOWER(M72))),ISNUMBER(SEARCH("water",LOWER(M72)))),"OIL_WATER",IF(ISNUMBER(SEARCH("gas",LOWER(M72))),"GAS",IF(ISNUMBER(SEARCH("water",LOWER(M72))),"WATER",IF(ISNUMBER(SEARCH("oil",LOWER(M72))),"OIL","UNKNOWN")))))))</f>
        <v/>
      </c>
      <c r="R72" s="12">
        <f>IF(C72="","",C72)</f>
        <v/>
      </c>
      <c r="S72" s="12">
        <f>IF(R72="","",R72+IF(O72&lt;&gt;"",O72,IF(H72="",0,H72)))</f>
        <v/>
      </c>
      <c r="T72" s="12">
        <f>IF(R72="","",MAX(Settings!$B$3,Settings!$B$4*IF(O72&lt;&gt;"",O72,IF(H72="",0,H72))))</f>
        <v/>
      </c>
      <c r="U72" s="11">
        <f>IF(AND(C72&lt;&gt;"",M72&lt;&gt;"",OR(H72&lt;&gt;"",O72&lt;&gt;"")),"COMPLETE",IF(OR(C72&lt;&gt;"",M72&lt;&gt;""),"PARTIAL","MISSING"))</f>
        <v/>
      </c>
      <c r="V72" s="11">
        <f>IF(Q72="UNKNOWN","Check fluid description",IF(AND(R72&lt;&gt;"",S72&lt;&gt;""),"Ready for contact screening","Needs TVD + thickness"))</f>
        <v/>
      </c>
    </row>
    <row r="73">
      <c r="A73" s="9" t="n"/>
      <c r="B73" s="9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9" t="n"/>
      <c r="N73" s="9" t="n"/>
      <c r="O73" s="10" t="n"/>
      <c r="P73" s="9" t="n"/>
      <c r="Q73" s="11">
        <f>IF(P73&lt;&gt;"",P73,IF(M73="","UNKNOWN",IF(AND(ISNUMBER(SEARCH("gas",LOWER(M73))),ISNUMBER(SEARCH("water",LOWER(M73)))),"GAS_WATER",IF(AND(ISNUMBER(SEARCH("oil",LOWER(M73))),ISNUMBER(SEARCH("water",LOWER(M73)))),"OIL_WATER",IF(ISNUMBER(SEARCH("gas",LOWER(M73))),"GAS",IF(ISNUMBER(SEARCH("water",LOWER(M73))),"WATER",IF(ISNUMBER(SEARCH("oil",LOWER(M73))),"OIL","UNKNOWN")))))))</f>
        <v/>
      </c>
      <c r="R73" s="12">
        <f>IF(C73="","",C73)</f>
        <v/>
      </c>
      <c r="S73" s="12">
        <f>IF(R73="","",R73+IF(O73&lt;&gt;"",O73,IF(H73="",0,H73)))</f>
        <v/>
      </c>
      <c r="T73" s="12">
        <f>IF(R73="","",MAX(Settings!$B$3,Settings!$B$4*IF(O73&lt;&gt;"",O73,IF(H73="",0,H73))))</f>
        <v/>
      </c>
      <c r="U73" s="11">
        <f>IF(AND(C73&lt;&gt;"",M73&lt;&gt;"",OR(H73&lt;&gt;"",O73&lt;&gt;"")),"COMPLETE",IF(OR(C73&lt;&gt;"",M73&lt;&gt;""),"PARTIAL","MISSING"))</f>
        <v/>
      </c>
      <c r="V73" s="11">
        <f>IF(Q73="UNKNOWN","Check fluid description",IF(AND(R73&lt;&gt;"",S73&lt;&gt;""),"Ready for contact screening","Needs TVD + thickness"))</f>
        <v/>
      </c>
    </row>
    <row r="74">
      <c r="A74" s="9" t="n"/>
      <c r="B74" s="9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9" t="n"/>
      <c r="N74" s="9" t="n"/>
      <c r="O74" s="10" t="n"/>
      <c r="P74" s="9" t="n"/>
      <c r="Q74" s="11">
        <f>IF(P74&lt;&gt;"",P74,IF(M74="","UNKNOWN",IF(AND(ISNUMBER(SEARCH("gas",LOWER(M74))),ISNUMBER(SEARCH("water",LOWER(M74)))),"GAS_WATER",IF(AND(ISNUMBER(SEARCH("oil",LOWER(M74))),ISNUMBER(SEARCH("water",LOWER(M74)))),"OIL_WATER",IF(ISNUMBER(SEARCH("gas",LOWER(M74))),"GAS",IF(ISNUMBER(SEARCH("water",LOWER(M74))),"WATER",IF(ISNUMBER(SEARCH("oil",LOWER(M74))),"OIL","UNKNOWN")))))))</f>
        <v/>
      </c>
      <c r="R74" s="12">
        <f>IF(C74="","",C74)</f>
        <v/>
      </c>
      <c r="S74" s="12">
        <f>IF(R74="","",R74+IF(O74&lt;&gt;"",O74,IF(H74="",0,H74)))</f>
        <v/>
      </c>
      <c r="T74" s="12">
        <f>IF(R74="","",MAX(Settings!$B$3,Settings!$B$4*IF(O74&lt;&gt;"",O74,IF(H74="",0,H74))))</f>
        <v/>
      </c>
      <c r="U74" s="11">
        <f>IF(AND(C74&lt;&gt;"",M74&lt;&gt;"",OR(H74&lt;&gt;"",O74&lt;&gt;"")),"COMPLETE",IF(OR(C74&lt;&gt;"",M74&lt;&gt;""),"PARTIAL","MISSING"))</f>
        <v/>
      </c>
      <c r="V74" s="11">
        <f>IF(Q74="UNKNOWN","Check fluid description",IF(AND(R74&lt;&gt;"",S74&lt;&gt;""),"Ready for contact screening","Needs TVD + thickness"))</f>
        <v/>
      </c>
    </row>
    <row r="75">
      <c r="A75" s="9" t="n"/>
      <c r="B75" s="9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9" t="n"/>
      <c r="N75" s="9" t="n"/>
      <c r="O75" s="10" t="n"/>
      <c r="P75" s="9" t="n"/>
      <c r="Q75" s="11">
        <f>IF(P75&lt;&gt;"",P75,IF(M75="","UNKNOWN",IF(AND(ISNUMBER(SEARCH("gas",LOWER(M75))),ISNUMBER(SEARCH("water",LOWER(M75)))),"GAS_WATER",IF(AND(ISNUMBER(SEARCH("oil",LOWER(M75))),ISNUMBER(SEARCH("water",LOWER(M75)))),"OIL_WATER",IF(ISNUMBER(SEARCH("gas",LOWER(M75))),"GAS",IF(ISNUMBER(SEARCH("water",LOWER(M75))),"WATER",IF(ISNUMBER(SEARCH("oil",LOWER(M75))),"OIL","UNKNOWN")))))))</f>
        <v/>
      </c>
      <c r="R75" s="12">
        <f>IF(C75="","",C75)</f>
        <v/>
      </c>
      <c r="S75" s="12">
        <f>IF(R75="","",R75+IF(O75&lt;&gt;"",O75,IF(H75="",0,H75)))</f>
        <v/>
      </c>
      <c r="T75" s="12">
        <f>IF(R75="","",MAX(Settings!$B$3,Settings!$B$4*IF(O75&lt;&gt;"",O75,IF(H75="",0,H75))))</f>
        <v/>
      </c>
      <c r="U75" s="11">
        <f>IF(AND(C75&lt;&gt;"",M75&lt;&gt;"",OR(H75&lt;&gt;"",O75&lt;&gt;"")),"COMPLETE",IF(OR(C75&lt;&gt;"",M75&lt;&gt;""),"PARTIAL","MISSING"))</f>
        <v/>
      </c>
      <c r="V75" s="11">
        <f>IF(Q75="UNKNOWN","Check fluid description",IF(AND(R75&lt;&gt;"",S75&lt;&gt;""),"Ready for contact screening","Needs TVD + thickness"))</f>
        <v/>
      </c>
    </row>
    <row r="76">
      <c r="A76" s="9" t="n"/>
      <c r="B76" s="9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9" t="n"/>
      <c r="N76" s="9" t="n"/>
      <c r="O76" s="10" t="n"/>
      <c r="P76" s="9" t="n"/>
      <c r="Q76" s="11">
        <f>IF(P76&lt;&gt;"",P76,IF(M76="","UNKNOWN",IF(AND(ISNUMBER(SEARCH("gas",LOWER(M76))),ISNUMBER(SEARCH("water",LOWER(M76)))),"GAS_WATER",IF(AND(ISNUMBER(SEARCH("oil",LOWER(M76))),ISNUMBER(SEARCH("water",LOWER(M76)))),"OIL_WATER",IF(ISNUMBER(SEARCH("gas",LOWER(M76))),"GAS",IF(ISNUMBER(SEARCH("water",LOWER(M76))),"WATER",IF(ISNUMBER(SEARCH("oil",LOWER(M76))),"OIL","UNKNOWN")))))))</f>
        <v/>
      </c>
      <c r="R76" s="12">
        <f>IF(C76="","",C76)</f>
        <v/>
      </c>
      <c r="S76" s="12">
        <f>IF(R76="","",R76+IF(O76&lt;&gt;"",O76,IF(H76="",0,H76)))</f>
        <v/>
      </c>
      <c r="T76" s="12">
        <f>IF(R76="","",MAX(Settings!$B$3,Settings!$B$4*IF(O76&lt;&gt;"",O76,IF(H76="",0,H76))))</f>
        <v/>
      </c>
      <c r="U76" s="11">
        <f>IF(AND(C76&lt;&gt;"",M76&lt;&gt;"",OR(H76&lt;&gt;"",O76&lt;&gt;"")),"COMPLETE",IF(OR(C76&lt;&gt;"",M76&lt;&gt;""),"PARTIAL","MISSING"))</f>
        <v/>
      </c>
      <c r="V76" s="11">
        <f>IF(Q76="UNKNOWN","Check fluid description",IF(AND(R76&lt;&gt;"",S76&lt;&gt;""),"Ready for contact screening","Needs TVD + thickness"))</f>
        <v/>
      </c>
    </row>
    <row r="77">
      <c r="A77" s="9" t="n"/>
      <c r="B77" s="9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9" t="n"/>
      <c r="N77" s="9" t="n"/>
      <c r="O77" s="10" t="n"/>
      <c r="P77" s="9" t="n"/>
      <c r="Q77" s="11">
        <f>IF(P77&lt;&gt;"",P77,IF(M77="","UNKNOWN",IF(AND(ISNUMBER(SEARCH("gas",LOWER(M77))),ISNUMBER(SEARCH("water",LOWER(M77)))),"GAS_WATER",IF(AND(ISNUMBER(SEARCH("oil",LOWER(M77))),ISNUMBER(SEARCH("water",LOWER(M77)))),"OIL_WATER",IF(ISNUMBER(SEARCH("gas",LOWER(M77))),"GAS",IF(ISNUMBER(SEARCH("water",LOWER(M77))),"WATER",IF(ISNUMBER(SEARCH("oil",LOWER(M77))),"OIL","UNKNOWN")))))))</f>
        <v/>
      </c>
      <c r="R77" s="12">
        <f>IF(C77="","",C77)</f>
        <v/>
      </c>
      <c r="S77" s="12">
        <f>IF(R77="","",R77+IF(O77&lt;&gt;"",O77,IF(H77="",0,H77)))</f>
        <v/>
      </c>
      <c r="T77" s="12">
        <f>IF(R77="","",MAX(Settings!$B$3,Settings!$B$4*IF(O77&lt;&gt;"",O77,IF(H77="",0,H77))))</f>
        <v/>
      </c>
      <c r="U77" s="11">
        <f>IF(AND(C77&lt;&gt;"",M77&lt;&gt;"",OR(H77&lt;&gt;"",O77&lt;&gt;"")),"COMPLETE",IF(OR(C77&lt;&gt;"",M77&lt;&gt;""),"PARTIAL","MISSING"))</f>
        <v/>
      </c>
      <c r="V77" s="11">
        <f>IF(Q77="UNKNOWN","Check fluid description",IF(AND(R77&lt;&gt;"",S77&lt;&gt;""),"Ready for contact screening","Needs TVD + thickness"))</f>
        <v/>
      </c>
    </row>
    <row r="78">
      <c r="A78" s="9" t="n"/>
      <c r="B78" s="9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9" t="n"/>
      <c r="N78" s="9" t="n"/>
      <c r="O78" s="10" t="n"/>
      <c r="P78" s="9" t="n"/>
      <c r="Q78" s="11">
        <f>IF(P78&lt;&gt;"",P78,IF(M78="","UNKNOWN",IF(AND(ISNUMBER(SEARCH("gas",LOWER(M78))),ISNUMBER(SEARCH("water",LOWER(M78)))),"GAS_WATER",IF(AND(ISNUMBER(SEARCH("oil",LOWER(M78))),ISNUMBER(SEARCH("water",LOWER(M78)))),"OIL_WATER",IF(ISNUMBER(SEARCH("gas",LOWER(M78))),"GAS",IF(ISNUMBER(SEARCH("water",LOWER(M78))),"WATER",IF(ISNUMBER(SEARCH("oil",LOWER(M78))),"OIL","UNKNOWN")))))))</f>
        <v/>
      </c>
      <c r="R78" s="12">
        <f>IF(C78="","",C78)</f>
        <v/>
      </c>
      <c r="S78" s="12">
        <f>IF(R78="","",R78+IF(O78&lt;&gt;"",O78,IF(H78="",0,H78)))</f>
        <v/>
      </c>
      <c r="T78" s="12">
        <f>IF(R78="","",MAX(Settings!$B$3,Settings!$B$4*IF(O78&lt;&gt;"",O78,IF(H78="",0,H78))))</f>
        <v/>
      </c>
      <c r="U78" s="11">
        <f>IF(AND(C78&lt;&gt;"",M78&lt;&gt;"",OR(H78&lt;&gt;"",O78&lt;&gt;"")),"COMPLETE",IF(OR(C78&lt;&gt;"",M78&lt;&gt;""),"PARTIAL","MISSING"))</f>
        <v/>
      </c>
      <c r="V78" s="11">
        <f>IF(Q78="UNKNOWN","Check fluid description",IF(AND(R78&lt;&gt;"",S78&lt;&gt;""),"Ready for contact screening","Needs TVD + thickness"))</f>
        <v/>
      </c>
    </row>
    <row r="79">
      <c r="A79" s="9" t="n"/>
      <c r="B79" s="9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9" t="n"/>
      <c r="N79" s="9" t="n"/>
      <c r="O79" s="10" t="n"/>
      <c r="P79" s="9" t="n"/>
      <c r="Q79" s="11">
        <f>IF(P79&lt;&gt;"",P79,IF(M79="","UNKNOWN",IF(AND(ISNUMBER(SEARCH("gas",LOWER(M79))),ISNUMBER(SEARCH("water",LOWER(M79)))),"GAS_WATER",IF(AND(ISNUMBER(SEARCH("oil",LOWER(M79))),ISNUMBER(SEARCH("water",LOWER(M79)))),"OIL_WATER",IF(ISNUMBER(SEARCH("gas",LOWER(M79))),"GAS",IF(ISNUMBER(SEARCH("water",LOWER(M79))),"WATER",IF(ISNUMBER(SEARCH("oil",LOWER(M79))),"OIL","UNKNOWN")))))))</f>
        <v/>
      </c>
      <c r="R79" s="12">
        <f>IF(C79="","",C79)</f>
        <v/>
      </c>
      <c r="S79" s="12">
        <f>IF(R79="","",R79+IF(O79&lt;&gt;"",O79,IF(H79="",0,H79)))</f>
        <v/>
      </c>
      <c r="T79" s="12">
        <f>IF(R79="","",MAX(Settings!$B$3,Settings!$B$4*IF(O79&lt;&gt;"",O79,IF(H79="",0,H79))))</f>
        <v/>
      </c>
      <c r="U79" s="11">
        <f>IF(AND(C79&lt;&gt;"",M79&lt;&gt;"",OR(H79&lt;&gt;"",O79&lt;&gt;"")),"COMPLETE",IF(OR(C79&lt;&gt;"",M79&lt;&gt;""),"PARTIAL","MISSING"))</f>
        <v/>
      </c>
      <c r="V79" s="11">
        <f>IF(Q79="UNKNOWN","Check fluid description",IF(AND(R79&lt;&gt;"",S79&lt;&gt;""),"Ready for contact screening","Needs TVD + thickness"))</f>
        <v/>
      </c>
    </row>
    <row r="80">
      <c r="A80" s="9" t="n"/>
      <c r="B80" s="9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9" t="n"/>
      <c r="N80" s="9" t="n"/>
      <c r="O80" s="10" t="n"/>
      <c r="P80" s="9" t="n"/>
      <c r="Q80" s="11">
        <f>IF(P80&lt;&gt;"",P80,IF(M80="","UNKNOWN",IF(AND(ISNUMBER(SEARCH("gas",LOWER(M80))),ISNUMBER(SEARCH("water",LOWER(M80)))),"GAS_WATER",IF(AND(ISNUMBER(SEARCH("oil",LOWER(M80))),ISNUMBER(SEARCH("water",LOWER(M80)))),"OIL_WATER",IF(ISNUMBER(SEARCH("gas",LOWER(M80))),"GAS",IF(ISNUMBER(SEARCH("water",LOWER(M80))),"WATER",IF(ISNUMBER(SEARCH("oil",LOWER(M80))),"OIL","UNKNOWN")))))))</f>
        <v/>
      </c>
      <c r="R80" s="12">
        <f>IF(C80="","",C80)</f>
        <v/>
      </c>
      <c r="S80" s="12">
        <f>IF(R80="","",R80+IF(O80&lt;&gt;"",O80,IF(H80="",0,H80)))</f>
        <v/>
      </c>
      <c r="T80" s="12">
        <f>IF(R80="","",MAX(Settings!$B$3,Settings!$B$4*IF(O80&lt;&gt;"",O80,IF(H80="",0,H80))))</f>
        <v/>
      </c>
      <c r="U80" s="11">
        <f>IF(AND(C80&lt;&gt;"",M80&lt;&gt;"",OR(H80&lt;&gt;"",O80&lt;&gt;"")),"COMPLETE",IF(OR(C80&lt;&gt;"",M80&lt;&gt;""),"PARTIAL","MISSING"))</f>
        <v/>
      </c>
      <c r="V80" s="11">
        <f>IF(Q80="UNKNOWN","Check fluid description",IF(AND(R80&lt;&gt;"",S80&lt;&gt;""),"Ready for contact screening","Needs TVD + thickness"))</f>
        <v/>
      </c>
    </row>
    <row r="81">
      <c r="A81" s="9" t="n"/>
      <c r="B81" s="9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9" t="n"/>
      <c r="N81" s="9" t="n"/>
      <c r="O81" s="10" t="n"/>
      <c r="P81" s="9" t="n"/>
      <c r="Q81" s="11">
        <f>IF(P81&lt;&gt;"",P81,IF(M81="","UNKNOWN",IF(AND(ISNUMBER(SEARCH("gas",LOWER(M81))),ISNUMBER(SEARCH("water",LOWER(M81)))),"GAS_WATER",IF(AND(ISNUMBER(SEARCH("oil",LOWER(M81))),ISNUMBER(SEARCH("water",LOWER(M81)))),"OIL_WATER",IF(ISNUMBER(SEARCH("gas",LOWER(M81))),"GAS",IF(ISNUMBER(SEARCH("water",LOWER(M81))),"WATER",IF(ISNUMBER(SEARCH("oil",LOWER(M81))),"OIL","UNKNOWN")))))))</f>
        <v/>
      </c>
      <c r="R81" s="12">
        <f>IF(C81="","",C81)</f>
        <v/>
      </c>
      <c r="S81" s="12">
        <f>IF(R81="","",R81+IF(O81&lt;&gt;"",O81,IF(H81="",0,H81)))</f>
        <v/>
      </c>
      <c r="T81" s="12">
        <f>IF(R81="","",MAX(Settings!$B$3,Settings!$B$4*IF(O81&lt;&gt;"",O81,IF(H81="",0,H81))))</f>
        <v/>
      </c>
      <c r="U81" s="11">
        <f>IF(AND(C81&lt;&gt;"",M81&lt;&gt;"",OR(H81&lt;&gt;"",O81&lt;&gt;"")),"COMPLETE",IF(OR(C81&lt;&gt;"",M81&lt;&gt;""),"PARTIAL","MISSING"))</f>
        <v/>
      </c>
      <c r="V81" s="11">
        <f>IF(Q81="UNKNOWN","Check fluid description",IF(AND(R81&lt;&gt;"",S81&lt;&gt;""),"Ready for contact screening","Needs TVD + thickness"))</f>
        <v/>
      </c>
    </row>
    <row r="82">
      <c r="A82" s="9" t="n"/>
      <c r="B82" s="9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9" t="n"/>
      <c r="N82" s="9" t="n"/>
      <c r="O82" s="10" t="n"/>
      <c r="P82" s="9" t="n"/>
      <c r="Q82" s="11">
        <f>IF(P82&lt;&gt;"",P82,IF(M82="","UNKNOWN",IF(AND(ISNUMBER(SEARCH("gas",LOWER(M82))),ISNUMBER(SEARCH("water",LOWER(M82)))),"GAS_WATER",IF(AND(ISNUMBER(SEARCH("oil",LOWER(M82))),ISNUMBER(SEARCH("water",LOWER(M82)))),"OIL_WATER",IF(ISNUMBER(SEARCH("gas",LOWER(M82))),"GAS",IF(ISNUMBER(SEARCH("water",LOWER(M82))),"WATER",IF(ISNUMBER(SEARCH("oil",LOWER(M82))),"OIL","UNKNOWN")))))))</f>
        <v/>
      </c>
      <c r="R82" s="12">
        <f>IF(C82="","",C82)</f>
        <v/>
      </c>
      <c r="S82" s="12">
        <f>IF(R82="","",R82+IF(O82&lt;&gt;"",O82,IF(H82="",0,H82)))</f>
        <v/>
      </c>
      <c r="T82" s="12">
        <f>IF(R82="","",MAX(Settings!$B$3,Settings!$B$4*IF(O82&lt;&gt;"",O82,IF(H82="",0,H82))))</f>
        <v/>
      </c>
      <c r="U82" s="11">
        <f>IF(AND(C82&lt;&gt;"",M82&lt;&gt;"",OR(H82&lt;&gt;"",O82&lt;&gt;"")),"COMPLETE",IF(OR(C82&lt;&gt;"",M82&lt;&gt;""),"PARTIAL","MISSING"))</f>
        <v/>
      </c>
      <c r="V82" s="11">
        <f>IF(Q82="UNKNOWN","Check fluid description",IF(AND(R82&lt;&gt;"",S82&lt;&gt;""),"Ready for contact screening","Needs TVD + thickness"))</f>
        <v/>
      </c>
    </row>
    <row r="83">
      <c r="A83" s="9" t="n"/>
      <c r="B83" s="9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9" t="n"/>
      <c r="N83" s="9" t="n"/>
      <c r="O83" s="10" t="n"/>
      <c r="P83" s="9" t="n"/>
      <c r="Q83" s="11">
        <f>IF(P83&lt;&gt;"",P83,IF(M83="","UNKNOWN",IF(AND(ISNUMBER(SEARCH("gas",LOWER(M83))),ISNUMBER(SEARCH("water",LOWER(M83)))),"GAS_WATER",IF(AND(ISNUMBER(SEARCH("oil",LOWER(M83))),ISNUMBER(SEARCH("water",LOWER(M83)))),"OIL_WATER",IF(ISNUMBER(SEARCH("gas",LOWER(M83))),"GAS",IF(ISNUMBER(SEARCH("water",LOWER(M83))),"WATER",IF(ISNUMBER(SEARCH("oil",LOWER(M83))),"OIL","UNKNOWN")))))))</f>
        <v/>
      </c>
      <c r="R83" s="12">
        <f>IF(C83="","",C83)</f>
        <v/>
      </c>
      <c r="S83" s="12">
        <f>IF(R83="","",R83+IF(O83&lt;&gt;"",O83,IF(H83="",0,H83)))</f>
        <v/>
      </c>
      <c r="T83" s="12">
        <f>IF(R83="","",MAX(Settings!$B$3,Settings!$B$4*IF(O83&lt;&gt;"",O83,IF(H83="",0,H83))))</f>
        <v/>
      </c>
      <c r="U83" s="11">
        <f>IF(AND(C83&lt;&gt;"",M83&lt;&gt;"",OR(H83&lt;&gt;"",O83&lt;&gt;"")),"COMPLETE",IF(OR(C83&lt;&gt;"",M83&lt;&gt;""),"PARTIAL","MISSING"))</f>
        <v/>
      </c>
      <c r="V83" s="11">
        <f>IF(Q83="UNKNOWN","Check fluid description",IF(AND(R83&lt;&gt;"",S83&lt;&gt;""),"Ready for contact screening","Needs TVD + thickness"))</f>
        <v/>
      </c>
    </row>
    <row r="84">
      <c r="A84" s="9" t="n"/>
      <c r="B84" s="9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9" t="n"/>
      <c r="N84" s="9" t="n"/>
      <c r="O84" s="10" t="n"/>
      <c r="P84" s="9" t="n"/>
      <c r="Q84" s="11">
        <f>IF(P84&lt;&gt;"",P84,IF(M84="","UNKNOWN",IF(AND(ISNUMBER(SEARCH("gas",LOWER(M84))),ISNUMBER(SEARCH("water",LOWER(M84)))),"GAS_WATER",IF(AND(ISNUMBER(SEARCH("oil",LOWER(M84))),ISNUMBER(SEARCH("water",LOWER(M84)))),"OIL_WATER",IF(ISNUMBER(SEARCH("gas",LOWER(M84))),"GAS",IF(ISNUMBER(SEARCH("water",LOWER(M84))),"WATER",IF(ISNUMBER(SEARCH("oil",LOWER(M84))),"OIL","UNKNOWN")))))))</f>
        <v/>
      </c>
      <c r="R84" s="12">
        <f>IF(C84="","",C84)</f>
        <v/>
      </c>
      <c r="S84" s="12">
        <f>IF(R84="","",R84+IF(O84&lt;&gt;"",O84,IF(H84="",0,H84)))</f>
        <v/>
      </c>
      <c r="T84" s="12">
        <f>IF(R84="","",MAX(Settings!$B$3,Settings!$B$4*IF(O84&lt;&gt;"",O84,IF(H84="",0,H84))))</f>
        <v/>
      </c>
      <c r="U84" s="11">
        <f>IF(AND(C84&lt;&gt;"",M84&lt;&gt;"",OR(H84&lt;&gt;"",O84&lt;&gt;"")),"COMPLETE",IF(OR(C84&lt;&gt;"",M84&lt;&gt;""),"PARTIAL","MISSING"))</f>
        <v/>
      </c>
      <c r="V84" s="11">
        <f>IF(Q84="UNKNOWN","Check fluid description",IF(AND(R84&lt;&gt;"",S84&lt;&gt;""),"Ready for contact screening","Needs TVD + thickness"))</f>
        <v/>
      </c>
    </row>
    <row r="85">
      <c r="A85" s="9" t="n"/>
      <c r="B85" s="9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9" t="n"/>
      <c r="N85" s="9" t="n"/>
      <c r="O85" s="10" t="n"/>
      <c r="P85" s="9" t="n"/>
      <c r="Q85" s="11">
        <f>IF(P85&lt;&gt;"",P85,IF(M85="","UNKNOWN",IF(AND(ISNUMBER(SEARCH("gas",LOWER(M85))),ISNUMBER(SEARCH("water",LOWER(M85)))),"GAS_WATER",IF(AND(ISNUMBER(SEARCH("oil",LOWER(M85))),ISNUMBER(SEARCH("water",LOWER(M85)))),"OIL_WATER",IF(ISNUMBER(SEARCH("gas",LOWER(M85))),"GAS",IF(ISNUMBER(SEARCH("water",LOWER(M85))),"WATER",IF(ISNUMBER(SEARCH("oil",LOWER(M85))),"OIL","UNKNOWN")))))))</f>
        <v/>
      </c>
      <c r="R85" s="12">
        <f>IF(C85="","",C85)</f>
        <v/>
      </c>
      <c r="S85" s="12">
        <f>IF(R85="","",R85+IF(O85&lt;&gt;"",O85,IF(H85="",0,H85)))</f>
        <v/>
      </c>
      <c r="T85" s="12">
        <f>IF(R85="","",MAX(Settings!$B$3,Settings!$B$4*IF(O85&lt;&gt;"",O85,IF(H85="",0,H85))))</f>
        <v/>
      </c>
      <c r="U85" s="11">
        <f>IF(AND(C85&lt;&gt;"",M85&lt;&gt;"",OR(H85&lt;&gt;"",O85&lt;&gt;"")),"COMPLETE",IF(OR(C85&lt;&gt;"",M85&lt;&gt;""),"PARTIAL","MISSING"))</f>
        <v/>
      </c>
      <c r="V85" s="11">
        <f>IF(Q85="UNKNOWN","Check fluid description",IF(AND(R85&lt;&gt;"",S85&lt;&gt;""),"Ready for contact screening","Needs TVD + thickness"))</f>
        <v/>
      </c>
    </row>
    <row r="86">
      <c r="A86" s="9" t="n"/>
      <c r="B86" s="9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9" t="n"/>
      <c r="N86" s="9" t="n"/>
      <c r="O86" s="10" t="n"/>
      <c r="P86" s="9" t="n"/>
      <c r="Q86" s="11">
        <f>IF(P86&lt;&gt;"",P86,IF(M86="","UNKNOWN",IF(AND(ISNUMBER(SEARCH("gas",LOWER(M86))),ISNUMBER(SEARCH("water",LOWER(M86)))),"GAS_WATER",IF(AND(ISNUMBER(SEARCH("oil",LOWER(M86))),ISNUMBER(SEARCH("water",LOWER(M86)))),"OIL_WATER",IF(ISNUMBER(SEARCH("gas",LOWER(M86))),"GAS",IF(ISNUMBER(SEARCH("water",LOWER(M86))),"WATER",IF(ISNUMBER(SEARCH("oil",LOWER(M86))),"OIL","UNKNOWN")))))))</f>
        <v/>
      </c>
      <c r="R86" s="12">
        <f>IF(C86="","",C86)</f>
        <v/>
      </c>
      <c r="S86" s="12">
        <f>IF(R86="","",R86+IF(O86&lt;&gt;"",O86,IF(H86="",0,H86)))</f>
        <v/>
      </c>
      <c r="T86" s="12">
        <f>IF(R86="","",MAX(Settings!$B$3,Settings!$B$4*IF(O86&lt;&gt;"",O86,IF(H86="",0,H86))))</f>
        <v/>
      </c>
      <c r="U86" s="11">
        <f>IF(AND(C86&lt;&gt;"",M86&lt;&gt;"",OR(H86&lt;&gt;"",O86&lt;&gt;"")),"COMPLETE",IF(OR(C86&lt;&gt;"",M86&lt;&gt;""),"PARTIAL","MISSING"))</f>
        <v/>
      </c>
      <c r="V86" s="11">
        <f>IF(Q86="UNKNOWN","Check fluid description",IF(AND(R86&lt;&gt;"",S86&lt;&gt;""),"Ready for contact screening","Needs TVD + thickness"))</f>
        <v/>
      </c>
    </row>
    <row r="87">
      <c r="A87" s="9" t="n"/>
      <c r="B87" s="9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9" t="n"/>
      <c r="N87" s="9" t="n"/>
      <c r="O87" s="10" t="n"/>
      <c r="P87" s="9" t="n"/>
      <c r="Q87" s="11">
        <f>IF(P87&lt;&gt;"",P87,IF(M87="","UNKNOWN",IF(AND(ISNUMBER(SEARCH("gas",LOWER(M87))),ISNUMBER(SEARCH("water",LOWER(M87)))),"GAS_WATER",IF(AND(ISNUMBER(SEARCH("oil",LOWER(M87))),ISNUMBER(SEARCH("water",LOWER(M87)))),"OIL_WATER",IF(ISNUMBER(SEARCH("gas",LOWER(M87))),"GAS",IF(ISNUMBER(SEARCH("water",LOWER(M87))),"WATER",IF(ISNUMBER(SEARCH("oil",LOWER(M87))),"OIL","UNKNOWN")))))))</f>
        <v/>
      </c>
      <c r="R87" s="12">
        <f>IF(C87="","",C87)</f>
        <v/>
      </c>
      <c r="S87" s="12">
        <f>IF(R87="","",R87+IF(O87&lt;&gt;"",O87,IF(H87="",0,H87)))</f>
        <v/>
      </c>
      <c r="T87" s="12">
        <f>IF(R87="","",MAX(Settings!$B$3,Settings!$B$4*IF(O87&lt;&gt;"",O87,IF(H87="",0,H87))))</f>
        <v/>
      </c>
      <c r="U87" s="11">
        <f>IF(AND(C87&lt;&gt;"",M87&lt;&gt;"",OR(H87&lt;&gt;"",O87&lt;&gt;"")),"COMPLETE",IF(OR(C87&lt;&gt;"",M87&lt;&gt;""),"PARTIAL","MISSING"))</f>
        <v/>
      </c>
      <c r="V87" s="11">
        <f>IF(Q87="UNKNOWN","Check fluid description",IF(AND(R87&lt;&gt;"",S87&lt;&gt;""),"Ready for contact screening","Needs TVD + thickness"))</f>
        <v/>
      </c>
    </row>
    <row r="88">
      <c r="A88" s="9" t="n"/>
      <c r="B88" s="9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9" t="n"/>
      <c r="N88" s="9" t="n"/>
      <c r="O88" s="10" t="n"/>
      <c r="P88" s="9" t="n"/>
      <c r="Q88" s="11">
        <f>IF(P88&lt;&gt;"",P88,IF(M88="","UNKNOWN",IF(AND(ISNUMBER(SEARCH("gas",LOWER(M88))),ISNUMBER(SEARCH("water",LOWER(M88)))),"GAS_WATER",IF(AND(ISNUMBER(SEARCH("oil",LOWER(M88))),ISNUMBER(SEARCH("water",LOWER(M88)))),"OIL_WATER",IF(ISNUMBER(SEARCH("gas",LOWER(M88))),"GAS",IF(ISNUMBER(SEARCH("water",LOWER(M88))),"WATER",IF(ISNUMBER(SEARCH("oil",LOWER(M88))),"OIL","UNKNOWN")))))))</f>
        <v/>
      </c>
      <c r="R88" s="12">
        <f>IF(C88="","",C88)</f>
        <v/>
      </c>
      <c r="S88" s="12">
        <f>IF(R88="","",R88+IF(O88&lt;&gt;"",O88,IF(H88="",0,H88)))</f>
        <v/>
      </c>
      <c r="T88" s="12">
        <f>IF(R88="","",MAX(Settings!$B$3,Settings!$B$4*IF(O88&lt;&gt;"",O88,IF(H88="",0,H88))))</f>
        <v/>
      </c>
      <c r="U88" s="11">
        <f>IF(AND(C88&lt;&gt;"",M88&lt;&gt;"",OR(H88&lt;&gt;"",O88&lt;&gt;"")),"COMPLETE",IF(OR(C88&lt;&gt;"",M88&lt;&gt;""),"PARTIAL","MISSING"))</f>
        <v/>
      </c>
      <c r="V88" s="11">
        <f>IF(Q88="UNKNOWN","Check fluid description",IF(AND(R88&lt;&gt;"",S88&lt;&gt;""),"Ready for contact screening","Needs TVD + thickness"))</f>
        <v/>
      </c>
    </row>
    <row r="89">
      <c r="A89" s="9" t="n"/>
      <c r="B89" s="9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9" t="n"/>
      <c r="N89" s="9" t="n"/>
      <c r="O89" s="10" t="n"/>
      <c r="P89" s="9" t="n"/>
      <c r="Q89" s="11">
        <f>IF(P89&lt;&gt;"",P89,IF(M89="","UNKNOWN",IF(AND(ISNUMBER(SEARCH("gas",LOWER(M89))),ISNUMBER(SEARCH("water",LOWER(M89)))),"GAS_WATER",IF(AND(ISNUMBER(SEARCH("oil",LOWER(M89))),ISNUMBER(SEARCH("water",LOWER(M89)))),"OIL_WATER",IF(ISNUMBER(SEARCH("gas",LOWER(M89))),"GAS",IF(ISNUMBER(SEARCH("water",LOWER(M89))),"WATER",IF(ISNUMBER(SEARCH("oil",LOWER(M89))),"OIL","UNKNOWN")))))))</f>
        <v/>
      </c>
      <c r="R89" s="12">
        <f>IF(C89="","",C89)</f>
        <v/>
      </c>
      <c r="S89" s="12">
        <f>IF(R89="","",R89+IF(O89&lt;&gt;"",O89,IF(H89="",0,H89)))</f>
        <v/>
      </c>
      <c r="T89" s="12">
        <f>IF(R89="","",MAX(Settings!$B$3,Settings!$B$4*IF(O89&lt;&gt;"",O89,IF(H89="",0,H89))))</f>
        <v/>
      </c>
      <c r="U89" s="11">
        <f>IF(AND(C89&lt;&gt;"",M89&lt;&gt;"",OR(H89&lt;&gt;"",O89&lt;&gt;"")),"COMPLETE",IF(OR(C89&lt;&gt;"",M89&lt;&gt;""),"PARTIAL","MISSING"))</f>
        <v/>
      </c>
      <c r="V89" s="11">
        <f>IF(Q89="UNKNOWN","Check fluid description",IF(AND(R89&lt;&gt;"",S89&lt;&gt;""),"Ready for contact screening","Needs TVD + thickness"))</f>
        <v/>
      </c>
    </row>
    <row r="90">
      <c r="A90" s="9" t="n"/>
      <c r="B90" s="9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9" t="n"/>
      <c r="N90" s="9" t="n"/>
      <c r="O90" s="10" t="n"/>
      <c r="P90" s="9" t="n"/>
      <c r="Q90" s="11">
        <f>IF(P90&lt;&gt;"",P90,IF(M90="","UNKNOWN",IF(AND(ISNUMBER(SEARCH("gas",LOWER(M90))),ISNUMBER(SEARCH("water",LOWER(M90)))),"GAS_WATER",IF(AND(ISNUMBER(SEARCH("oil",LOWER(M90))),ISNUMBER(SEARCH("water",LOWER(M90)))),"OIL_WATER",IF(ISNUMBER(SEARCH("gas",LOWER(M90))),"GAS",IF(ISNUMBER(SEARCH("water",LOWER(M90))),"WATER",IF(ISNUMBER(SEARCH("oil",LOWER(M90))),"OIL","UNKNOWN")))))))</f>
        <v/>
      </c>
      <c r="R90" s="12">
        <f>IF(C90="","",C90)</f>
        <v/>
      </c>
      <c r="S90" s="12">
        <f>IF(R90="","",R90+IF(O90&lt;&gt;"",O90,IF(H90="",0,H90)))</f>
        <v/>
      </c>
      <c r="T90" s="12">
        <f>IF(R90="","",MAX(Settings!$B$3,Settings!$B$4*IF(O90&lt;&gt;"",O90,IF(H90="",0,H90))))</f>
        <v/>
      </c>
      <c r="U90" s="11">
        <f>IF(AND(C90&lt;&gt;"",M90&lt;&gt;"",OR(H90&lt;&gt;"",O90&lt;&gt;"")),"COMPLETE",IF(OR(C90&lt;&gt;"",M90&lt;&gt;""),"PARTIAL","MISSING"))</f>
        <v/>
      </c>
      <c r="V90" s="11">
        <f>IF(Q90="UNKNOWN","Check fluid description",IF(AND(R90&lt;&gt;"",S90&lt;&gt;""),"Ready for contact screening","Needs TVD + thickness"))</f>
        <v/>
      </c>
    </row>
    <row r="91">
      <c r="A91" s="9" t="n"/>
      <c r="B91" s="9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9" t="n"/>
      <c r="N91" s="9" t="n"/>
      <c r="O91" s="10" t="n"/>
      <c r="P91" s="9" t="n"/>
      <c r="Q91" s="11">
        <f>IF(P91&lt;&gt;"",P91,IF(M91="","UNKNOWN",IF(AND(ISNUMBER(SEARCH("gas",LOWER(M91))),ISNUMBER(SEARCH("water",LOWER(M91)))),"GAS_WATER",IF(AND(ISNUMBER(SEARCH("oil",LOWER(M91))),ISNUMBER(SEARCH("water",LOWER(M91)))),"OIL_WATER",IF(ISNUMBER(SEARCH("gas",LOWER(M91))),"GAS",IF(ISNUMBER(SEARCH("water",LOWER(M91))),"WATER",IF(ISNUMBER(SEARCH("oil",LOWER(M91))),"OIL","UNKNOWN")))))))</f>
        <v/>
      </c>
      <c r="R91" s="12">
        <f>IF(C91="","",C91)</f>
        <v/>
      </c>
      <c r="S91" s="12">
        <f>IF(R91="","",R91+IF(O91&lt;&gt;"",O91,IF(H91="",0,H91)))</f>
        <v/>
      </c>
      <c r="T91" s="12">
        <f>IF(R91="","",MAX(Settings!$B$3,Settings!$B$4*IF(O91&lt;&gt;"",O91,IF(H91="",0,H91))))</f>
        <v/>
      </c>
      <c r="U91" s="11">
        <f>IF(AND(C91&lt;&gt;"",M91&lt;&gt;"",OR(H91&lt;&gt;"",O91&lt;&gt;"")),"COMPLETE",IF(OR(C91&lt;&gt;"",M91&lt;&gt;""),"PARTIAL","MISSING"))</f>
        <v/>
      </c>
      <c r="V91" s="11">
        <f>IF(Q91="UNKNOWN","Check fluid description",IF(AND(R91&lt;&gt;"",S91&lt;&gt;""),"Ready for contact screening","Needs TVD + thickness"))</f>
        <v/>
      </c>
    </row>
    <row r="92">
      <c r="A92" s="9" t="n"/>
      <c r="B92" s="9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9" t="n"/>
      <c r="N92" s="9" t="n"/>
      <c r="O92" s="10" t="n"/>
      <c r="P92" s="9" t="n"/>
      <c r="Q92" s="11">
        <f>IF(P92&lt;&gt;"",P92,IF(M92="","UNKNOWN",IF(AND(ISNUMBER(SEARCH("gas",LOWER(M92))),ISNUMBER(SEARCH("water",LOWER(M92)))),"GAS_WATER",IF(AND(ISNUMBER(SEARCH("oil",LOWER(M92))),ISNUMBER(SEARCH("water",LOWER(M92)))),"OIL_WATER",IF(ISNUMBER(SEARCH("gas",LOWER(M92))),"GAS",IF(ISNUMBER(SEARCH("water",LOWER(M92))),"WATER",IF(ISNUMBER(SEARCH("oil",LOWER(M92))),"OIL","UNKNOWN")))))))</f>
        <v/>
      </c>
      <c r="R92" s="12">
        <f>IF(C92="","",C92)</f>
        <v/>
      </c>
      <c r="S92" s="12">
        <f>IF(R92="","",R92+IF(O92&lt;&gt;"",O92,IF(H92="",0,H92)))</f>
        <v/>
      </c>
      <c r="T92" s="12">
        <f>IF(R92="","",MAX(Settings!$B$3,Settings!$B$4*IF(O92&lt;&gt;"",O92,IF(H92="",0,H92))))</f>
        <v/>
      </c>
      <c r="U92" s="11">
        <f>IF(AND(C92&lt;&gt;"",M92&lt;&gt;"",OR(H92&lt;&gt;"",O92&lt;&gt;"")),"COMPLETE",IF(OR(C92&lt;&gt;"",M92&lt;&gt;""),"PARTIAL","MISSING"))</f>
        <v/>
      </c>
      <c r="V92" s="11">
        <f>IF(Q92="UNKNOWN","Check fluid description",IF(AND(R92&lt;&gt;"",S92&lt;&gt;""),"Ready for contact screening","Needs TVD + thickness"))</f>
        <v/>
      </c>
    </row>
    <row r="93">
      <c r="A93" s="9" t="n"/>
      <c r="B93" s="9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9" t="n"/>
      <c r="N93" s="9" t="n"/>
      <c r="O93" s="10" t="n"/>
      <c r="P93" s="9" t="n"/>
      <c r="Q93" s="11">
        <f>IF(P93&lt;&gt;"",P93,IF(M93="","UNKNOWN",IF(AND(ISNUMBER(SEARCH("gas",LOWER(M93))),ISNUMBER(SEARCH("water",LOWER(M93)))),"GAS_WATER",IF(AND(ISNUMBER(SEARCH("oil",LOWER(M93))),ISNUMBER(SEARCH("water",LOWER(M93)))),"OIL_WATER",IF(ISNUMBER(SEARCH("gas",LOWER(M93))),"GAS",IF(ISNUMBER(SEARCH("water",LOWER(M93))),"WATER",IF(ISNUMBER(SEARCH("oil",LOWER(M93))),"OIL","UNKNOWN")))))))</f>
        <v/>
      </c>
      <c r="R93" s="12">
        <f>IF(C93="","",C93)</f>
        <v/>
      </c>
      <c r="S93" s="12">
        <f>IF(R93="","",R93+IF(O93&lt;&gt;"",O93,IF(H93="",0,H93)))</f>
        <v/>
      </c>
      <c r="T93" s="12">
        <f>IF(R93="","",MAX(Settings!$B$3,Settings!$B$4*IF(O93&lt;&gt;"",O93,IF(H93="",0,H93))))</f>
        <v/>
      </c>
      <c r="U93" s="11">
        <f>IF(AND(C93&lt;&gt;"",M93&lt;&gt;"",OR(H93&lt;&gt;"",O93&lt;&gt;"")),"COMPLETE",IF(OR(C93&lt;&gt;"",M93&lt;&gt;""),"PARTIAL","MISSING"))</f>
        <v/>
      </c>
      <c r="V93" s="11">
        <f>IF(Q93="UNKNOWN","Check fluid description",IF(AND(R93&lt;&gt;"",S93&lt;&gt;""),"Ready for contact screening","Needs TVD + thickness"))</f>
        <v/>
      </c>
    </row>
    <row r="94">
      <c r="A94" s="9" t="n"/>
      <c r="B94" s="9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9" t="n"/>
      <c r="N94" s="9" t="n"/>
      <c r="O94" s="10" t="n"/>
      <c r="P94" s="9" t="n"/>
      <c r="Q94" s="11">
        <f>IF(P94&lt;&gt;"",P94,IF(M94="","UNKNOWN",IF(AND(ISNUMBER(SEARCH("gas",LOWER(M94))),ISNUMBER(SEARCH("water",LOWER(M94)))),"GAS_WATER",IF(AND(ISNUMBER(SEARCH("oil",LOWER(M94))),ISNUMBER(SEARCH("water",LOWER(M94)))),"OIL_WATER",IF(ISNUMBER(SEARCH("gas",LOWER(M94))),"GAS",IF(ISNUMBER(SEARCH("water",LOWER(M94))),"WATER",IF(ISNUMBER(SEARCH("oil",LOWER(M94))),"OIL","UNKNOWN")))))))</f>
        <v/>
      </c>
      <c r="R94" s="12">
        <f>IF(C94="","",C94)</f>
        <v/>
      </c>
      <c r="S94" s="12">
        <f>IF(R94="","",R94+IF(O94&lt;&gt;"",O94,IF(H94="",0,H94)))</f>
        <v/>
      </c>
      <c r="T94" s="12">
        <f>IF(R94="","",MAX(Settings!$B$3,Settings!$B$4*IF(O94&lt;&gt;"",O94,IF(H94="",0,H94))))</f>
        <v/>
      </c>
      <c r="U94" s="11">
        <f>IF(AND(C94&lt;&gt;"",M94&lt;&gt;"",OR(H94&lt;&gt;"",O94&lt;&gt;"")),"COMPLETE",IF(OR(C94&lt;&gt;"",M94&lt;&gt;""),"PARTIAL","MISSING"))</f>
        <v/>
      </c>
      <c r="V94" s="11">
        <f>IF(Q94="UNKNOWN","Check fluid description",IF(AND(R94&lt;&gt;"",S94&lt;&gt;""),"Ready for contact screening","Needs TVD + thickness"))</f>
        <v/>
      </c>
    </row>
    <row r="95">
      <c r="A95" s="9" t="n"/>
      <c r="B95" s="9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9" t="n"/>
      <c r="N95" s="9" t="n"/>
      <c r="O95" s="10" t="n"/>
      <c r="P95" s="9" t="n"/>
      <c r="Q95" s="11">
        <f>IF(P95&lt;&gt;"",P95,IF(M95="","UNKNOWN",IF(AND(ISNUMBER(SEARCH("gas",LOWER(M95))),ISNUMBER(SEARCH("water",LOWER(M95)))),"GAS_WATER",IF(AND(ISNUMBER(SEARCH("oil",LOWER(M95))),ISNUMBER(SEARCH("water",LOWER(M95)))),"OIL_WATER",IF(ISNUMBER(SEARCH("gas",LOWER(M95))),"GAS",IF(ISNUMBER(SEARCH("water",LOWER(M95))),"WATER",IF(ISNUMBER(SEARCH("oil",LOWER(M95))),"OIL","UNKNOWN")))))))</f>
        <v/>
      </c>
      <c r="R95" s="12">
        <f>IF(C95="","",C95)</f>
        <v/>
      </c>
      <c r="S95" s="12">
        <f>IF(R95="","",R95+IF(O95&lt;&gt;"",O95,IF(H95="",0,H95)))</f>
        <v/>
      </c>
      <c r="T95" s="12">
        <f>IF(R95="","",MAX(Settings!$B$3,Settings!$B$4*IF(O95&lt;&gt;"",O95,IF(H95="",0,H95))))</f>
        <v/>
      </c>
      <c r="U95" s="11">
        <f>IF(AND(C95&lt;&gt;"",M95&lt;&gt;"",OR(H95&lt;&gt;"",O95&lt;&gt;"")),"COMPLETE",IF(OR(C95&lt;&gt;"",M95&lt;&gt;""),"PARTIAL","MISSING"))</f>
        <v/>
      </c>
      <c r="V95" s="11">
        <f>IF(Q95="UNKNOWN","Check fluid description",IF(AND(R95&lt;&gt;"",S95&lt;&gt;""),"Ready for contact screening","Needs TVD + thickness"))</f>
        <v/>
      </c>
    </row>
    <row r="96">
      <c r="A96" s="9" t="n"/>
      <c r="B96" s="9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9" t="n"/>
      <c r="N96" s="9" t="n"/>
      <c r="O96" s="10" t="n"/>
      <c r="P96" s="9" t="n"/>
      <c r="Q96" s="11">
        <f>IF(P96&lt;&gt;"",P96,IF(M96="","UNKNOWN",IF(AND(ISNUMBER(SEARCH("gas",LOWER(M96))),ISNUMBER(SEARCH("water",LOWER(M96)))),"GAS_WATER",IF(AND(ISNUMBER(SEARCH("oil",LOWER(M96))),ISNUMBER(SEARCH("water",LOWER(M96)))),"OIL_WATER",IF(ISNUMBER(SEARCH("gas",LOWER(M96))),"GAS",IF(ISNUMBER(SEARCH("water",LOWER(M96))),"WATER",IF(ISNUMBER(SEARCH("oil",LOWER(M96))),"OIL","UNKNOWN")))))))</f>
        <v/>
      </c>
      <c r="R96" s="12">
        <f>IF(C96="","",C96)</f>
        <v/>
      </c>
      <c r="S96" s="12">
        <f>IF(R96="","",R96+IF(O96&lt;&gt;"",O96,IF(H96="",0,H96)))</f>
        <v/>
      </c>
      <c r="T96" s="12">
        <f>IF(R96="","",MAX(Settings!$B$3,Settings!$B$4*IF(O96&lt;&gt;"",O96,IF(H96="",0,H96))))</f>
        <v/>
      </c>
      <c r="U96" s="11">
        <f>IF(AND(C96&lt;&gt;"",M96&lt;&gt;"",OR(H96&lt;&gt;"",O96&lt;&gt;"")),"COMPLETE",IF(OR(C96&lt;&gt;"",M96&lt;&gt;""),"PARTIAL","MISSING"))</f>
        <v/>
      </c>
      <c r="V96" s="11">
        <f>IF(Q96="UNKNOWN","Check fluid description",IF(AND(R96&lt;&gt;"",S96&lt;&gt;""),"Ready for contact screening","Needs TVD + thickness"))</f>
        <v/>
      </c>
    </row>
    <row r="97">
      <c r="A97" s="9" t="n"/>
      <c r="B97" s="9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9" t="n"/>
      <c r="N97" s="9" t="n"/>
      <c r="O97" s="10" t="n"/>
      <c r="P97" s="9" t="n"/>
      <c r="Q97" s="11">
        <f>IF(P97&lt;&gt;"",P97,IF(M97="","UNKNOWN",IF(AND(ISNUMBER(SEARCH("gas",LOWER(M97))),ISNUMBER(SEARCH("water",LOWER(M97)))),"GAS_WATER",IF(AND(ISNUMBER(SEARCH("oil",LOWER(M97))),ISNUMBER(SEARCH("water",LOWER(M97)))),"OIL_WATER",IF(ISNUMBER(SEARCH("gas",LOWER(M97))),"GAS",IF(ISNUMBER(SEARCH("water",LOWER(M97))),"WATER",IF(ISNUMBER(SEARCH("oil",LOWER(M97))),"OIL","UNKNOWN")))))))</f>
        <v/>
      </c>
      <c r="R97" s="12">
        <f>IF(C97="","",C97)</f>
        <v/>
      </c>
      <c r="S97" s="12">
        <f>IF(R97="","",R97+IF(O97&lt;&gt;"",O97,IF(H97="",0,H97)))</f>
        <v/>
      </c>
      <c r="T97" s="12">
        <f>IF(R97="","",MAX(Settings!$B$3,Settings!$B$4*IF(O97&lt;&gt;"",O97,IF(H97="",0,H97))))</f>
        <v/>
      </c>
      <c r="U97" s="11">
        <f>IF(AND(C97&lt;&gt;"",M97&lt;&gt;"",OR(H97&lt;&gt;"",O97&lt;&gt;"")),"COMPLETE",IF(OR(C97&lt;&gt;"",M97&lt;&gt;""),"PARTIAL","MISSING"))</f>
        <v/>
      </c>
      <c r="V97" s="11">
        <f>IF(Q97="UNKNOWN","Check fluid description",IF(AND(R97&lt;&gt;"",S97&lt;&gt;""),"Ready for contact screening","Needs TVD + thickness"))</f>
        <v/>
      </c>
    </row>
    <row r="98">
      <c r="A98" s="9" t="n"/>
      <c r="B98" s="9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9" t="n"/>
      <c r="N98" s="9" t="n"/>
      <c r="O98" s="10" t="n"/>
      <c r="P98" s="9" t="n"/>
      <c r="Q98" s="11">
        <f>IF(P98&lt;&gt;"",P98,IF(M98="","UNKNOWN",IF(AND(ISNUMBER(SEARCH("gas",LOWER(M98))),ISNUMBER(SEARCH("water",LOWER(M98)))),"GAS_WATER",IF(AND(ISNUMBER(SEARCH("oil",LOWER(M98))),ISNUMBER(SEARCH("water",LOWER(M98)))),"OIL_WATER",IF(ISNUMBER(SEARCH("gas",LOWER(M98))),"GAS",IF(ISNUMBER(SEARCH("water",LOWER(M98))),"WATER",IF(ISNUMBER(SEARCH("oil",LOWER(M98))),"OIL","UNKNOWN")))))))</f>
        <v/>
      </c>
      <c r="R98" s="12">
        <f>IF(C98="","",C98)</f>
        <v/>
      </c>
      <c r="S98" s="12">
        <f>IF(R98="","",R98+IF(O98&lt;&gt;"",O98,IF(H98="",0,H98)))</f>
        <v/>
      </c>
      <c r="T98" s="12">
        <f>IF(R98="","",MAX(Settings!$B$3,Settings!$B$4*IF(O98&lt;&gt;"",O98,IF(H98="",0,H98))))</f>
        <v/>
      </c>
      <c r="U98" s="11">
        <f>IF(AND(C98&lt;&gt;"",M98&lt;&gt;"",OR(H98&lt;&gt;"",O98&lt;&gt;"")),"COMPLETE",IF(OR(C98&lt;&gt;"",M98&lt;&gt;""),"PARTIAL","MISSING"))</f>
        <v/>
      </c>
      <c r="V98" s="11">
        <f>IF(Q98="UNKNOWN","Check fluid description",IF(AND(R98&lt;&gt;"",S98&lt;&gt;""),"Ready for contact screening","Needs TVD + thickness"))</f>
        <v/>
      </c>
    </row>
    <row r="99">
      <c r="A99" s="9" t="n"/>
      <c r="B99" s="9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9" t="n"/>
      <c r="N99" s="9" t="n"/>
      <c r="O99" s="10" t="n"/>
      <c r="P99" s="9" t="n"/>
      <c r="Q99" s="11">
        <f>IF(P99&lt;&gt;"",P99,IF(M99="","UNKNOWN",IF(AND(ISNUMBER(SEARCH("gas",LOWER(M99))),ISNUMBER(SEARCH("water",LOWER(M99)))),"GAS_WATER",IF(AND(ISNUMBER(SEARCH("oil",LOWER(M99))),ISNUMBER(SEARCH("water",LOWER(M99)))),"OIL_WATER",IF(ISNUMBER(SEARCH("gas",LOWER(M99))),"GAS",IF(ISNUMBER(SEARCH("water",LOWER(M99))),"WATER",IF(ISNUMBER(SEARCH("oil",LOWER(M99))),"OIL","UNKNOWN")))))))</f>
        <v/>
      </c>
      <c r="R99" s="12">
        <f>IF(C99="","",C99)</f>
        <v/>
      </c>
      <c r="S99" s="12">
        <f>IF(R99="","",R99+IF(O99&lt;&gt;"",O99,IF(H99="",0,H99)))</f>
        <v/>
      </c>
      <c r="T99" s="12">
        <f>IF(R99="","",MAX(Settings!$B$3,Settings!$B$4*IF(O99&lt;&gt;"",O99,IF(H99="",0,H99))))</f>
        <v/>
      </c>
      <c r="U99" s="11">
        <f>IF(AND(C99&lt;&gt;"",M99&lt;&gt;"",OR(H99&lt;&gt;"",O99&lt;&gt;"")),"COMPLETE",IF(OR(C99&lt;&gt;"",M99&lt;&gt;""),"PARTIAL","MISSING"))</f>
        <v/>
      </c>
      <c r="V99" s="11">
        <f>IF(Q99="UNKNOWN","Check fluid description",IF(AND(R99&lt;&gt;"",S99&lt;&gt;""),"Ready for contact screening","Needs TVD + thickness"))</f>
        <v/>
      </c>
    </row>
    <row r="100">
      <c r="A100" s="9" t="n"/>
      <c r="B100" s="9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9" t="n"/>
      <c r="N100" s="9" t="n"/>
      <c r="O100" s="10" t="n"/>
      <c r="P100" s="9" t="n"/>
      <c r="Q100" s="11">
        <f>IF(P100&lt;&gt;"",P100,IF(M100="","UNKNOWN",IF(AND(ISNUMBER(SEARCH("gas",LOWER(M100))),ISNUMBER(SEARCH("water",LOWER(M100)))),"GAS_WATER",IF(AND(ISNUMBER(SEARCH("oil",LOWER(M100))),ISNUMBER(SEARCH("water",LOWER(M100)))),"OIL_WATER",IF(ISNUMBER(SEARCH("gas",LOWER(M100))),"GAS",IF(ISNUMBER(SEARCH("water",LOWER(M100))),"WATER",IF(ISNUMBER(SEARCH("oil",LOWER(M100))),"OIL","UNKNOWN")))))))</f>
        <v/>
      </c>
      <c r="R100" s="12">
        <f>IF(C100="","",C100)</f>
        <v/>
      </c>
      <c r="S100" s="12">
        <f>IF(R100="","",R100+IF(O100&lt;&gt;"",O100,IF(H100="",0,H100)))</f>
        <v/>
      </c>
      <c r="T100" s="12">
        <f>IF(R100="","",MAX(Settings!$B$3,Settings!$B$4*IF(O100&lt;&gt;"",O100,IF(H100="",0,H100))))</f>
        <v/>
      </c>
      <c r="U100" s="11">
        <f>IF(AND(C100&lt;&gt;"",M100&lt;&gt;"",OR(H100&lt;&gt;"",O100&lt;&gt;"")),"COMPLETE",IF(OR(C100&lt;&gt;"",M100&lt;&gt;""),"PARTIAL","MISSING"))</f>
        <v/>
      </c>
      <c r="V100" s="11">
        <f>IF(Q100="UNKNOWN","Check fluid description",IF(AND(R100&lt;&gt;"",S100&lt;&gt;""),"Ready for contact screening","Needs TVD + thickness"))</f>
        <v/>
      </c>
    </row>
    <row r="101">
      <c r="A101" s="9" t="n"/>
      <c r="B101" s="9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9" t="n"/>
      <c r="N101" s="9" t="n"/>
      <c r="O101" s="10" t="n"/>
      <c r="P101" s="9" t="n"/>
      <c r="Q101" s="11">
        <f>IF(P101&lt;&gt;"",P101,IF(M101="","UNKNOWN",IF(AND(ISNUMBER(SEARCH("gas",LOWER(M101))),ISNUMBER(SEARCH("water",LOWER(M101)))),"GAS_WATER",IF(AND(ISNUMBER(SEARCH("oil",LOWER(M101))),ISNUMBER(SEARCH("water",LOWER(M101)))),"OIL_WATER",IF(ISNUMBER(SEARCH("gas",LOWER(M101))),"GAS",IF(ISNUMBER(SEARCH("water",LOWER(M101))),"WATER",IF(ISNUMBER(SEARCH("oil",LOWER(M101))),"OIL","UNKNOWN")))))))</f>
        <v/>
      </c>
      <c r="R101" s="12">
        <f>IF(C101="","",C101)</f>
        <v/>
      </c>
      <c r="S101" s="12">
        <f>IF(R101="","",R101+IF(O101&lt;&gt;"",O101,IF(H101="",0,H101)))</f>
        <v/>
      </c>
      <c r="T101" s="12">
        <f>IF(R101="","",MAX(Settings!$B$3,Settings!$B$4*IF(O101&lt;&gt;"",O101,IF(H101="",0,H101))))</f>
        <v/>
      </c>
      <c r="U101" s="11">
        <f>IF(AND(C101&lt;&gt;"",M101&lt;&gt;"",OR(H101&lt;&gt;"",O101&lt;&gt;"")),"COMPLETE",IF(OR(C101&lt;&gt;"",M101&lt;&gt;""),"PARTIAL","MISSING"))</f>
        <v/>
      </c>
      <c r="V101" s="11">
        <f>IF(Q101="UNKNOWN","Check fluid description",IF(AND(R101&lt;&gt;"",S101&lt;&gt;""),"Ready for contact screening","Needs TVD + thickness"))</f>
        <v/>
      </c>
    </row>
    <row r="102">
      <c r="A102" s="9" t="n"/>
      <c r="B102" s="9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9" t="n"/>
      <c r="N102" s="9" t="n"/>
      <c r="O102" s="10" t="n"/>
      <c r="P102" s="9" t="n"/>
      <c r="Q102" s="11">
        <f>IF(P102&lt;&gt;"",P102,IF(M102="","UNKNOWN",IF(AND(ISNUMBER(SEARCH("gas",LOWER(M102))),ISNUMBER(SEARCH("water",LOWER(M102)))),"GAS_WATER",IF(AND(ISNUMBER(SEARCH("oil",LOWER(M102))),ISNUMBER(SEARCH("water",LOWER(M102)))),"OIL_WATER",IF(ISNUMBER(SEARCH("gas",LOWER(M102))),"GAS",IF(ISNUMBER(SEARCH("water",LOWER(M102))),"WATER",IF(ISNUMBER(SEARCH("oil",LOWER(M102))),"OIL","UNKNOWN")))))))</f>
        <v/>
      </c>
      <c r="R102" s="12">
        <f>IF(C102="","",C102)</f>
        <v/>
      </c>
      <c r="S102" s="12">
        <f>IF(R102="","",R102+IF(O102&lt;&gt;"",O102,IF(H102="",0,H102)))</f>
        <v/>
      </c>
      <c r="T102" s="12">
        <f>IF(R102="","",MAX(Settings!$B$3,Settings!$B$4*IF(O102&lt;&gt;"",O102,IF(H102="",0,H102))))</f>
        <v/>
      </c>
      <c r="U102" s="11">
        <f>IF(AND(C102&lt;&gt;"",M102&lt;&gt;"",OR(H102&lt;&gt;"",O102&lt;&gt;"")),"COMPLETE",IF(OR(C102&lt;&gt;"",M102&lt;&gt;""),"PARTIAL","MISSING"))</f>
        <v/>
      </c>
      <c r="V102" s="11">
        <f>IF(Q102="UNKNOWN","Check fluid description",IF(AND(R102&lt;&gt;"",S102&lt;&gt;""),"Ready for contact screening","Needs TVD + thickness"))</f>
        <v/>
      </c>
    </row>
    <row r="103">
      <c r="A103" s="9" t="n"/>
      <c r="B103" s="9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9" t="n"/>
      <c r="N103" s="9" t="n"/>
      <c r="O103" s="10" t="n"/>
      <c r="P103" s="9" t="n"/>
      <c r="Q103" s="11">
        <f>IF(P103&lt;&gt;"",P103,IF(M103="","UNKNOWN",IF(AND(ISNUMBER(SEARCH("gas",LOWER(M103))),ISNUMBER(SEARCH("water",LOWER(M103)))),"GAS_WATER",IF(AND(ISNUMBER(SEARCH("oil",LOWER(M103))),ISNUMBER(SEARCH("water",LOWER(M103)))),"OIL_WATER",IF(ISNUMBER(SEARCH("gas",LOWER(M103))),"GAS",IF(ISNUMBER(SEARCH("water",LOWER(M103))),"WATER",IF(ISNUMBER(SEARCH("oil",LOWER(M103))),"OIL","UNKNOWN")))))))</f>
        <v/>
      </c>
      <c r="R103" s="12">
        <f>IF(C103="","",C103)</f>
        <v/>
      </c>
      <c r="S103" s="12">
        <f>IF(R103="","",R103+IF(O103&lt;&gt;"",O103,IF(H103="",0,H103)))</f>
        <v/>
      </c>
      <c r="T103" s="12">
        <f>IF(R103="","",MAX(Settings!$B$3,Settings!$B$4*IF(O103&lt;&gt;"",O103,IF(H103="",0,H103))))</f>
        <v/>
      </c>
      <c r="U103" s="11">
        <f>IF(AND(C103&lt;&gt;"",M103&lt;&gt;"",OR(H103&lt;&gt;"",O103&lt;&gt;"")),"COMPLETE",IF(OR(C103&lt;&gt;"",M103&lt;&gt;""),"PARTIAL","MISSING"))</f>
        <v/>
      </c>
      <c r="V103" s="11">
        <f>IF(Q103="UNKNOWN","Check fluid description",IF(AND(R103&lt;&gt;"",S103&lt;&gt;""),"Ready for contact screening","Needs TVD + thickness"))</f>
        <v/>
      </c>
    </row>
    <row r="104">
      <c r="A104" s="9" t="n"/>
      <c r="B104" s="9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9" t="n"/>
      <c r="N104" s="9" t="n"/>
      <c r="O104" s="10" t="n"/>
      <c r="P104" s="9" t="n"/>
      <c r="Q104" s="11">
        <f>IF(P104&lt;&gt;"",P104,IF(M104="","UNKNOWN",IF(AND(ISNUMBER(SEARCH("gas",LOWER(M104))),ISNUMBER(SEARCH("water",LOWER(M104)))),"GAS_WATER",IF(AND(ISNUMBER(SEARCH("oil",LOWER(M104))),ISNUMBER(SEARCH("water",LOWER(M104)))),"OIL_WATER",IF(ISNUMBER(SEARCH("gas",LOWER(M104))),"GAS",IF(ISNUMBER(SEARCH("water",LOWER(M104))),"WATER",IF(ISNUMBER(SEARCH("oil",LOWER(M104))),"OIL","UNKNOWN")))))))</f>
        <v/>
      </c>
      <c r="R104" s="12">
        <f>IF(C104="","",C104)</f>
        <v/>
      </c>
      <c r="S104" s="12">
        <f>IF(R104="","",R104+IF(O104&lt;&gt;"",O104,IF(H104="",0,H104)))</f>
        <v/>
      </c>
      <c r="T104" s="12">
        <f>IF(R104="","",MAX(Settings!$B$3,Settings!$B$4*IF(O104&lt;&gt;"",O104,IF(H104="",0,H104))))</f>
        <v/>
      </c>
      <c r="U104" s="11">
        <f>IF(AND(C104&lt;&gt;"",M104&lt;&gt;"",OR(H104&lt;&gt;"",O104&lt;&gt;"")),"COMPLETE",IF(OR(C104&lt;&gt;"",M104&lt;&gt;""),"PARTIAL","MISSING"))</f>
        <v/>
      </c>
      <c r="V104" s="11">
        <f>IF(Q104="UNKNOWN","Check fluid description",IF(AND(R104&lt;&gt;"",S104&lt;&gt;""),"Ready for contact screening","Needs TVD + thickness"))</f>
        <v/>
      </c>
    </row>
    <row r="105">
      <c r="A105" s="9" t="n"/>
      <c r="B105" s="9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9" t="n"/>
      <c r="N105" s="9" t="n"/>
      <c r="O105" s="10" t="n"/>
      <c r="P105" s="9" t="n"/>
      <c r="Q105" s="11">
        <f>IF(P105&lt;&gt;"",P105,IF(M105="","UNKNOWN",IF(AND(ISNUMBER(SEARCH("gas",LOWER(M105))),ISNUMBER(SEARCH("water",LOWER(M105)))),"GAS_WATER",IF(AND(ISNUMBER(SEARCH("oil",LOWER(M105))),ISNUMBER(SEARCH("water",LOWER(M105)))),"OIL_WATER",IF(ISNUMBER(SEARCH("gas",LOWER(M105))),"GAS",IF(ISNUMBER(SEARCH("water",LOWER(M105))),"WATER",IF(ISNUMBER(SEARCH("oil",LOWER(M105))),"OIL","UNKNOWN")))))))</f>
        <v/>
      </c>
      <c r="R105" s="12">
        <f>IF(C105="","",C105)</f>
        <v/>
      </c>
      <c r="S105" s="12">
        <f>IF(R105="","",R105+IF(O105&lt;&gt;"",O105,IF(H105="",0,H105)))</f>
        <v/>
      </c>
      <c r="T105" s="12">
        <f>IF(R105="","",MAX(Settings!$B$3,Settings!$B$4*IF(O105&lt;&gt;"",O105,IF(H105="",0,H105))))</f>
        <v/>
      </c>
      <c r="U105" s="11">
        <f>IF(AND(C105&lt;&gt;"",M105&lt;&gt;"",OR(H105&lt;&gt;"",O105&lt;&gt;"")),"COMPLETE",IF(OR(C105&lt;&gt;"",M105&lt;&gt;""),"PARTIAL","MISSING"))</f>
        <v/>
      </c>
      <c r="V105" s="11">
        <f>IF(Q105="UNKNOWN","Check fluid description",IF(AND(R105&lt;&gt;"",S105&lt;&gt;""),"Ready for contact screening","Needs TVD + thickness"))</f>
        <v/>
      </c>
    </row>
    <row r="106">
      <c r="A106" s="9" t="n"/>
      <c r="B106" s="9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9" t="n"/>
      <c r="N106" s="9" t="n"/>
      <c r="O106" s="10" t="n"/>
      <c r="P106" s="9" t="n"/>
      <c r="Q106" s="11">
        <f>IF(P106&lt;&gt;"",P106,IF(M106="","UNKNOWN",IF(AND(ISNUMBER(SEARCH("gas",LOWER(M106))),ISNUMBER(SEARCH("water",LOWER(M106)))),"GAS_WATER",IF(AND(ISNUMBER(SEARCH("oil",LOWER(M106))),ISNUMBER(SEARCH("water",LOWER(M106)))),"OIL_WATER",IF(ISNUMBER(SEARCH("gas",LOWER(M106))),"GAS",IF(ISNUMBER(SEARCH("water",LOWER(M106))),"WATER",IF(ISNUMBER(SEARCH("oil",LOWER(M106))),"OIL","UNKNOWN")))))))</f>
        <v/>
      </c>
      <c r="R106" s="12">
        <f>IF(C106="","",C106)</f>
        <v/>
      </c>
      <c r="S106" s="12">
        <f>IF(R106="","",R106+IF(O106&lt;&gt;"",O106,IF(H106="",0,H106)))</f>
        <v/>
      </c>
      <c r="T106" s="12">
        <f>IF(R106="","",MAX(Settings!$B$3,Settings!$B$4*IF(O106&lt;&gt;"",O106,IF(H106="",0,H106))))</f>
        <v/>
      </c>
      <c r="U106" s="11">
        <f>IF(AND(C106&lt;&gt;"",M106&lt;&gt;"",OR(H106&lt;&gt;"",O106&lt;&gt;"")),"COMPLETE",IF(OR(C106&lt;&gt;"",M106&lt;&gt;""),"PARTIAL","MISSING"))</f>
        <v/>
      </c>
      <c r="V106" s="11">
        <f>IF(Q106="UNKNOWN","Check fluid description",IF(AND(R106&lt;&gt;"",S106&lt;&gt;""),"Ready for contact screening","Needs TVD + thickness"))</f>
        <v/>
      </c>
    </row>
    <row r="107">
      <c r="A107" s="9" t="n"/>
      <c r="B107" s="9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9" t="n"/>
      <c r="N107" s="9" t="n"/>
      <c r="O107" s="10" t="n"/>
      <c r="P107" s="9" t="n"/>
      <c r="Q107" s="11">
        <f>IF(P107&lt;&gt;"",P107,IF(M107="","UNKNOWN",IF(AND(ISNUMBER(SEARCH("gas",LOWER(M107))),ISNUMBER(SEARCH("water",LOWER(M107)))),"GAS_WATER",IF(AND(ISNUMBER(SEARCH("oil",LOWER(M107))),ISNUMBER(SEARCH("water",LOWER(M107)))),"OIL_WATER",IF(ISNUMBER(SEARCH("gas",LOWER(M107))),"GAS",IF(ISNUMBER(SEARCH("water",LOWER(M107))),"WATER",IF(ISNUMBER(SEARCH("oil",LOWER(M107))),"OIL","UNKNOWN")))))))</f>
        <v/>
      </c>
      <c r="R107" s="12">
        <f>IF(C107="","",C107)</f>
        <v/>
      </c>
      <c r="S107" s="12">
        <f>IF(R107="","",R107+IF(O107&lt;&gt;"",O107,IF(H107="",0,H107)))</f>
        <v/>
      </c>
      <c r="T107" s="12">
        <f>IF(R107="","",MAX(Settings!$B$3,Settings!$B$4*IF(O107&lt;&gt;"",O107,IF(H107="",0,H107))))</f>
        <v/>
      </c>
      <c r="U107" s="11">
        <f>IF(AND(C107&lt;&gt;"",M107&lt;&gt;"",OR(H107&lt;&gt;"",O107&lt;&gt;"")),"COMPLETE",IF(OR(C107&lt;&gt;"",M107&lt;&gt;""),"PARTIAL","MISSING"))</f>
        <v/>
      </c>
      <c r="V107" s="11">
        <f>IF(Q107="UNKNOWN","Check fluid description",IF(AND(R107&lt;&gt;"",S107&lt;&gt;""),"Ready for contact screening","Needs TVD + thickness"))</f>
        <v/>
      </c>
    </row>
    <row r="108">
      <c r="A108" s="9" t="n"/>
      <c r="B108" s="9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9" t="n"/>
      <c r="N108" s="9" t="n"/>
      <c r="O108" s="10" t="n"/>
      <c r="P108" s="9" t="n"/>
      <c r="Q108" s="11">
        <f>IF(P108&lt;&gt;"",P108,IF(M108="","UNKNOWN",IF(AND(ISNUMBER(SEARCH("gas",LOWER(M108))),ISNUMBER(SEARCH("water",LOWER(M108)))),"GAS_WATER",IF(AND(ISNUMBER(SEARCH("oil",LOWER(M108))),ISNUMBER(SEARCH("water",LOWER(M108)))),"OIL_WATER",IF(ISNUMBER(SEARCH("gas",LOWER(M108))),"GAS",IF(ISNUMBER(SEARCH("water",LOWER(M108))),"WATER",IF(ISNUMBER(SEARCH("oil",LOWER(M108))),"OIL","UNKNOWN")))))))</f>
        <v/>
      </c>
      <c r="R108" s="12">
        <f>IF(C108="","",C108)</f>
        <v/>
      </c>
      <c r="S108" s="12">
        <f>IF(R108="","",R108+IF(O108&lt;&gt;"",O108,IF(H108="",0,H108)))</f>
        <v/>
      </c>
      <c r="T108" s="12">
        <f>IF(R108="","",MAX(Settings!$B$3,Settings!$B$4*IF(O108&lt;&gt;"",O108,IF(H108="",0,H108))))</f>
        <v/>
      </c>
      <c r="U108" s="11">
        <f>IF(AND(C108&lt;&gt;"",M108&lt;&gt;"",OR(H108&lt;&gt;"",O108&lt;&gt;"")),"COMPLETE",IF(OR(C108&lt;&gt;"",M108&lt;&gt;""),"PARTIAL","MISSING"))</f>
        <v/>
      </c>
      <c r="V108" s="11">
        <f>IF(Q108="UNKNOWN","Check fluid description",IF(AND(R108&lt;&gt;"",S108&lt;&gt;""),"Ready for contact screening","Needs TVD + thickness"))</f>
        <v/>
      </c>
    </row>
    <row r="109">
      <c r="A109" s="9" t="n"/>
      <c r="B109" s="9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9" t="n"/>
      <c r="N109" s="9" t="n"/>
      <c r="O109" s="10" t="n"/>
      <c r="P109" s="9" t="n"/>
      <c r="Q109" s="11">
        <f>IF(P109&lt;&gt;"",P109,IF(M109="","UNKNOWN",IF(AND(ISNUMBER(SEARCH("gas",LOWER(M109))),ISNUMBER(SEARCH("water",LOWER(M109)))),"GAS_WATER",IF(AND(ISNUMBER(SEARCH("oil",LOWER(M109))),ISNUMBER(SEARCH("water",LOWER(M109)))),"OIL_WATER",IF(ISNUMBER(SEARCH("gas",LOWER(M109))),"GAS",IF(ISNUMBER(SEARCH("water",LOWER(M109))),"WATER",IF(ISNUMBER(SEARCH("oil",LOWER(M109))),"OIL","UNKNOWN")))))))</f>
        <v/>
      </c>
      <c r="R109" s="12">
        <f>IF(C109="","",C109)</f>
        <v/>
      </c>
      <c r="S109" s="12">
        <f>IF(R109="","",R109+IF(O109&lt;&gt;"",O109,IF(H109="",0,H109)))</f>
        <v/>
      </c>
      <c r="T109" s="12">
        <f>IF(R109="","",MAX(Settings!$B$3,Settings!$B$4*IF(O109&lt;&gt;"",O109,IF(H109="",0,H109))))</f>
        <v/>
      </c>
      <c r="U109" s="11">
        <f>IF(AND(C109&lt;&gt;"",M109&lt;&gt;"",OR(H109&lt;&gt;"",O109&lt;&gt;"")),"COMPLETE",IF(OR(C109&lt;&gt;"",M109&lt;&gt;""),"PARTIAL","MISSING"))</f>
        <v/>
      </c>
      <c r="V109" s="11">
        <f>IF(Q109="UNKNOWN","Check fluid description",IF(AND(R109&lt;&gt;"",S109&lt;&gt;""),"Ready for contact screening","Needs TVD + thickness"))</f>
        <v/>
      </c>
    </row>
    <row r="110">
      <c r="A110" s="9" t="n"/>
      <c r="B110" s="9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9" t="n"/>
      <c r="N110" s="9" t="n"/>
      <c r="O110" s="10" t="n"/>
      <c r="P110" s="9" t="n"/>
      <c r="Q110" s="11">
        <f>IF(P110&lt;&gt;"",P110,IF(M110="","UNKNOWN",IF(AND(ISNUMBER(SEARCH("gas",LOWER(M110))),ISNUMBER(SEARCH("water",LOWER(M110)))),"GAS_WATER",IF(AND(ISNUMBER(SEARCH("oil",LOWER(M110))),ISNUMBER(SEARCH("water",LOWER(M110)))),"OIL_WATER",IF(ISNUMBER(SEARCH("gas",LOWER(M110))),"GAS",IF(ISNUMBER(SEARCH("water",LOWER(M110))),"WATER",IF(ISNUMBER(SEARCH("oil",LOWER(M110))),"OIL","UNKNOWN")))))))</f>
        <v/>
      </c>
      <c r="R110" s="12">
        <f>IF(C110="","",C110)</f>
        <v/>
      </c>
      <c r="S110" s="12">
        <f>IF(R110="","",R110+IF(O110&lt;&gt;"",O110,IF(H110="",0,H110)))</f>
        <v/>
      </c>
      <c r="T110" s="12">
        <f>IF(R110="","",MAX(Settings!$B$3,Settings!$B$4*IF(O110&lt;&gt;"",O110,IF(H110="",0,H110))))</f>
        <v/>
      </c>
      <c r="U110" s="11">
        <f>IF(AND(C110&lt;&gt;"",M110&lt;&gt;"",OR(H110&lt;&gt;"",O110&lt;&gt;"")),"COMPLETE",IF(OR(C110&lt;&gt;"",M110&lt;&gt;""),"PARTIAL","MISSING"))</f>
        <v/>
      </c>
      <c r="V110" s="11">
        <f>IF(Q110="UNKNOWN","Check fluid description",IF(AND(R110&lt;&gt;"",S110&lt;&gt;""),"Ready for contact screening","Needs TVD + thickness"))</f>
        <v/>
      </c>
    </row>
    <row r="111">
      <c r="A111" s="9" t="n"/>
      <c r="B111" s="9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9" t="n"/>
      <c r="N111" s="9" t="n"/>
      <c r="O111" s="10" t="n"/>
      <c r="P111" s="9" t="n"/>
      <c r="Q111" s="11">
        <f>IF(P111&lt;&gt;"",P111,IF(M111="","UNKNOWN",IF(AND(ISNUMBER(SEARCH("gas",LOWER(M111))),ISNUMBER(SEARCH("water",LOWER(M111)))),"GAS_WATER",IF(AND(ISNUMBER(SEARCH("oil",LOWER(M111))),ISNUMBER(SEARCH("water",LOWER(M111)))),"OIL_WATER",IF(ISNUMBER(SEARCH("gas",LOWER(M111))),"GAS",IF(ISNUMBER(SEARCH("water",LOWER(M111))),"WATER",IF(ISNUMBER(SEARCH("oil",LOWER(M111))),"OIL","UNKNOWN")))))))</f>
        <v/>
      </c>
      <c r="R111" s="12">
        <f>IF(C111="","",C111)</f>
        <v/>
      </c>
      <c r="S111" s="12">
        <f>IF(R111="","",R111+IF(O111&lt;&gt;"",O111,IF(H111="",0,H111)))</f>
        <v/>
      </c>
      <c r="T111" s="12">
        <f>IF(R111="","",MAX(Settings!$B$3,Settings!$B$4*IF(O111&lt;&gt;"",O111,IF(H111="",0,H111))))</f>
        <v/>
      </c>
      <c r="U111" s="11">
        <f>IF(AND(C111&lt;&gt;"",M111&lt;&gt;"",OR(H111&lt;&gt;"",O111&lt;&gt;"")),"COMPLETE",IF(OR(C111&lt;&gt;"",M111&lt;&gt;""),"PARTIAL","MISSING"))</f>
        <v/>
      </c>
      <c r="V111" s="11">
        <f>IF(Q111="UNKNOWN","Check fluid description",IF(AND(R111&lt;&gt;"",S111&lt;&gt;""),"Ready for contact screening","Needs TVD + thickness"))</f>
        <v/>
      </c>
    </row>
    <row r="112">
      <c r="A112" s="9" t="n"/>
      <c r="B112" s="9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9" t="n"/>
      <c r="N112" s="9" t="n"/>
      <c r="O112" s="10" t="n"/>
      <c r="P112" s="9" t="n"/>
      <c r="Q112" s="11">
        <f>IF(P112&lt;&gt;"",P112,IF(M112="","UNKNOWN",IF(AND(ISNUMBER(SEARCH("gas",LOWER(M112))),ISNUMBER(SEARCH("water",LOWER(M112)))),"GAS_WATER",IF(AND(ISNUMBER(SEARCH("oil",LOWER(M112))),ISNUMBER(SEARCH("water",LOWER(M112)))),"OIL_WATER",IF(ISNUMBER(SEARCH("gas",LOWER(M112))),"GAS",IF(ISNUMBER(SEARCH("water",LOWER(M112))),"WATER",IF(ISNUMBER(SEARCH("oil",LOWER(M112))),"OIL","UNKNOWN")))))))</f>
        <v/>
      </c>
      <c r="R112" s="12">
        <f>IF(C112="","",C112)</f>
        <v/>
      </c>
      <c r="S112" s="12">
        <f>IF(R112="","",R112+IF(O112&lt;&gt;"",O112,IF(H112="",0,H112)))</f>
        <v/>
      </c>
      <c r="T112" s="12">
        <f>IF(R112="","",MAX(Settings!$B$3,Settings!$B$4*IF(O112&lt;&gt;"",O112,IF(H112="",0,H112))))</f>
        <v/>
      </c>
      <c r="U112" s="11">
        <f>IF(AND(C112&lt;&gt;"",M112&lt;&gt;"",OR(H112&lt;&gt;"",O112&lt;&gt;"")),"COMPLETE",IF(OR(C112&lt;&gt;"",M112&lt;&gt;""),"PARTIAL","MISSING"))</f>
        <v/>
      </c>
      <c r="V112" s="11">
        <f>IF(Q112="UNKNOWN","Check fluid description",IF(AND(R112&lt;&gt;"",S112&lt;&gt;""),"Ready for contact screening","Needs TVD + thickness"))</f>
        <v/>
      </c>
    </row>
    <row r="113">
      <c r="A113" s="9" t="n"/>
      <c r="B113" s="9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9" t="n"/>
      <c r="N113" s="9" t="n"/>
      <c r="O113" s="10" t="n"/>
      <c r="P113" s="9" t="n"/>
      <c r="Q113" s="11">
        <f>IF(P113&lt;&gt;"",P113,IF(M113="","UNKNOWN",IF(AND(ISNUMBER(SEARCH("gas",LOWER(M113))),ISNUMBER(SEARCH("water",LOWER(M113)))),"GAS_WATER",IF(AND(ISNUMBER(SEARCH("oil",LOWER(M113))),ISNUMBER(SEARCH("water",LOWER(M113)))),"OIL_WATER",IF(ISNUMBER(SEARCH("gas",LOWER(M113))),"GAS",IF(ISNUMBER(SEARCH("water",LOWER(M113))),"WATER",IF(ISNUMBER(SEARCH("oil",LOWER(M113))),"OIL","UNKNOWN")))))))</f>
        <v/>
      </c>
      <c r="R113" s="12">
        <f>IF(C113="","",C113)</f>
        <v/>
      </c>
      <c r="S113" s="12">
        <f>IF(R113="","",R113+IF(O113&lt;&gt;"",O113,IF(H113="",0,H113)))</f>
        <v/>
      </c>
      <c r="T113" s="12">
        <f>IF(R113="","",MAX(Settings!$B$3,Settings!$B$4*IF(O113&lt;&gt;"",O113,IF(H113="",0,H113))))</f>
        <v/>
      </c>
      <c r="U113" s="11">
        <f>IF(AND(C113&lt;&gt;"",M113&lt;&gt;"",OR(H113&lt;&gt;"",O113&lt;&gt;"")),"COMPLETE",IF(OR(C113&lt;&gt;"",M113&lt;&gt;""),"PARTIAL","MISSING"))</f>
        <v/>
      </c>
      <c r="V113" s="11">
        <f>IF(Q113="UNKNOWN","Check fluid description",IF(AND(R113&lt;&gt;"",S113&lt;&gt;""),"Ready for contact screening","Needs TVD + thickness"))</f>
        <v/>
      </c>
    </row>
    <row r="114">
      <c r="A114" s="9" t="n"/>
      <c r="B114" s="9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9" t="n"/>
      <c r="N114" s="9" t="n"/>
      <c r="O114" s="10" t="n"/>
      <c r="P114" s="9" t="n"/>
      <c r="Q114" s="11">
        <f>IF(P114&lt;&gt;"",P114,IF(M114="","UNKNOWN",IF(AND(ISNUMBER(SEARCH("gas",LOWER(M114))),ISNUMBER(SEARCH("water",LOWER(M114)))),"GAS_WATER",IF(AND(ISNUMBER(SEARCH("oil",LOWER(M114))),ISNUMBER(SEARCH("water",LOWER(M114)))),"OIL_WATER",IF(ISNUMBER(SEARCH("gas",LOWER(M114))),"GAS",IF(ISNUMBER(SEARCH("water",LOWER(M114))),"WATER",IF(ISNUMBER(SEARCH("oil",LOWER(M114))),"OIL","UNKNOWN")))))))</f>
        <v/>
      </c>
      <c r="R114" s="12">
        <f>IF(C114="","",C114)</f>
        <v/>
      </c>
      <c r="S114" s="12">
        <f>IF(R114="","",R114+IF(O114&lt;&gt;"",O114,IF(H114="",0,H114)))</f>
        <v/>
      </c>
      <c r="T114" s="12">
        <f>IF(R114="","",MAX(Settings!$B$3,Settings!$B$4*IF(O114&lt;&gt;"",O114,IF(H114="",0,H114))))</f>
        <v/>
      </c>
      <c r="U114" s="11">
        <f>IF(AND(C114&lt;&gt;"",M114&lt;&gt;"",OR(H114&lt;&gt;"",O114&lt;&gt;"")),"COMPLETE",IF(OR(C114&lt;&gt;"",M114&lt;&gt;""),"PARTIAL","MISSING"))</f>
        <v/>
      </c>
      <c r="V114" s="11">
        <f>IF(Q114="UNKNOWN","Check fluid description",IF(AND(R114&lt;&gt;"",S114&lt;&gt;""),"Ready for contact screening","Needs TVD + thickness"))</f>
        <v/>
      </c>
    </row>
    <row r="115">
      <c r="A115" s="9" t="n"/>
      <c r="B115" s="9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9" t="n"/>
      <c r="N115" s="9" t="n"/>
      <c r="O115" s="10" t="n"/>
      <c r="P115" s="9" t="n"/>
      <c r="Q115" s="11">
        <f>IF(P115&lt;&gt;"",P115,IF(M115="","UNKNOWN",IF(AND(ISNUMBER(SEARCH("gas",LOWER(M115))),ISNUMBER(SEARCH("water",LOWER(M115)))),"GAS_WATER",IF(AND(ISNUMBER(SEARCH("oil",LOWER(M115))),ISNUMBER(SEARCH("water",LOWER(M115)))),"OIL_WATER",IF(ISNUMBER(SEARCH("gas",LOWER(M115))),"GAS",IF(ISNUMBER(SEARCH("water",LOWER(M115))),"WATER",IF(ISNUMBER(SEARCH("oil",LOWER(M115))),"OIL","UNKNOWN")))))))</f>
        <v/>
      </c>
      <c r="R115" s="12">
        <f>IF(C115="","",C115)</f>
        <v/>
      </c>
      <c r="S115" s="12">
        <f>IF(R115="","",R115+IF(O115&lt;&gt;"",O115,IF(H115="",0,H115)))</f>
        <v/>
      </c>
      <c r="T115" s="12">
        <f>IF(R115="","",MAX(Settings!$B$3,Settings!$B$4*IF(O115&lt;&gt;"",O115,IF(H115="",0,H115))))</f>
        <v/>
      </c>
      <c r="U115" s="11">
        <f>IF(AND(C115&lt;&gt;"",M115&lt;&gt;"",OR(H115&lt;&gt;"",O115&lt;&gt;"")),"COMPLETE",IF(OR(C115&lt;&gt;"",M115&lt;&gt;""),"PARTIAL","MISSING"))</f>
        <v/>
      </c>
      <c r="V115" s="11">
        <f>IF(Q115="UNKNOWN","Check fluid description",IF(AND(R115&lt;&gt;"",S115&lt;&gt;""),"Ready for contact screening","Needs TVD + thickness"))</f>
        <v/>
      </c>
    </row>
    <row r="116">
      <c r="A116" s="9" t="n"/>
      <c r="B116" s="9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9" t="n"/>
      <c r="N116" s="9" t="n"/>
      <c r="O116" s="10" t="n"/>
      <c r="P116" s="9" t="n"/>
      <c r="Q116" s="11">
        <f>IF(P116&lt;&gt;"",P116,IF(M116="","UNKNOWN",IF(AND(ISNUMBER(SEARCH("gas",LOWER(M116))),ISNUMBER(SEARCH("water",LOWER(M116)))),"GAS_WATER",IF(AND(ISNUMBER(SEARCH("oil",LOWER(M116))),ISNUMBER(SEARCH("water",LOWER(M116)))),"OIL_WATER",IF(ISNUMBER(SEARCH("gas",LOWER(M116))),"GAS",IF(ISNUMBER(SEARCH("water",LOWER(M116))),"WATER",IF(ISNUMBER(SEARCH("oil",LOWER(M116))),"OIL","UNKNOWN")))))))</f>
        <v/>
      </c>
      <c r="R116" s="12">
        <f>IF(C116="","",C116)</f>
        <v/>
      </c>
      <c r="S116" s="12">
        <f>IF(R116="","",R116+IF(O116&lt;&gt;"",O116,IF(H116="",0,H116)))</f>
        <v/>
      </c>
      <c r="T116" s="12">
        <f>IF(R116="","",MAX(Settings!$B$3,Settings!$B$4*IF(O116&lt;&gt;"",O116,IF(H116="",0,H116))))</f>
        <v/>
      </c>
      <c r="U116" s="11">
        <f>IF(AND(C116&lt;&gt;"",M116&lt;&gt;"",OR(H116&lt;&gt;"",O116&lt;&gt;"")),"COMPLETE",IF(OR(C116&lt;&gt;"",M116&lt;&gt;""),"PARTIAL","MISSING"))</f>
        <v/>
      </c>
      <c r="V116" s="11">
        <f>IF(Q116="UNKNOWN","Check fluid description",IF(AND(R116&lt;&gt;"",S116&lt;&gt;""),"Ready for contact screening","Needs TVD + thickness"))</f>
        <v/>
      </c>
    </row>
    <row r="117">
      <c r="A117" s="9" t="n"/>
      <c r="B117" s="9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9" t="n"/>
      <c r="N117" s="9" t="n"/>
      <c r="O117" s="10" t="n"/>
      <c r="P117" s="9" t="n"/>
      <c r="Q117" s="11">
        <f>IF(P117&lt;&gt;"",P117,IF(M117="","UNKNOWN",IF(AND(ISNUMBER(SEARCH("gas",LOWER(M117))),ISNUMBER(SEARCH("water",LOWER(M117)))),"GAS_WATER",IF(AND(ISNUMBER(SEARCH("oil",LOWER(M117))),ISNUMBER(SEARCH("water",LOWER(M117)))),"OIL_WATER",IF(ISNUMBER(SEARCH("gas",LOWER(M117))),"GAS",IF(ISNUMBER(SEARCH("water",LOWER(M117))),"WATER",IF(ISNUMBER(SEARCH("oil",LOWER(M117))),"OIL","UNKNOWN")))))))</f>
        <v/>
      </c>
      <c r="R117" s="12">
        <f>IF(C117="","",C117)</f>
        <v/>
      </c>
      <c r="S117" s="12">
        <f>IF(R117="","",R117+IF(O117&lt;&gt;"",O117,IF(H117="",0,H117)))</f>
        <v/>
      </c>
      <c r="T117" s="12">
        <f>IF(R117="","",MAX(Settings!$B$3,Settings!$B$4*IF(O117&lt;&gt;"",O117,IF(H117="",0,H117))))</f>
        <v/>
      </c>
      <c r="U117" s="11">
        <f>IF(AND(C117&lt;&gt;"",M117&lt;&gt;"",OR(H117&lt;&gt;"",O117&lt;&gt;"")),"COMPLETE",IF(OR(C117&lt;&gt;"",M117&lt;&gt;""),"PARTIAL","MISSING"))</f>
        <v/>
      </c>
      <c r="V117" s="11">
        <f>IF(Q117="UNKNOWN","Check fluid description",IF(AND(R117&lt;&gt;"",S117&lt;&gt;""),"Ready for contact screening","Needs TVD + thickness"))</f>
        <v/>
      </c>
    </row>
    <row r="118">
      <c r="A118" s="9" t="n"/>
      <c r="B118" s="9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9" t="n"/>
      <c r="N118" s="9" t="n"/>
      <c r="O118" s="10" t="n"/>
      <c r="P118" s="9" t="n"/>
      <c r="Q118" s="11">
        <f>IF(P118&lt;&gt;"",P118,IF(M118="","UNKNOWN",IF(AND(ISNUMBER(SEARCH("gas",LOWER(M118))),ISNUMBER(SEARCH("water",LOWER(M118)))),"GAS_WATER",IF(AND(ISNUMBER(SEARCH("oil",LOWER(M118))),ISNUMBER(SEARCH("water",LOWER(M118)))),"OIL_WATER",IF(ISNUMBER(SEARCH("gas",LOWER(M118))),"GAS",IF(ISNUMBER(SEARCH("water",LOWER(M118))),"WATER",IF(ISNUMBER(SEARCH("oil",LOWER(M118))),"OIL","UNKNOWN")))))))</f>
        <v/>
      </c>
      <c r="R118" s="12">
        <f>IF(C118="","",C118)</f>
        <v/>
      </c>
      <c r="S118" s="12">
        <f>IF(R118="","",R118+IF(O118&lt;&gt;"",O118,IF(H118="",0,H118)))</f>
        <v/>
      </c>
      <c r="T118" s="12">
        <f>IF(R118="","",MAX(Settings!$B$3,Settings!$B$4*IF(O118&lt;&gt;"",O118,IF(H118="",0,H118))))</f>
        <v/>
      </c>
      <c r="U118" s="11">
        <f>IF(AND(C118&lt;&gt;"",M118&lt;&gt;"",OR(H118&lt;&gt;"",O118&lt;&gt;"")),"COMPLETE",IF(OR(C118&lt;&gt;"",M118&lt;&gt;""),"PARTIAL","MISSING"))</f>
        <v/>
      </c>
      <c r="V118" s="11">
        <f>IF(Q118="UNKNOWN","Check fluid description",IF(AND(R118&lt;&gt;"",S118&lt;&gt;""),"Ready for contact screening","Needs TVD + thickness"))</f>
        <v/>
      </c>
    </row>
    <row r="119">
      <c r="A119" s="9" t="n"/>
      <c r="B119" s="9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9" t="n"/>
      <c r="N119" s="9" t="n"/>
      <c r="O119" s="10" t="n"/>
      <c r="P119" s="9" t="n"/>
      <c r="Q119" s="11">
        <f>IF(P119&lt;&gt;"",P119,IF(M119="","UNKNOWN",IF(AND(ISNUMBER(SEARCH("gas",LOWER(M119))),ISNUMBER(SEARCH("water",LOWER(M119)))),"GAS_WATER",IF(AND(ISNUMBER(SEARCH("oil",LOWER(M119))),ISNUMBER(SEARCH("water",LOWER(M119)))),"OIL_WATER",IF(ISNUMBER(SEARCH("gas",LOWER(M119))),"GAS",IF(ISNUMBER(SEARCH("water",LOWER(M119))),"WATER",IF(ISNUMBER(SEARCH("oil",LOWER(M119))),"OIL","UNKNOWN")))))))</f>
        <v/>
      </c>
      <c r="R119" s="12">
        <f>IF(C119="","",C119)</f>
        <v/>
      </c>
      <c r="S119" s="12">
        <f>IF(R119="","",R119+IF(O119&lt;&gt;"",O119,IF(H119="",0,H119)))</f>
        <v/>
      </c>
      <c r="T119" s="12">
        <f>IF(R119="","",MAX(Settings!$B$3,Settings!$B$4*IF(O119&lt;&gt;"",O119,IF(H119="",0,H119))))</f>
        <v/>
      </c>
      <c r="U119" s="11">
        <f>IF(AND(C119&lt;&gt;"",M119&lt;&gt;"",OR(H119&lt;&gt;"",O119&lt;&gt;"")),"COMPLETE",IF(OR(C119&lt;&gt;"",M119&lt;&gt;""),"PARTIAL","MISSING"))</f>
        <v/>
      </c>
      <c r="V119" s="11">
        <f>IF(Q119="UNKNOWN","Check fluid description",IF(AND(R119&lt;&gt;"",S119&lt;&gt;""),"Ready for contact screening","Needs TVD + thickness"))</f>
        <v/>
      </c>
    </row>
    <row r="120">
      <c r="A120" s="9" t="n"/>
      <c r="B120" s="9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9" t="n"/>
      <c r="N120" s="9" t="n"/>
      <c r="O120" s="10" t="n"/>
      <c r="P120" s="9" t="n"/>
      <c r="Q120" s="11">
        <f>IF(P120&lt;&gt;"",P120,IF(M120="","UNKNOWN",IF(AND(ISNUMBER(SEARCH("gas",LOWER(M120))),ISNUMBER(SEARCH("water",LOWER(M120)))),"GAS_WATER",IF(AND(ISNUMBER(SEARCH("oil",LOWER(M120))),ISNUMBER(SEARCH("water",LOWER(M120)))),"OIL_WATER",IF(ISNUMBER(SEARCH("gas",LOWER(M120))),"GAS",IF(ISNUMBER(SEARCH("water",LOWER(M120))),"WATER",IF(ISNUMBER(SEARCH("oil",LOWER(M120))),"OIL","UNKNOWN")))))))</f>
        <v/>
      </c>
      <c r="R120" s="12">
        <f>IF(C120="","",C120)</f>
        <v/>
      </c>
      <c r="S120" s="12">
        <f>IF(R120="","",R120+IF(O120&lt;&gt;"",O120,IF(H120="",0,H120)))</f>
        <v/>
      </c>
      <c r="T120" s="12">
        <f>IF(R120="","",MAX(Settings!$B$3,Settings!$B$4*IF(O120&lt;&gt;"",O120,IF(H120="",0,H120))))</f>
        <v/>
      </c>
      <c r="U120" s="11">
        <f>IF(AND(C120&lt;&gt;"",M120&lt;&gt;"",OR(H120&lt;&gt;"",O120&lt;&gt;"")),"COMPLETE",IF(OR(C120&lt;&gt;"",M120&lt;&gt;""),"PARTIAL","MISSING"))</f>
        <v/>
      </c>
      <c r="V120" s="11">
        <f>IF(Q120="UNKNOWN","Check fluid description",IF(AND(R120&lt;&gt;"",S120&lt;&gt;""),"Ready for contact screening","Needs TVD + thickness"))</f>
        <v/>
      </c>
    </row>
    <row r="121">
      <c r="A121" s="9" t="n"/>
      <c r="B121" s="9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9" t="n"/>
      <c r="N121" s="9" t="n"/>
      <c r="O121" s="10" t="n"/>
      <c r="P121" s="9" t="n"/>
      <c r="Q121" s="11">
        <f>IF(P121&lt;&gt;"",P121,IF(M121="","UNKNOWN",IF(AND(ISNUMBER(SEARCH("gas",LOWER(M121))),ISNUMBER(SEARCH("water",LOWER(M121)))),"GAS_WATER",IF(AND(ISNUMBER(SEARCH("oil",LOWER(M121))),ISNUMBER(SEARCH("water",LOWER(M121)))),"OIL_WATER",IF(ISNUMBER(SEARCH("gas",LOWER(M121))),"GAS",IF(ISNUMBER(SEARCH("water",LOWER(M121))),"WATER",IF(ISNUMBER(SEARCH("oil",LOWER(M121))),"OIL","UNKNOWN")))))))</f>
        <v/>
      </c>
      <c r="R121" s="12">
        <f>IF(C121="","",C121)</f>
        <v/>
      </c>
      <c r="S121" s="12">
        <f>IF(R121="","",R121+IF(O121&lt;&gt;"",O121,IF(H121="",0,H121)))</f>
        <v/>
      </c>
      <c r="T121" s="12">
        <f>IF(R121="","",MAX(Settings!$B$3,Settings!$B$4*IF(O121&lt;&gt;"",O121,IF(H121="",0,H121))))</f>
        <v/>
      </c>
      <c r="U121" s="11">
        <f>IF(AND(C121&lt;&gt;"",M121&lt;&gt;"",OR(H121&lt;&gt;"",O121&lt;&gt;"")),"COMPLETE",IF(OR(C121&lt;&gt;"",M121&lt;&gt;""),"PARTIAL","MISSING"))</f>
        <v/>
      </c>
      <c r="V121" s="11">
        <f>IF(Q121="UNKNOWN","Check fluid description",IF(AND(R121&lt;&gt;"",S121&lt;&gt;""),"Ready for contact screening","Needs TVD + thickness"))</f>
        <v/>
      </c>
    </row>
    <row r="122">
      <c r="A122" s="9" t="n"/>
      <c r="B122" s="9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9" t="n"/>
      <c r="N122" s="9" t="n"/>
      <c r="O122" s="10" t="n"/>
      <c r="P122" s="9" t="n"/>
      <c r="Q122" s="11">
        <f>IF(P122&lt;&gt;"",P122,IF(M122="","UNKNOWN",IF(AND(ISNUMBER(SEARCH("gas",LOWER(M122))),ISNUMBER(SEARCH("water",LOWER(M122)))),"GAS_WATER",IF(AND(ISNUMBER(SEARCH("oil",LOWER(M122))),ISNUMBER(SEARCH("water",LOWER(M122)))),"OIL_WATER",IF(ISNUMBER(SEARCH("gas",LOWER(M122))),"GAS",IF(ISNUMBER(SEARCH("water",LOWER(M122))),"WATER",IF(ISNUMBER(SEARCH("oil",LOWER(M122))),"OIL","UNKNOWN")))))))</f>
        <v/>
      </c>
      <c r="R122" s="12">
        <f>IF(C122="","",C122)</f>
        <v/>
      </c>
      <c r="S122" s="12">
        <f>IF(R122="","",R122+IF(O122&lt;&gt;"",O122,IF(H122="",0,H122)))</f>
        <v/>
      </c>
      <c r="T122" s="12">
        <f>IF(R122="","",MAX(Settings!$B$3,Settings!$B$4*IF(O122&lt;&gt;"",O122,IF(H122="",0,H122))))</f>
        <v/>
      </c>
      <c r="U122" s="11">
        <f>IF(AND(C122&lt;&gt;"",M122&lt;&gt;"",OR(H122&lt;&gt;"",O122&lt;&gt;"")),"COMPLETE",IF(OR(C122&lt;&gt;"",M122&lt;&gt;""),"PARTIAL","MISSING"))</f>
        <v/>
      </c>
      <c r="V122" s="11">
        <f>IF(Q122="UNKNOWN","Check fluid description",IF(AND(R122&lt;&gt;"",S122&lt;&gt;""),"Ready for contact screening","Needs TVD + thickness"))</f>
        <v/>
      </c>
    </row>
    <row r="123">
      <c r="A123" s="9" t="n"/>
      <c r="B123" s="9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9" t="n"/>
      <c r="N123" s="9" t="n"/>
      <c r="O123" s="10" t="n"/>
      <c r="P123" s="9" t="n"/>
      <c r="Q123" s="11">
        <f>IF(P123&lt;&gt;"",P123,IF(M123="","UNKNOWN",IF(AND(ISNUMBER(SEARCH("gas",LOWER(M123))),ISNUMBER(SEARCH("water",LOWER(M123)))),"GAS_WATER",IF(AND(ISNUMBER(SEARCH("oil",LOWER(M123))),ISNUMBER(SEARCH("water",LOWER(M123)))),"OIL_WATER",IF(ISNUMBER(SEARCH("gas",LOWER(M123))),"GAS",IF(ISNUMBER(SEARCH("water",LOWER(M123))),"WATER",IF(ISNUMBER(SEARCH("oil",LOWER(M123))),"OIL","UNKNOWN")))))))</f>
        <v/>
      </c>
      <c r="R123" s="12">
        <f>IF(C123="","",C123)</f>
        <v/>
      </c>
      <c r="S123" s="12">
        <f>IF(R123="","",R123+IF(O123&lt;&gt;"",O123,IF(H123="",0,H123)))</f>
        <v/>
      </c>
      <c r="T123" s="12">
        <f>IF(R123="","",MAX(Settings!$B$3,Settings!$B$4*IF(O123&lt;&gt;"",O123,IF(H123="",0,H123))))</f>
        <v/>
      </c>
      <c r="U123" s="11">
        <f>IF(AND(C123&lt;&gt;"",M123&lt;&gt;"",OR(H123&lt;&gt;"",O123&lt;&gt;"")),"COMPLETE",IF(OR(C123&lt;&gt;"",M123&lt;&gt;""),"PARTIAL","MISSING"))</f>
        <v/>
      </c>
      <c r="V123" s="11">
        <f>IF(Q123="UNKNOWN","Check fluid description",IF(AND(R123&lt;&gt;"",S123&lt;&gt;""),"Ready for contact screening","Needs TVD + thickness"))</f>
        <v/>
      </c>
    </row>
    <row r="124">
      <c r="A124" s="9" t="n"/>
      <c r="B124" s="9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9" t="n"/>
      <c r="N124" s="9" t="n"/>
      <c r="O124" s="10" t="n"/>
      <c r="P124" s="9" t="n"/>
      <c r="Q124" s="11">
        <f>IF(P124&lt;&gt;"",P124,IF(M124="","UNKNOWN",IF(AND(ISNUMBER(SEARCH("gas",LOWER(M124))),ISNUMBER(SEARCH("water",LOWER(M124)))),"GAS_WATER",IF(AND(ISNUMBER(SEARCH("oil",LOWER(M124))),ISNUMBER(SEARCH("water",LOWER(M124)))),"OIL_WATER",IF(ISNUMBER(SEARCH("gas",LOWER(M124))),"GAS",IF(ISNUMBER(SEARCH("water",LOWER(M124))),"WATER",IF(ISNUMBER(SEARCH("oil",LOWER(M124))),"OIL","UNKNOWN")))))))</f>
        <v/>
      </c>
      <c r="R124" s="12">
        <f>IF(C124="","",C124)</f>
        <v/>
      </c>
      <c r="S124" s="12">
        <f>IF(R124="","",R124+IF(O124&lt;&gt;"",O124,IF(H124="",0,H124)))</f>
        <v/>
      </c>
      <c r="T124" s="12">
        <f>IF(R124="","",MAX(Settings!$B$3,Settings!$B$4*IF(O124&lt;&gt;"",O124,IF(H124="",0,H124))))</f>
        <v/>
      </c>
      <c r="U124" s="11">
        <f>IF(AND(C124&lt;&gt;"",M124&lt;&gt;"",OR(H124&lt;&gt;"",O124&lt;&gt;"")),"COMPLETE",IF(OR(C124&lt;&gt;"",M124&lt;&gt;""),"PARTIAL","MISSING"))</f>
        <v/>
      </c>
      <c r="V124" s="11">
        <f>IF(Q124="UNKNOWN","Check fluid description",IF(AND(R124&lt;&gt;"",S124&lt;&gt;""),"Ready for contact screening","Needs TVD + thickness"))</f>
        <v/>
      </c>
    </row>
    <row r="125">
      <c r="A125" s="9" t="n"/>
      <c r="B125" s="9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9" t="n"/>
      <c r="N125" s="9" t="n"/>
      <c r="O125" s="10" t="n"/>
      <c r="P125" s="9" t="n"/>
      <c r="Q125" s="11">
        <f>IF(P125&lt;&gt;"",P125,IF(M125="","UNKNOWN",IF(AND(ISNUMBER(SEARCH("gas",LOWER(M125))),ISNUMBER(SEARCH("water",LOWER(M125)))),"GAS_WATER",IF(AND(ISNUMBER(SEARCH("oil",LOWER(M125))),ISNUMBER(SEARCH("water",LOWER(M125)))),"OIL_WATER",IF(ISNUMBER(SEARCH("gas",LOWER(M125))),"GAS",IF(ISNUMBER(SEARCH("water",LOWER(M125))),"WATER",IF(ISNUMBER(SEARCH("oil",LOWER(M125))),"OIL","UNKNOWN")))))))</f>
        <v/>
      </c>
      <c r="R125" s="12">
        <f>IF(C125="","",C125)</f>
        <v/>
      </c>
      <c r="S125" s="12">
        <f>IF(R125="","",R125+IF(O125&lt;&gt;"",O125,IF(H125="",0,H125)))</f>
        <v/>
      </c>
      <c r="T125" s="12">
        <f>IF(R125="","",MAX(Settings!$B$3,Settings!$B$4*IF(O125&lt;&gt;"",O125,IF(H125="",0,H125))))</f>
        <v/>
      </c>
      <c r="U125" s="11">
        <f>IF(AND(C125&lt;&gt;"",M125&lt;&gt;"",OR(H125&lt;&gt;"",O125&lt;&gt;"")),"COMPLETE",IF(OR(C125&lt;&gt;"",M125&lt;&gt;""),"PARTIAL","MISSING"))</f>
        <v/>
      </c>
      <c r="V125" s="11">
        <f>IF(Q125="UNKNOWN","Check fluid description",IF(AND(R125&lt;&gt;"",S125&lt;&gt;""),"Ready for contact screening","Needs TVD + thickness"))</f>
        <v/>
      </c>
    </row>
    <row r="126">
      <c r="A126" s="9" t="n"/>
      <c r="B126" s="9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9" t="n"/>
      <c r="N126" s="9" t="n"/>
      <c r="O126" s="10" t="n"/>
      <c r="P126" s="9" t="n"/>
      <c r="Q126" s="11">
        <f>IF(P126&lt;&gt;"",P126,IF(M126="","UNKNOWN",IF(AND(ISNUMBER(SEARCH("gas",LOWER(M126))),ISNUMBER(SEARCH("water",LOWER(M126)))),"GAS_WATER",IF(AND(ISNUMBER(SEARCH("oil",LOWER(M126))),ISNUMBER(SEARCH("water",LOWER(M126)))),"OIL_WATER",IF(ISNUMBER(SEARCH("gas",LOWER(M126))),"GAS",IF(ISNUMBER(SEARCH("water",LOWER(M126))),"WATER",IF(ISNUMBER(SEARCH("oil",LOWER(M126))),"OIL","UNKNOWN")))))))</f>
        <v/>
      </c>
      <c r="R126" s="12">
        <f>IF(C126="","",C126)</f>
        <v/>
      </c>
      <c r="S126" s="12">
        <f>IF(R126="","",R126+IF(O126&lt;&gt;"",O126,IF(H126="",0,H126)))</f>
        <v/>
      </c>
      <c r="T126" s="12">
        <f>IF(R126="","",MAX(Settings!$B$3,Settings!$B$4*IF(O126&lt;&gt;"",O126,IF(H126="",0,H126))))</f>
        <v/>
      </c>
      <c r="U126" s="11">
        <f>IF(AND(C126&lt;&gt;"",M126&lt;&gt;"",OR(H126&lt;&gt;"",O126&lt;&gt;"")),"COMPLETE",IF(OR(C126&lt;&gt;"",M126&lt;&gt;""),"PARTIAL","MISSING"))</f>
        <v/>
      </c>
      <c r="V126" s="11">
        <f>IF(Q126="UNKNOWN","Check fluid description",IF(AND(R126&lt;&gt;"",S126&lt;&gt;""),"Ready for contact screening","Needs TVD + thickness"))</f>
        <v/>
      </c>
    </row>
    <row r="127">
      <c r="A127" s="9" t="n"/>
      <c r="B127" s="9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9" t="n"/>
      <c r="N127" s="9" t="n"/>
      <c r="O127" s="10" t="n"/>
      <c r="P127" s="9" t="n"/>
      <c r="Q127" s="11">
        <f>IF(P127&lt;&gt;"",P127,IF(M127="","UNKNOWN",IF(AND(ISNUMBER(SEARCH("gas",LOWER(M127))),ISNUMBER(SEARCH("water",LOWER(M127)))),"GAS_WATER",IF(AND(ISNUMBER(SEARCH("oil",LOWER(M127))),ISNUMBER(SEARCH("water",LOWER(M127)))),"OIL_WATER",IF(ISNUMBER(SEARCH("gas",LOWER(M127))),"GAS",IF(ISNUMBER(SEARCH("water",LOWER(M127))),"WATER",IF(ISNUMBER(SEARCH("oil",LOWER(M127))),"OIL","UNKNOWN")))))))</f>
        <v/>
      </c>
      <c r="R127" s="12">
        <f>IF(C127="","",C127)</f>
        <v/>
      </c>
      <c r="S127" s="12">
        <f>IF(R127="","",R127+IF(O127&lt;&gt;"",O127,IF(H127="",0,H127)))</f>
        <v/>
      </c>
      <c r="T127" s="12">
        <f>IF(R127="","",MAX(Settings!$B$3,Settings!$B$4*IF(O127&lt;&gt;"",O127,IF(H127="",0,H127))))</f>
        <v/>
      </c>
      <c r="U127" s="11">
        <f>IF(AND(C127&lt;&gt;"",M127&lt;&gt;"",OR(H127&lt;&gt;"",O127&lt;&gt;"")),"COMPLETE",IF(OR(C127&lt;&gt;"",M127&lt;&gt;""),"PARTIAL","MISSING"))</f>
        <v/>
      </c>
      <c r="V127" s="11">
        <f>IF(Q127="UNKNOWN","Check fluid description",IF(AND(R127&lt;&gt;"",S127&lt;&gt;""),"Ready for contact screening","Needs TVD + thickness"))</f>
        <v/>
      </c>
    </row>
    <row r="128">
      <c r="A128" s="9" t="n"/>
      <c r="B128" s="9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9" t="n"/>
      <c r="N128" s="9" t="n"/>
      <c r="O128" s="10" t="n"/>
      <c r="P128" s="9" t="n"/>
      <c r="Q128" s="11">
        <f>IF(P128&lt;&gt;"",P128,IF(M128="","UNKNOWN",IF(AND(ISNUMBER(SEARCH("gas",LOWER(M128))),ISNUMBER(SEARCH("water",LOWER(M128)))),"GAS_WATER",IF(AND(ISNUMBER(SEARCH("oil",LOWER(M128))),ISNUMBER(SEARCH("water",LOWER(M128)))),"OIL_WATER",IF(ISNUMBER(SEARCH("gas",LOWER(M128))),"GAS",IF(ISNUMBER(SEARCH("water",LOWER(M128))),"WATER",IF(ISNUMBER(SEARCH("oil",LOWER(M128))),"OIL","UNKNOWN")))))))</f>
        <v/>
      </c>
      <c r="R128" s="12">
        <f>IF(C128="","",C128)</f>
        <v/>
      </c>
      <c r="S128" s="12">
        <f>IF(R128="","",R128+IF(O128&lt;&gt;"",O128,IF(H128="",0,H128)))</f>
        <v/>
      </c>
      <c r="T128" s="12">
        <f>IF(R128="","",MAX(Settings!$B$3,Settings!$B$4*IF(O128&lt;&gt;"",O128,IF(H128="",0,H128))))</f>
        <v/>
      </c>
      <c r="U128" s="11">
        <f>IF(AND(C128&lt;&gt;"",M128&lt;&gt;"",OR(H128&lt;&gt;"",O128&lt;&gt;"")),"COMPLETE",IF(OR(C128&lt;&gt;"",M128&lt;&gt;""),"PARTIAL","MISSING"))</f>
        <v/>
      </c>
      <c r="V128" s="11">
        <f>IF(Q128="UNKNOWN","Check fluid description",IF(AND(R128&lt;&gt;"",S128&lt;&gt;""),"Ready for contact screening","Needs TVD + thickness"))</f>
        <v/>
      </c>
    </row>
    <row r="129">
      <c r="A129" s="9" t="n"/>
      <c r="B129" s="9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9" t="n"/>
      <c r="N129" s="9" t="n"/>
      <c r="O129" s="10" t="n"/>
      <c r="P129" s="9" t="n"/>
      <c r="Q129" s="11">
        <f>IF(P129&lt;&gt;"",P129,IF(M129="","UNKNOWN",IF(AND(ISNUMBER(SEARCH("gas",LOWER(M129))),ISNUMBER(SEARCH("water",LOWER(M129)))),"GAS_WATER",IF(AND(ISNUMBER(SEARCH("oil",LOWER(M129))),ISNUMBER(SEARCH("water",LOWER(M129)))),"OIL_WATER",IF(ISNUMBER(SEARCH("gas",LOWER(M129))),"GAS",IF(ISNUMBER(SEARCH("water",LOWER(M129))),"WATER",IF(ISNUMBER(SEARCH("oil",LOWER(M129))),"OIL","UNKNOWN")))))))</f>
        <v/>
      </c>
      <c r="R129" s="12">
        <f>IF(C129="","",C129)</f>
        <v/>
      </c>
      <c r="S129" s="12">
        <f>IF(R129="","",R129+IF(O129&lt;&gt;"",O129,IF(H129="",0,H129)))</f>
        <v/>
      </c>
      <c r="T129" s="12">
        <f>IF(R129="","",MAX(Settings!$B$3,Settings!$B$4*IF(O129&lt;&gt;"",O129,IF(H129="",0,H129))))</f>
        <v/>
      </c>
      <c r="U129" s="11">
        <f>IF(AND(C129&lt;&gt;"",M129&lt;&gt;"",OR(H129&lt;&gt;"",O129&lt;&gt;"")),"COMPLETE",IF(OR(C129&lt;&gt;"",M129&lt;&gt;""),"PARTIAL","MISSING"))</f>
        <v/>
      </c>
      <c r="V129" s="11">
        <f>IF(Q129="UNKNOWN","Check fluid description",IF(AND(R129&lt;&gt;"",S129&lt;&gt;""),"Ready for contact screening","Needs TVD + thickness"))</f>
        <v/>
      </c>
    </row>
    <row r="130">
      <c r="A130" s="9" t="n"/>
      <c r="B130" s="9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9" t="n"/>
      <c r="N130" s="9" t="n"/>
      <c r="O130" s="10" t="n"/>
      <c r="P130" s="9" t="n"/>
      <c r="Q130" s="11">
        <f>IF(P130&lt;&gt;"",P130,IF(M130="","UNKNOWN",IF(AND(ISNUMBER(SEARCH("gas",LOWER(M130))),ISNUMBER(SEARCH("water",LOWER(M130)))),"GAS_WATER",IF(AND(ISNUMBER(SEARCH("oil",LOWER(M130))),ISNUMBER(SEARCH("water",LOWER(M130)))),"OIL_WATER",IF(ISNUMBER(SEARCH("gas",LOWER(M130))),"GAS",IF(ISNUMBER(SEARCH("water",LOWER(M130))),"WATER",IF(ISNUMBER(SEARCH("oil",LOWER(M130))),"OIL","UNKNOWN")))))))</f>
        <v/>
      </c>
      <c r="R130" s="12">
        <f>IF(C130="","",C130)</f>
        <v/>
      </c>
      <c r="S130" s="12">
        <f>IF(R130="","",R130+IF(O130&lt;&gt;"",O130,IF(H130="",0,H130)))</f>
        <v/>
      </c>
      <c r="T130" s="12">
        <f>IF(R130="","",MAX(Settings!$B$3,Settings!$B$4*IF(O130&lt;&gt;"",O130,IF(H130="",0,H130))))</f>
        <v/>
      </c>
      <c r="U130" s="11">
        <f>IF(AND(C130&lt;&gt;"",M130&lt;&gt;"",OR(H130&lt;&gt;"",O130&lt;&gt;"")),"COMPLETE",IF(OR(C130&lt;&gt;"",M130&lt;&gt;""),"PARTIAL","MISSING"))</f>
        <v/>
      </c>
      <c r="V130" s="11">
        <f>IF(Q130="UNKNOWN","Check fluid description",IF(AND(R130&lt;&gt;"",S130&lt;&gt;""),"Ready for contact screening","Needs TVD + thickness"))</f>
        <v/>
      </c>
    </row>
    <row r="131">
      <c r="A131" s="9" t="n"/>
      <c r="B131" s="9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9" t="n"/>
      <c r="N131" s="9" t="n"/>
      <c r="O131" s="10" t="n"/>
      <c r="P131" s="9" t="n"/>
      <c r="Q131" s="11">
        <f>IF(P131&lt;&gt;"",P131,IF(M131="","UNKNOWN",IF(AND(ISNUMBER(SEARCH("gas",LOWER(M131))),ISNUMBER(SEARCH("water",LOWER(M131)))),"GAS_WATER",IF(AND(ISNUMBER(SEARCH("oil",LOWER(M131))),ISNUMBER(SEARCH("water",LOWER(M131)))),"OIL_WATER",IF(ISNUMBER(SEARCH("gas",LOWER(M131))),"GAS",IF(ISNUMBER(SEARCH("water",LOWER(M131))),"WATER",IF(ISNUMBER(SEARCH("oil",LOWER(M131))),"OIL","UNKNOWN")))))))</f>
        <v/>
      </c>
      <c r="R131" s="12">
        <f>IF(C131="","",C131)</f>
        <v/>
      </c>
      <c r="S131" s="12">
        <f>IF(R131="","",R131+IF(O131&lt;&gt;"",O131,IF(H131="",0,H131)))</f>
        <v/>
      </c>
      <c r="T131" s="12">
        <f>IF(R131="","",MAX(Settings!$B$3,Settings!$B$4*IF(O131&lt;&gt;"",O131,IF(H131="",0,H131))))</f>
        <v/>
      </c>
      <c r="U131" s="11">
        <f>IF(AND(C131&lt;&gt;"",M131&lt;&gt;"",OR(H131&lt;&gt;"",O131&lt;&gt;"")),"COMPLETE",IF(OR(C131&lt;&gt;"",M131&lt;&gt;""),"PARTIAL","MISSING"))</f>
        <v/>
      </c>
      <c r="V131" s="11">
        <f>IF(Q131="UNKNOWN","Check fluid description",IF(AND(R131&lt;&gt;"",S131&lt;&gt;""),"Ready for contact screening","Needs TVD + thickness"))</f>
        <v/>
      </c>
    </row>
    <row r="132">
      <c r="A132" s="9" t="n"/>
      <c r="B132" s="9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9" t="n"/>
      <c r="N132" s="9" t="n"/>
      <c r="O132" s="10" t="n"/>
      <c r="P132" s="9" t="n"/>
      <c r="Q132" s="11">
        <f>IF(P132&lt;&gt;"",P132,IF(M132="","UNKNOWN",IF(AND(ISNUMBER(SEARCH("gas",LOWER(M132))),ISNUMBER(SEARCH("water",LOWER(M132)))),"GAS_WATER",IF(AND(ISNUMBER(SEARCH("oil",LOWER(M132))),ISNUMBER(SEARCH("water",LOWER(M132)))),"OIL_WATER",IF(ISNUMBER(SEARCH("gas",LOWER(M132))),"GAS",IF(ISNUMBER(SEARCH("water",LOWER(M132))),"WATER",IF(ISNUMBER(SEARCH("oil",LOWER(M132))),"OIL","UNKNOWN")))))))</f>
        <v/>
      </c>
      <c r="R132" s="12">
        <f>IF(C132="","",C132)</f>
        <v/>
      </c>
      <c r="S132" s="12">
        <f>IF(R132="","",R132+IF(O132&lt;&gt;"",O132,IF(H132="",0,H132)))</f>
        <v/>
      </c>
      <c r="T132" s="12">
        <f>IF(R132="","",MAX(Settings!$B$3,Settings!$B$4*IF(O132&lt;&gt;"",O132,IF(H132="",0,H132))))</f>
        <v/>
      </c>
      <c r="U132" s="11">
        <f>IF(AND(C132&lt;&gt;"",M132&lt;&gt;"",OR(H132&lt;&gt;"",O132&lt;&gt;"")),"COMPLETE",IF(OR(C132&lt;&gt;"",M132&lt;&gt;""),"PARTIAL","MISSING"))</f>
        <v/>
      </c>
      <c r="V132" s="11">
        <f>IF(Q132="UNKNOWN","Check fluid description",IF(AND(R132&lt;&gt;"",S132&lt;&gt;""),"Ready for contact screening","Needs TVD + thickness"))</f>
        <v/>
      </c>
    </row>
    <row r="133">
      <c r="A133" s="9" t="n"/>
      <c r="B133" s="9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9" t="n"/>
      <c r="N133" s="9" t="n"/>
      <c r="O133" s="10" t="n"/>
      <c r="P133" s="9" t="n"/>
      <c r="Q133" s="11">
        <f>IF(P133&lt;&gt;"",P133,IF(M133="","UNKNOWN",IF(AND(ISNUMBER(SEARCH("gas",LOWER(M133))),ISNUMBER(SEARCH("water",LOWER(M133)))),"GAS_WATER",IF(AND(ISNUMBER(SEARCH("oil",LOWER(M133))),ISNUMBER(SEARCH("water",LOWER(M133)))),"OIL_WATER",IF(ISNUMBER(SEARCH("gas",LOWER(M133))),"GAS",IF(ISNUMBER(SEARCH("water",LOWER(M133))),"WATER",IF(ISNUMBER(SEARCH("oil",LOWER(M133))),"OIL","UNKNOWN")))))))</f>
        <v/>
      </c>
      <c r="R133" s="12">
        <f>IF(C133="","",C133)</f>
        <v/>
      </c>
      <c r="S133" s="12">
        <f>IF(R133="","",R133+IF(O133&lt;&gt;"",O133,IF(H133="",0,H133)))</f>
        <v/>
      </c>
      <c r="T133" s="12">
        <f>IF(R133="","",MAX(Settings!$B$3,Settings!$B$4*IF(O133&lt;&gt;"",O133,IF(H133="",0,H133))))</f>
        <v/>
      </c>
      <c r="U133" s="11">
        <f>IF(AND(C133&lt;&gt;"",M133&lt;&gt;"",OR(H133&lt;&gt;"",O133&lt;&gt;"")),"COMPLETE",IF(OR(C133&lt;&gt;"",M133&lt;&gt;""),"PARTIAL","MISSING"))</f>
        <v/>
      </c>
      <c r="V133" s="11">
        <f>IF(Q133="UNKNOWN","Check fluid description",IF(AND(R133&lt;&gt;"",S133&lt;&gt;""),"Ready for contact screening","Needs TVD + thickness"))</f>
        <v/>
      </c>
    </row>
    <row r="134">
      <c r="A134" s="9" t="n"/>
      <c r="B134" s="9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9" t="n"/>
      <c r="N134" s="9" t="n"/>
      <c r="O134" s="10" t="n"/>
      <c r="P134" s="9" t="n"/>
      <c r="Q134" s="11">
        <f>IF(P134&lt;&gt;"",P134,IF(M134="","UNKNOWN",IF(AND(ISNUMBER(SEARCH("gas",LOWER(M134))),ISNUMBER(SEARCH("water",LOWER(M134)))),"GAS_WATER",IF(AND(ISNUMBER(SEARCH("oil",LOWER(M134))),ISNUMBER(SEARCH("water",LOWER(M134)))),"OIL_WATER",IF(ISNUMBER(SEARCH("gas",LOWER(M134))),"GAS",IF(ISNUMBER(SEARCH("water",LOWER(M134))),"WATER",IF(ISNUMBER(SEARCH("oil",LOWER(M134))),"OIL","UNKNOWN")))))))</f>
        <v/>
      </c>
      <c r="R134" s="12">
        <f>IF(C134="","",C134)</f>
        <v/>
      </c>
      <c r="S134" s="12">
        <f>IF(R134="","",R134+IF(O134&lt;&gt;"",O134,IF(H134="",0,H134)))</f>
        <v/>
      </c>
      <c r="T134" s="12">
        <f>IF(R134="","",MAX(Settings!$B$3,Settings!$B$4*IF(O134&lt;&gt;"",O134,IF(H134="",0,H134))))</f>
        <v/>
      </c>
      <c r="U134" s="11">
        <f>IF(AND(C134&lt;&gt;"",M134&lt;&gt;"",OR(H134&lt;&gt;"",O134&lt;&gt;"")),"COMPLETE",IF(OR(C134&lt;&gt;"",M134&lt;&gt;""),"PARTIAL","MISSING"))</f>
        <v/>
      </c>
      <c r="V134" s="11">
        <f>IF(Q134="UNKNOWN","Check fluid description",IF(AND(R134&lt;&gt;"",S134&lt;&gt;""),"Ready for contact screening","Needs TVD + thickness"))</f>
        <v/>
      </c>
    </row>
    <row r="135">
      <c r="A135" s="9" t="n"/>
      <c r="B135" s="9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9" t="n"/>
      <c r="N135" s="9" t="n"/>
      <c r="O135" s="10" t="n"/>
      <c r="P135" s="9" t="n"/>
      <c r="Q135" s="11">
        <f>IF(P135&lt;&gt;"",P135,IF(M135="","UNKNOWN",IF(AND(ISNUMBER(SEARCH("gas",LOWER(M135))),ISNUMBER(SEARCH("water",LOWER(M135)))),"GAS_WATER",IF(AND(ISNUMBER(SEARCH("oil",LOWER(M135))),ISNUMBER(SEARCH("water",LOWER(M135)))),"OIL_WATER",IF(ISNUMBER(SEARCH("gas",LOWER(M135))),"GAS",IF(ISNUMBER(SEARCH("water",LOWER(M135))),"WATER",IF(ISNUMBER(SEARCH("oil",LOWER(M135))),"OIL","UNKNOWN")))))))</f>
        <v/>
      </c>
      <c r="R135" s="12">
        <f>IF(C135="","",C135)</f>
        <v/>
      </c>
      <c r="S135" s="12">
        <f>IF(R135="","",R135+IF(O135&lt;&gt;"",O135,IF(H135="",0,H135)))</f>
        <v/>
      </c>
      <c r="T135" s="12">
        <f>IF(R135="","",MAX(Settings!$B$3,Settings!$B$4*IF(O135&lt;&gt;"",O135,IF(H135="",0,H135))))</f>
        <v/>
      </c>
      <c r="U135" s="11">
        <f>IF(AND(C135&lt;&gt;"",M135&lt;&gt;"",OR(H135&lt;&gt;"",O135&lt;&gt;"")),"COMPLETE",IF(OR(C135&lt;&gt;"",M135&lt;&gt;""),"PARTIAL","MISSING"))</f>
        <v/>
      </c>
      <c r="V135" s="11">
        <f>IF(Q135="UNKNOWN","Check fluid description",IF(AND(R135&lt;&gt;"",S135&lt;&gt;""),"Ready for contact screening","Needs TVD + thickness"))</f>
        <v/>
      </c>
    </row>
    <row r="136">
      <c r="A136" s="9" t="n"/>
      <c r="B136" s="9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9" t="n"/>
      <c r="N136" s="9" t="n"/>
      <c r="O136" s="10" t="n"/>
      <c r="P136" s="9" t="n"/>
      <c r="Q136" s="11">
        <f>IF(P136&lt;&gt;"",P136,IF(M136="","UNKNOWN",IF(AND(ISNUMBER(SEARCH("gas",LOWER(M136))),ISNUMBER(SEARCH("water",LOWER(M136)))),"GAS_WATER",IF(AND(ISNUMBER(SEARCH("oil",LOWER(M136))),ISNUMBER(SEARCH("water",LOWER(M136)))),"OIL_WATER",IF(ISNUMBER(SEARCH("gas",LOWER(M136))),"GAS",IF(ISNUMBER(SEARCH("water",LOWER(M136))),"WATER",IF(ISNUMBER(SEARCH("oil",LOWER(M136))),"OIL","UNKNOWN")))))))</f>
        <v/>
      </c>
      <c r="R136" s="12">
        <f>IF(C136="","",C136)</f>
        <v/>
      </c>
      <c r="S136" s="12">
        <f>IF(R136="","",R136+IF(O136&lt;&gt;"",O136,IF(H136="",0,H136)))</f>
        <v/>
      </c>
      <c r="T136" s="12">
        <f>IF(R136="","",MAX(Settings!$B$3,Settings!$B$4*IF(O136&lt;&gt;"",O136,IF(H136="",0,H136))))</f>
        <v/>
      </c>
      <c r="U136" s="11">
        <f>IF(AND(C136&lt;&gt;"",M136&lt;&gt;"",OR(H136&lt;&gt;"",O136&lt;&gt;"")),"COMPLETE",IF(OR(C136&lt;&gt;"",M136&lt;&gt;""),"PARTIAL","MISSING"))</f>
        <v/>
      </c>
      <c r="V136" s="11">
        <f>IF(Q136="UNKNOWN","Check fluid description",IF(AND(R136&lt;&gt;"",S136&lt;&gt;""),"Ready for contact screening","Needs TVD + thickness"))</f>
        <v/>
      </c>
    </row>
    <row r="137">
      <c r="A137" s="9" t="n"/>
      <c r="B137" s="9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9" t="n"/>
      <c r="N137" s="9" t="n"/>
      <c r="O137" s="10" t="n"/>
      <c r="P137" s="9" t="n"/>
      <c r="Q137" s="11">
        <f>IF(P137&lt;&gt;"",P137,IF(M137="","UNKNOWN",IF(AND(ISNUMBER(SEARCH("gas",LOWER(M137))),ISNUMBER(SEARCH("water",LOWER(M137)))),"GAS_WATER",IF(AND(ISNUMBER(SEARCH("oil",LOWER(M137))),ISNUMBER(SEARCH("water",LOWER(M137)))),"OIL_WATER",IF(ISNUMBER(SEARCH("gas",LOWER(M137))),"GAS",IF(ISNUMBER(SEARCH("water",LOWER(M137))),"WATER",IF(ISNUMBER(SEARCH("oil",LOWER(M137))),"OIL","UNKNOWN")))))))</f>
        <v/>
      </c>
      <c r="R137" s="12">
        <f>IF(C137="","",C137)</f>
        <v/>
      </c>
      <c r="S137" s="12">
        <f>IF(R137="","",R137+IF(O137&lt;&gt;"",O137,IF(H137="",0,H137)))</f>
        <v/>
      </c>
      <c r="T137" s="12">
        <f>IF(R137="","",MAX(Settings!$B$3,Settings!$B$4*IF(O137&lt;&gt;"",O137,IF(H137="",0,H137))))</f>
        <v/>
      </c>
      <c r="U137" s="11">
        <f>IF(AND(C137&lt;&gt;"",M137&lt;&gt;"",OR(H137&lt;&gt;"",O137&lt;&gt;"")),"COMPLETE",IF(OR(C137&lt;&gt;"",M137&lt;&gt;""),"PARTIAL","MISSING"))</f>
        <v/>
      </c>
      <c r="V137" s="11">
        <f>IF(Q137="UNKNOWN","Check fluid description",IF(AND(R137&lt;&gt;"",S137&lt;&gt;""),"Ready for contact screening","Needs TVD + thickness"))</f>
        <v/>
      </c>
    </row>
    <row r="138">
      <c r="A138" s="9" t="n"/>
      <c r="B138" s="9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9" t="n"/>
      <c r="N138" s="9" t="n"/>
      <c r="O138" s="10" t="n"/>
      <c r="P138" s="9" t="n"/>
      <c r="Q138" s="11">
        <f>IF(P138&lt;&gt;"",P138,IF(M138="","UNKNOWN",IF(AND(ISNUMBER(SEARCH("gas",LOWER(M138))),ISNUMBER(SEARCH("water",LOWER(M138)))),"GAS_WATER",IF(AND(ISNUMBER(SEARCH("oil",LOWER(M138))),ISNUMBER(SEARCH("water",LOWER(M138)))),"OIL_WATER",IF(ISNUMBER(SEARCH("gas",LOWER(M138))),"GAS",IF(ISNUMBER(SEARCH("water",LOWER(M138))),"WATER",IF(ISNUMBER(SEARCH("oil",LOWER(M138))),"OIL","UNKNOWN")))))))</f>
        <v/>
      </c>
      <c r="R138" s="12">
        <f>IF(C138="","",C138)</f>
        <v/>
      </c>
      <c r="S138" s="12">
        <f>IF(R138="","",R138+IF(O138&lt;&gt;"",O138,IF(H138="",0,H138)))</f>
        <v/>
      </c>
      <c r="T138" s="12">
        <f>IF(R138="","",MAX(Settings!$B$3,Settings!$B$4*IF(O138&lt;&gt;"",O138,IF(H138="",0,H138))))</f>
        <v/>
      </c>
      <c r="U138" s="11">
        <f>IF(AND(C138&lt;&gt;"",M138&lt;&gt;"",OR(H138&lt;&gt;"",O138&lt;&gt;"")),"COMPLETE",IF(OR(C138&lt;&gt;"",M138&lt;&gt;""),"PARTIAL","MISSING"))</f>
        <v/>
      </c>
      <c r="V138" s="11">
        <f>IF(Q138="UNKNOWN","Check fluid description",IF(AND(R138&lt;&gt;"",S138&lt;&gt;""),"Ready for contact screening","Needs TVD + thickness"))</f>
        <v/>
      </c>
    </row>
    <row r="139">
      <c r="A139" s="9" t="n"/>
      <c r="B139" s="9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9" t="n"/>
      <c r="N139" s="9" t="n"/>
      <c r="O139" s="10" t="n"/>
      <c r="P139" s="9" t="n"/>
      <c r="Q139" s="11">
        <f>IF(P139&lt;&gt;"",P139,IF(M139="","UNKNOWN",IF(AND(ISNUMBER(SEARCH("gas",LOWER(M139))),ISNUMBER(SEARCH("water",LOWER(M139)))),"GAS_WATER",IF(AND(ISNUMBER(SEARCH("oil",LOWER(M139))),ISNUMBER(SEARCH("water",LOWER(M139)))),"OIL_WATER",IF(ISNUMBER(SEARCH("gas",LOWER(M139))),"GAS",IF(ISNUMBER(SEARCH("water",LOWER(M139))),"WATER",IF(ISNUMBER(SEARCH("oil",LOWER(M139))),"OIL","UNKNOWN")))))))</f>
        <v/>
      </c>
      <c r="R139" s="12">
        <f>IF(C139="","",C139)</f>
        <v/>
      </c>
      <c r="S139" s="12">
        <f>IF(R139="","",R139+IF(O139&lt;&gt;"",O139,IF(H139="",0,H139)))</f>
        <v/>
      </c>
      <c r="T139" s="12">
        <f>IF(R139="","",MAX(Settings!$B$3,Settings!$B$4*IF(O139&lt;&gt;"",O139,IF(H139="",0,H139))))</f>
        <v/>
      </c>
      <c r="U139" s="11">
        <f>IF(AND(C139&lt;&gt;"",M139&lt;&gt;"",OR(H139&lt;&gt;"",O139&lt;&gt;"")),"COMPLETE",IF(OR(C139&lt;&gt;"",M139&lt;&gt;""),"PARTIAL","MISSING"))</f>
        <v/>
      </c>
      <c r="V139" s="11">
        <f>IF(Q139="UNKNOWN","Check fluid description",IF(AND(R139&lt;&gt;"",S139&lt;&gt;""),"Ready for contact screening","Needs TVD + thickness"))</f>
        <v/>
      </c>
    </row>
    <row r="140">
      <c r="A140" s="9" t="n"/>
      <c r="B140" s="9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9" t="n"/>
      <c r="N140" s="9" t="n"/>
      <c r="O140" s="10" t="n"/>
      <c r="P140" s="9" t="n"/>
      <c r="Q140" s="11">
        <f>IF(P140&lt;&gt;"",P140,IF(M140="","UNKNOWN",IF(AND(ISNUMBER(SEARCH("gas",LOWER(M140))),ISNUMBER(SEARCH("water",LOWER(M140)))),"GAS_WATER",IF(AND(ISNUMBER(SEARCH("oil",LOWER(M140))),ISNUMBER(SEARCH("water",LOWER(M140)))),"OIL_WATER",IF(ISNUMBER(SEARCH("gas",LOWER(M140))),"GAS",IF(ISNUMBER(SEARCH("water",LOWER(M140))),"WATER",IF(ISNUMBER(SEARCH("oil",LOWER(M140))),"OIL","UNKNOWN")))))))</f>
        <v/>
      </c>
      <c r="R140" s="12">
        <f>IF(C140="","",C140)</f>
        <v/>
      </c>
      <c r="S140" s="12">
        <f>IF(R140="","",R140+IF(O140&lt;&gt;"",O140,IF(H140="",0,H140)))</f>
        <v/>
      </c>
      <c r="T140" s="12">
        <f>IF(R140="","",MAX(Settings!$B$3,Settings!$B$4*IF(O140&lt;&gt;"",O140,IF(H140="",0,H140))))</f>
        <v/>
      </c>
      <c r="U140" s="11">
        <f>IF(AND(C140&lt;&gt;"",M140&lt;&gt;"",OR(H140&lt;&gt;"",O140&lt;&gt;"")),"COMPLETE",IF(OR(C140&lt;&gt;"",M140&lt;&gt;""),"PARTIAL","MISSING"))</f>
        <v/>
      </c>
      <c r="V140" s="11">
        <f>IF(Q140="UNKNOWN","Check fluid description",IF(AND(R140&lt;&gt;"",S140&lt;&gt;""),"Ready for contact screening","Needs TVD + thickness"))</f>
        <v/>
      </c>
    </row>
    <row r="141">
      <c r="A141" s="9" t="n"/>
      <c r="B141" s="9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9" t="n"/>
      <c r="N141" s="9" t="n"/>
      <c r="O141" s="10" t="n"/>
      <c r="P141" s="9" t="n"/>
      <c r="Q141" s="11">
        <f>IF(P141&lt;&gt;"",P141,IF(M141="","UNKNOWN",IF(AND(ISNUMBER(SEARCH("gas",LOWER(M141))),ISNUMBER(SEARCH("water",LOWER(M141)))),"GAS_WATER",IF(AND(ISNUMBER(SEARCH("oil",LOWER(M141))),ISNUMBER(SEARCH("water",LOWER(M141)))),"OIL_WATER",IF(ISNUMBER(SEARCH("gas",LOWER(M141))),"GAS",IF(ISNUMBER(SEARCH("water",LOWER(M141))),"WATER",IF(ISNUMBER(SEARCH("oil",LOWER(M141))),"OIL","UNKNOWN")))))))</f>
        <v/>
      </c>
      <c r="R141" s="12">
        <f>IF(C141="","",C141)</f>
        <v/>
      </c>
      <c r="S141" s="12">
        <f>IF(R141="","",R141+IF(O141&lt;&gt;"",O141,IF(H141="",0,H141)))</f>
        <v/>
      </c>
      <c r="T141" s="12">
        <f>IF(R141="","",MAX(Settings!$B$3,Settings!$B$4*IF(O141&lt;&gt;"",O141,IF(H141="",0,H141))))</f>
        <v/>
      </c>
      <c r="U141" s="11">
        <f>IF(AND(C141&lt;&gt;"",M141&lt;&gt;"",OR(H141&lt;&gt;"",O141&lt;&gt;"")),"COMPLETE",IF(OR(C141&lt;&gt;"",M141&lt;&gt;""),"PARTIAL","MISSING"))</f>
        <v/>
      </c>
      <c r="V141" s="11">
        <f>IF(Q141="UNKNOWN","Check fluid description",IF(AND(R141&lt;&gt;"",S141&lt;&gt;""),"Ready for contact screening","Needs TVD + thickness"))</f>
        <v/>
      </c>
    </row>
    <row r="142">
      <c r="A142" s="9" t="n"/>
      <c r="B142" s="9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9" t="n"/>
      <c r="N142" s="9" t="n"/>
      <c r="O142" s="10" t="n"/>
      <c r="P142" s="9" t="n"/>
      <c r="Q142" s="11">
        <f>IF(P142&lt;&gt;"",P142,IF(M142="","UNKNOWN",IF(AND(ISNUMBER(SEARCH("gas",LOWER(M142))),ISNUMBER(SEARCH("water",LOWER(M142)))),"GAS_WATER",IF(AND(ISNUMBER(SEARCH("oil",LOWER(M142))),ISNUMBER(SEARCH("water",LOWER(M142)))),"OIL_WATER",IF(ISNUMBER(SEARCH("gas",LOWER(M142))),"GAS",IF(ISNUMBER(SEARCH("water",LOWER(M142))),"WATER",IF(ISNUMBER(SEARCH("oil",LOWER(M142))),"OIL","UNKNOWN")))))))</f>
        <v/>
      </c>
      <c r="R142" s="12">
        <f>IF(C142="","",C142)</f>
        <v/>
      </c>
      <c r="S142" s="12">
        <f>IF(R142="","",R142+IF(O142&lt;&gt;"",O142,IF(H142="",0,H142)))</f>
        <v/>
      </c>
      <c r="T142" s="12">
        <f>IF(R142="","",MAX(Settings!$B$3,Settings!$B$4*IF(O142&lt;&gt;"",O142,IF(H142="",0,H142))))</f>
        <v/>
      </c>
      <c r="U142" s="11">
        <f>IF(AND(C142&lt;&gt;"",M142&lt;&gt;"",OR(H142&lt;&gt;"",O142&lt;&gt;"")),"COMPLETE",IF(OR(C142&lt;&gt;"",M142&lt;&gt;""),"PARTIAL","MISSING"))</f>
        <v/>
      </c>
      <c r="V142" s="11">
        <f>IF(Q142="UNKNOWN","Check fluid description",IF(AND(R142&lt;&gt;"",S142&lt;&gt;""),"Ready for contact screening","Needs TVD + thickness"))</f>
        <v/>
      </c>
    </row>
    <row r="143">
      <c r="A143" s="9" t="n"/>
      <c r="B143" s="9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9" t="n"/>
      <c r="N143" s="9" t="n"/>
      <c r="O143" s="10" t="n"/>
      <c r="P143" s="9" t="n"/>
      <c r="Q143" s="11">
        <f>IF(P143&lt;&gt;"",P143,IF(M143="","UNKNOWN",IF(AND(ISNUMBER(SEARCH("gas",LOWER(M143))),ISNUMBER(SEARCH("water",LOWER(M143)))),"GAS_WATER",IF(AND(ISNUMBER(SEARCH("oil",LOWER(M143))),ISNUMBER(SEARCH("water",LOWER(M143)))),"OIL_WATER",IF(ISNUMBER(SEARCH("gas",LOWER(M143))),"GAS",IF(ISNUMBER(SEARCH("water",LOWER(M143))),"WATER",IF(ISNUMBER(SEARCH("oil",LOWER(M143))),"OIL","UNKNOWN")))))))</f>
        <v/>
      </c>
      <c r="R143" s="12">
        <f>IF(C143="","",C143)</f>
        <v/>
      </c>
      <c r="S143" s="12">
        <f>IF(R143="","",R143+IF(O143&lt;&gt;"",O143,IF(H143="",0,H143)))</f>
        <v/>
      </c>
      <c r="T143" s="12">
        <f>IF(R143="","",MAX(Settings!$B$3,Settings!$B$4*IF(O143&lt;&gt;"",O143,IF(H143="",0,H143))))</f>
        <v/>
      </c>
      <c r="U143" s="11">
        <f>IF(AND(C143&lt;&gt;"",M143&lt;&gt;"",OR(H143&lt;&gt;"",O143&lt;&gt;"")),"COMPLETE",IF(OR(C143&lt;&gt;"",M143&lt;&gt;""),"PARTIAL","MISSING"))</f>
        <v/>
      </c>
      <c r="V143" s="11">
        <f>IF(Q143="UNKNOWN","Check fluid description",IF(AND(R143&lt;&gt;"",S143&lt;&gt;""),"Ready for contact screening","Needs TVD + thickness"))</f>
        <v/>
      </c>
    </row>
    <row r="144">
      <c r="A144" s="9" t="n"/>
      <c r="B144" s="9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9" t="n"/>
      <c r="N144" s="9" t="n"/>
      <c r="O144" s="10" t="n"/>
      <c r="P144" s="9" t="n"/>
      <c r="Q144" s="11">
        <f>IF(P144&lt;&gt;"",P144,IF(M144="","UNKNOWN",IF(AND(ISNUMBER(SEARCH("gas",LOWER(M144))),ISNUMBER(SEARCH("water",LOWER(M144)))),"GAS_WATER",IF(AND(ISNUMBER(SEARCH("oil",LOWER(M144))),ISNUMBER(SEARCH("water",LOWER(M144)))),"OIL_WATER",IF(ISNUMBER(SEARCH("gas",LOWER(M144))),"GAS",IF(ISNUMBER(SEARCH("water",LOWER(M144))),"WATER",IF(ISNUMBER(SEARCH("oil",LOWER(M144))),"OIL","UNKNOWN")))))))</f>
        <v/>
      </c>
      <c r="R144" s="12">
        <f>IF(C144="","",C144)</f>
        <v/>
      </c>
      <c r="S144" s="12">
        <f>IF(R144="","",R144+IF(O144&lt;&gt;"",O144,IF(H144="",0,H144)))</f>
        <v/>
      </c>
      <c r="T144" s="12">
        <f>IF(R144="","",MAX(Settings!$B$3,Settings!$B$4*IF(O144&lt;&gt;"",O144,IF(H144="",0,H144))))</f>
        <v/>
      </c>
      <c r="U144" s="11">
        <f>IF(AND(C144&lt;&gt;"",M144&lt;&gt;"",OR(H144&lt;&gt;"",O144&lt;&gt;"")),"COMPLETE",IF(OR(C144&lt;&gt;"",M144&lt;&gt;""),"PARTIAL","MISSING"))</f>
        <v/>
      </c>
      <c r="V144" s="11">
        <f>IF(Q144="UNKNOWN","Check fluid description",IF(AND(R144&lt;&gt;"",S144&lt;&gt;""),"Ready for contact screening","Needs TVD + thickness"))</f>
        <v/>
      </c>
    </row>
    <row r="145">
      <c r="A145" s="9" t="n"/>
      <c r="B145" s="9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9" t="n"/>
      <c r="N145" s="9" t="n"/>
      <c r="O145" s="10" t="n"/>
      <c r="P145" s="9" t="n"/>
      <c r="Q145" s="11">
        <f>IF(P145&lt;&gt;"",P145,IF(M145="","UNKNOWN",IF(AND(ISNUMBER(SEARCH("gas",LOWER(M145))),ISNUMBER(SEARCH("water",LOWER(M145)))),"GAS_WATER",IF(AND(ISNUMBER(SEARCH("oil",LOWER(M145))),ISNUMBER(SEARCH("water",LOWER(M145)))),"OIL_WATER",IF(ISNUMBER(SEARCH("gas",LOWER(M145))),"GAS",IF(ISNUMBER(SEARCH("water",LOWER(M145))),"WATER",IF(ISNUMBER(SEARCH("oil",LOWER(M145))),"OIL","UNKNOWN")))))))</f>
        <v/>
      </c>
      <c r="R145" s="12">
        <f>IF(C145="","",C145)</f>
        <v/>
      </c>
      <c r="S145" s="12">
        <f>IF(R145="","",R145+IF(O145&lt;&gt;"",O145,IF(H145="",0,H145)))</f>
        <v/>
      </c>
      <c r="T145" s="12">
        <f>IF(R145="","",MAX(Settings!$B$3,Settings!$B$4*IF(O145&lt;&gt;"",O145,IF(H145="",0,H145))))</f>
        <v/>
      </c>
      <c r="U145" s="11">
        <f>IF(AND(C145&lt;&gt;"",M145&lt;&gt;"",OR(H145&lt;&gt;"",O145&lt;&gt;"")),"COMPLETE",IF(OR(C145&lt;&gt;"",M145&lt;&gt;""),"PARTIAL","MISSING"))</f>
        <v/>
      </c>
      <c r="V145" s="11">
        <f>IF(Q145="UNKNOWN","Check fluid description",IF(AND(R145&lt;&gt;"",S145&lt;&gt;""),"Ready for contact screening","Needs TVD + thickness"))</f>
        <v/>
      </c>
    </row>
    <row r="146">
      <c r="A146" s="9" t="n"/>
      <c r="B146" s="9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9" t="n"/>
      <c r="N146" s="9" t="n"/>
      <c r="O146" s="10" t="n"/>
      <c r="P146" s="9" t="n"/>
      <c r="Q146" s="11">
        <f>IF(P146&lt;&gt;"",P146,IF(M146="","UNKNOWN",IF(AND(ISNUMBER(SEARCH("gas",LOWER(M146))),ISNUMBER(SEARCH("water",LOWER(M146)))),"GAS_WATER",IF(AND(ISNUMBER(SEARCH("oil",LOWER(M146))),ISNUMBER(SEARCH("water",LOWER(M146)))),"OIL_WATER",IF(ISNUMBER(SEARCH("gas",LOWER(M146))),"GAS",IF(ISNUMBER(SEARCH("water",LOWER(M146))),"WATER",IF(ISNUMBER(SEARCH("oil",LOWER(M146))),"OIL","UNKNOWN")))))))</f>
        <v/>
      </c>
      <c r="R146" s="12">
        <f>IF(C146="","",C146)</f>
        <v/>
      </c>
      <c r="S146" s="12">
        <f>IF(R146="","",R146+IF(O146&lt;&gt;"",O146,IF(H146="",0,H146)))</f>
        <v/>
      </c>
      <c r="T146" s="12">
        <f>IF(R146="","",MAX(Settings!$B$3,Settings!$B$4*IF(O146&lt;&gt;"",O146,IF(H146="",0,H146))))</f>
        <v/>
      </c>
      <c r="U146" s="11">
        <f>IF(AND(C146&lt;&gt;"",M146&lt;&gt;"",OR(H146&lt;&gt;"",O146&lt;&gt;"")),"COMPLETE",IF(OR(C146&lt;&gt;"",M146&lt;&gt;""),"PARTIAL","MISSING"))</f>
        <v/>
      </c>
      <c r="V146" s="11">
        <f>IF(Q146="UNKNOWN","Check fluid description",IF(AND(R146&lt;&gt;"",S146&lt;&gt;""),"Ready for contact screening","Needs TVD + thickness"))</f>
        <v/>
      </c>
    </row>
    <row r="147">
      <c r="A147" s="9" t="n"/>
      <c r="B147" s="9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9" t="n"/>
      <c r="N147" s="9" t="n"/>
      <c r="O147" s="10" t="n"/>
      <c r="P147" s="9" t="n"/>
      <c r="Q147" s="11">
        <f>IF(P147&lt;&gt;"",P147,IF(M147="","UNKNOWN",IF(AND(ISNUMBER(SEARCH("gas",LOWER(M147))),ISNUMBER(SEARCH("water",LOWER(M147)))),"GAS_WATER",IF(AND(ISNUMBER(SEARCH("oil",LOWER(M147))),ISNUMBER(SEARCH("water",LOWER(M147)))),"OIL_WATER",IF(ISNUMBER(SEARCH("gas",LOWER(M147))),"GAS",IF(ISNUMBER(SEARCH("water",LOWER(M147))),"WATER",IF(ISNUMBER(SEARCH("oil",LOWER(M147))),"OIL","UNKNOWN")))))))</f>
        <v/>
      </c>
      <c r="R147" s="12">
        <f>IF(C147="","",C147)</f>
        <v/>
      </c>
      <c r="S147" s="12">
        <f>IF(R147="","",R147+IF(O147&lt;&gt;"",O147,IF(H147="",0,H147)))</f>
        <v/>
      </c>
      <c r="T147" s="12">
        <f>IF(R147="","",MAX(Settings!$B$3,Settings!$B$4*IF(O147&lt;&gt;"",O147,IF(H147="",0,H147))))</f>
        <v/>
      </c>
      <c r="U147" s="11">
        <f>IF(AND(C147&lt;&gt;"",M147&lt;&gt;"",OR(H147&lt;&gt;"",O147&lt;&gt;"")),"COMPLETE",IF(OR(C147&lt;&gt;"",M147&lt;&gt;""),"PARTIAL","MISSING"))</f>
        <v/>
      </c>
      <c r="V147" s="11">
        <f>IF(Q147="UNKNOWN","Check fluid description",IF(AND(R147&lt;&gt;"",S147&lt;&gt;""),"Ready for contact screening","Needs TVD + thickness"))</f>
        <v/>
      </c>
    </row>
    <row r="148">
      <c r="A148" s="9" t="n"/>
      <c r="B148" s="9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9" t="n"/>
      <c r="N148" s="9" t="n"/>
      <c r="O148" s="10" t="n"/>
      <c r="P148" s="9" t="n"/>
      <c r="Q148" s="11">
        <f>IF(P148&lt;&gt;"",P148,IF(M148="","UNKNOWN",IF(AND(ISNUMBER(SEARCH("gas",LOWER(M148))),ISNUMBER(SEARCH("water",LOWER(M148)))),"GAS_WATER",IF(AND(ISNUMBER(SEARCH("oil",LOWER(M148))),ISNUMBER(SEARCH("water",LOWER(M148)))),"OIL_WATER",IF(ISNUMBER(SEARCH("gas",LOWER(M148))),"GAS",IF(ISNUMBER(SEARCH("water",LOWER(M148))),"WATER",IF(ISNUMBER(SEARCH("oil",LOWER(M148))),"OIL","UNKNOWN")))))))</f>
        <v/>
      </c>
      <c r="R148" s="12">
        <f>IF(C148="","",C148)</f>
        <v/>
      </c>
      <c r="S148" s="12">
        <f>IF(R148="","",R148+IF(O148&lt;&gt;"",O148,IF(H148="",0,H148)))</f>
        <v/>
      </c>
      <c r="T148" s="12">
        <f>IF(R148="","",MAX(Settings!$B$3,Settings!$B$4*IF(O148&lt;&gt;"",O148,IF(H148="",0,H148))))</f>
        <v/>
      </c>
      <c r="U148" s="11">
        <f>IF(AND(C148&lt;&gt;"",M148&lt;&gt;"",OR(H148&lt;&gt;"",O148&lt;&gt;"")),"COMPLETE",IF(OR(C148&lt;&gt;"",M148&lt;&gt;""),"PARTIAL","MISSING"))</f>
        <v/>
      </c>
      <c r="V148" s="11">
        <f>IF(Q148="UNKNOWN","Check fluid description",IF(AND(R148&lt;&gt;"",S148&lt;&gt;""),"Ready for contact screening","Needs TVD + thickness"))</f>
        <v/>
      </c>
    </row>
    <row r="149">
      <c r="A149" s="9" t="n"/>
      <c r="B149" s="9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9" t="n"/>
      <c r="N149" s="9" t="n"/>
      <c r="O149" s="10" t="n"/>
      <c r="P149" s="9" t="n"/>
      <c r="Q149" s="11">
        <f>IF(P149&lt;&gt;"",P149,IF(M149="","UNKNOWN",IF(AND(ISNUMBER(SEARCH("gas",LOWER(M149))),ISNUMBER(SEARCH("water",LOWER(M149)))),"GAS_WATER",IF(AND(ISNUMBER(SEARCH("oil",LOWER(M149))),ISNUMBER(SEARCH("water",LOWER(M149)))),"OIL_WATER",IF(ISNUMBER(SEARCH("gas",LOWER(M149))),"GAS",IF(ISNUMBER(SEARCH("water",LOWER(M149))),"WATER",IF(ISNUMBER(SEARCH("oil",LOWER(M149))),"OIL","UNKNOWN")))))))</f>
        <v/>
      </c>
      <c r="R149" s="12">
        <f>IF(C149="","",C149)</f>
        <v/>
      </c>
      <c r="S149" s="12">
        <f>IF(R149="","",R149+IF(O149&lt;&gt;"",O149,IF(H149="",0,H149)))</f>
        <v/>
      </c>
      <c r="T149" s="12">
        <f>IF(R149="","",MAX(Settings!$B$3,Settings!$B$4*IF(O149&lt;&gt;"",O149,IF(H149="",0,H149))))</f>
        <v/>
      </c>
      <c r="U149" s="11">
        <f>IF(AND(C149&lt;&gt;"",M149&lt;&gt;"",OR(H149&lt;&gt;"",O149&lt;&gt;"")),"COMPLETE",IF(OR(C149&lt;&gt;"",M149&lt;&gt;""),"PARTIAL","MISSING"))</f>
        <v/>
      </c>
      <c r="V149" s="11">
        <f>IF(Q149="UNKNOWN","Check fluid description",IF(AND(R149&lt;&gt;"",S149&lt;&gt;""),"Ready for contact screening","Needs TVD + thickness"))</f>
        <v/>
      </c>
    </row>
    <row r="150">
      <c r="A150" s="9" t="n"/>
      <c r="B150" s="9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9" t="n"/>
      <c r="N150" s="9" t="n"/>
      <c r="O150" s="10" t="n"/>
      <c r="P150" s="9" t="n"/>
      <c r="Q150" s="11">
        <f>IF(P150&lt;&gt;"",P150,IF(M150="","UNKNOWN",IF(AND(ISNUMBER(SEARCH("gas",LOWER(M150))),ISNUMBER(SEARCH("water",LOWER(M150)))),"GAS_WATER",IF(AND(ISNUMBER(SEARCH("oil",LOWER(M150))),ISNUMBER(SEARCH("water",LOWER(M150)))),"OIL_WATER",IF(ISNUMBER(SEARCH("gas",LOWER(M150))),"GAS",IF(ISNUMBER(SEARCH("water",LOWER(M150))),"WATER",IF(ISNUMBER(SEARCH("oil",LOWER(M150))),"OIL","UNKNOWN")))))))</f>
        <v/>
      </c>
      <c r="R150" s="12">
        <f>IF(C150="","",C150)</f>
        <v/>
      </c>
      <c r="S150" s="12">
        <f>IF(R150="","",R150+IF(O150&lt;&gt;"",O150,IF(H150="",0,H150)))</f>
        <v/>
      </c>
      <c r="T150" s="12">
        <f>IF(R150="","",MAX(Settings!$B$3,Settings!$B$4*IF(O150&lt;&gt;"",O150,IF(H150="",0,H150))))</f>
        <v/>
      </c>
      <c r="U150" s="11">
        <f>IF(AND(C150&lt;&gt;"",M150&lt;&gt;"",OR(H150&lt;&gt;"",O150&lt;&gt;"")),"COMPLETE",IF(OR(C150&lt;&gt;"",M150&lt;&gt;""),"PARTIAL","MISSING"))</f>
        <v/>
      </c>
      <c r="V150" s="11">
        <f>IF(Q150="UNKNOWN","Check fluid description",IF(AND(R150&lt;&gt;"",S150&lt;&gt;""),"Ready for contact screening","Needs TVD + thickness"))</f>
        <v/>
      </c>
    </row>
    <row r="151">
      <c r="A151" s="9" t="n"/>
      <c r="B151" s="9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9" t="n"/>
      <c r="N151" s="9" t="n"/>
      <c r="O151" s="10" t="n"/>
      <c r="P151" s="9" t="n"/>
      <c r="Q151" s="11">
        <f>IF(P151&lt;&gt;"",P151,IF(M151="","UNKNOWN",IF(AND(ISNUMBER(SEARCH("gas",LOWER(M151))),ISNUMBER(SEARCH("water",LOWER(M151)))),"GAS_WATER",IF(AND(ISNUMBER(SEARCH("oil",LOWER(M151))),ISNUMBER(SEARCH("water",LOWER(M151)))),"OIL_WATER",IF(ISNUMBER(SEARCH("gas",LOWER(M151))),"GAS",IF(ISNUMBER(SEARCH("water",LOWER(M151))),"WATER",IF(ISNUMBER(SEARCH("oil",LOWER(M151))),"OIL","UNKNOWN")))))))</f>
        <v/>
      </c>
      <c r="R151" s="12">
        <f>IF(C151="","",C151)</f>
        <v/>
      </c>
      <c r="S151" s="12">
        <f>IF(R151="","",R151+IF(O151&lt;&gt;"",O151,IF(H151="",0,H151)))</f>
        <v/>
      </c>
      <c r="T151" s="12">
        <f>IF(R151="","",MAX(Settings!$B$3,Settings!$B$4*IF(O151&lt;&gt;"",O151,IF(H151="",0,H151))))</f>
        <v/>
      </c>
      <c r="U151" s="11">
        <f>IF(AND(C151&lt;&gt;"",M151&lt;&gt;"",OR(H151&lt;&gt;"",O151&lt;&gt;"")),"COMPLETE",IF(OR(C151&lt;&gt;"",M151&lt;&gt;""),"PARTIAL","MISSING"))</f>
        <v/>
      </c>
      <c r="V151" s="11">
        <f>IF(Q151="UNKNOWN","Check fluid description",IF(AND(R151&lt;&gt;"",S151&lt;&gt;""),"Ready for contact screening","Needs TVD + thickness"))</f>
        <v/>
      </c>
    </row>
    <row r="152">
      <c r="A152" s="9" t="n"/>
      <c r="B152" s="9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9" t="n"/>
      <c r="N152" s="9" t="n"/>
      <c r="O152" s="10" t="n"/>
      <c r="P152" s="9" t="n"/>
      <c r="Q152" s="11">
        <f>IF(P152&lt;&gt;"",P152,IF(M152="","UNKNOWN",IF(AND(ISNUMBER(SEARCH("gas",LOWER(M152))),ISNUMBER(SEARCH("water",LOWER(M152)))),"GAS_WATER",IF(AND(ISNUMBER(SEARCH("oil",LOWER(M152))),ISNUMBER(SEARCH("water",LOWER(M152)))),"OIL_WATER",IF(ISNUMBER(SEARCH("gas",LOWER(M152))),"GAS",IF(ISNUMBER(SEARCH("water",LOWER(M152))),"WATER",IF(ISNUMBER(SEARCH("oil",LOWER(M152))),"OIL","UNKNOWN")))))))</f>
        <v/>
      </c>
      <c r="R152" s="12">
        <f>IF(C152="","",C152)</f>
        <v/>
      </c>
      <c r="S152" s="12">
        <f>IF(R152="","",R152+IF(O152&lt;&gt;"",O152,IF(H152="",0,H152)))</f>
        <v/>
      </c>
      <c r="T152" s="12">
        <f>IF(R152="","",MAX(Settings!$B$3,Settings!$B$4*IF(O152&lt;&gt;"",O152,IF(H152="",0,H152))))</f>
        <v/>
      </c>
      <c r="U152" s="11">
        <f>IF(AND(C152&lt;&gt;"",M152&lt;&gt;"",OR(H152&lt;&gt;"",O152&lt;&gt;"")),"COMPLETE",IF(OR(C152&lt;&gt;"",M152&lt;&gt;""),"PARTIAL","MISSING"))</f>
        <v/>
      </c>
      <c r="V152" s="11">
        <f>IF(Q152="UNKNOWN","Check fluid description",IF(AND(R152&lt;&gt;"",S152&lt;&gt;""),"Ready for contact screening","Needs TVD + thickness"))</f>
        <v/>
      </c>
    </row>
    <row r="153">
      <c r="A153" s="9" t="n"/>
      <c r="B153" s="9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9" t="n"/>
      <c r="N153" s="9" t="n"/>
      <c r="O153" s="10" t="n"/>
      <c r="P153" s="9" t="n"/>
      <c r="Q153" s="11">
        <f>IF(P153&lt;&gt;"",P153,IF(M153="","UNKNOWN",IF(AND(ISNUMBER(SEARCH("gas",LOWER(M153))),ISNUMBER(SEARCH("water",LOWER(M153)))),"GAS_WATER",IF(AND(ISNUMBER(SEARCH("oil",LOWER(M153))),ISNUMBER(SEARCH("water",LOWER(M153)))),"OIL_WATER",IF(ISNUMBER(SEARCH("gas",LOWER(M153))),"GAS",IF(ISNUMBER(SEARCH("water",LOWER(M153))),"WATER",IF(ISNUMBER(SEARCH("oil",LOWER(M153))),"OIL","UNKNOWN")))))))</f>
        <v/>
      </c>
      <c r="R153" s="12">
        <f>IF(C153="","",C153)</f>
        <v/>
      </c>
      <c r="S153" s="12">
        <f>IF(R153="","",R153+IF(O153&lt;&gt;"",O153,IF(H153="",0,H153)))</f>
        <v/>
      </c>
      <c r="T153" s="12">
        <f>IF(R153="","",MAX(Settings!$B$3,Settings!$B$4*IF(O153&lt;&gt;"",O153,IF(H153="",0,H153))))</f>
        <v/>
      </c>
      <c r="U153" s="11">
        <f>IF(AND(C153&lt;&gt;"",M153&lt;&gt;"",OR(H153&lt;&gt;"",O153&lt;&gt;"")),"COMPLETE",IF(OR(C153&lt;&gt;"",M153&lt;&gt;""),"PARTIAL","MISSING"))</f>
        <v/>
      </c>
      <c r="V153" s="11">
        <f>IF(Q153="UNKNOWN","Check fluid description",IF(AND(R153&lt;&gt;"",S153&lt;&gt;""),"Ready for contact screening","Needs TVD + thickness"))</f>
        <v/>
      </c>
    </row>
    <row r="154">
      <c r="A154" s="9" t="n"/>
      <c r="B154" s="9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9" t="n"/>
      <c r="N154" s="9" t="n"/>
      <c r="O154" s="10" t="n"/>
      <c r="P154" s="9" t="n"/>
      <c r="Q154" s="11">
        <f>IF(P154&lt;&gt;"",P154,IF(M154="","UNKNOWN",IF(AND(ISNUMBER(SEARCH("gas",LOWER(M154))),ISNUMBER(SEARCH("water",LOWER(M154)))),"GAS_WATER",IF(AND(ISNUMBER(SEARCH("oil",LOWER(M154))),ISNUMBER(SEARCH("water",LOWER(M154)))),"OIL_WATER",IF(ISNUMBER(SEARCH("gas",LOWER(M154))),"GAS",IF(ISNUMBER(SEARCH("water",LOWER(M154))),"WATER",IF(ISNUMBER(SEARCH("oil",LOWER(M154))),"OIL","UNKNOWN")))))))</f>
        <v/>
      </c>
      <c r="R154" s="12">
        <f>IF(C154="","",C154)</f>
        <v/>
      </c>
      <c r="S154" s="12">
        <f>IF(R154="","",R154+IF(O154&lt;&gt;"",O154,IF(H154="",0,H154)))</f>
        <v/>
      </c>
      <c r="T154" s="12">
        <f>IF(R154="","",MAX(Settings!$B$3,Settings!$B$4*IF(O154&lt;&gt;"",O154,IF(H154="",0,H154))))</f>
        <v/>
      </c>
      <c r="U154" s="11">
        <f>IF(AND(C154&lt;&gt;"",M154&lt;&gt;"",OR(H154&lt;&gt;"",O154&lt;&gt;"")),"COMPLETE",IF(OR(C154&lt;&gt;"",M154&lt;&gt;""),"PARTIAL","MISSING"))</f>
        <v/>
      </c>
      <c r="V154" s="11">
        <f>IF(Q154="UNKNOWN","Check fluid description",IF(AND(R154&lt;&gt;"",S154&lt;&gt;""),"Ready for contact screening","Needs TVD + thickness"))</f>
        <v/>
      </c>
    </row>
    <row r="155">
      <c r="A155" s="9" t="n"/>
      <c r="B155" s="9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9" t="n"/>
      <c r="N155" s="9" t="n"/>
      <c r="O155" s="10" t="n"/>
      <c r="P155" s="9" t="n"/>
      <c r="Q155" s="11">
        <f>IF(P155&lt;&gt;"",P155,IF(M155="","UNKNOWN",IF(AND(ISNUMBER(SEARCH("gas",LOWER(M155))),ISNUMBER(SEARCH("water",LOWER(M155)))),"GAS_WATER",IF(AND(ISNUMBER(SEARCH("oil",LOWER(M155))),ISNUMBER(SEARCH("water",LOWER(M155)))),"OIL_WATER",IF(ISNUMBER(SEARCH("gas",LOWER(M155))),"GAS",IF(ISNUMBER(SEARCH("water",LOWER(M155))),"WATER",IF(ISNUMBER(SEARCH("oil",LOWER(M155))),"OIL","UNKNOWN")))))))</f>
        <v/>
      </c>
      <c r="R155" s="12">
        <f>IF(C155="","",C155)</f>
        <v/>
      </c>
      <c r="S155" s="12">
        <f>IF(R155="","",R155+IF(O155&lt;&gt;"",O155,IF(H155="",0,H155)))</f>
        <v/>
      </c>
      <c r="T155" s="12">
        <f>IF(R155="","",MAX(Settings!$B$3,Settings!$B$4*IF(O155&lt;&gt;"",O155,IF(H155="",0,H155))))</f>
        <v/>
      </c>
      <c r="U155" s="11">
        <f>IF(AND(C155&lt;&gt;"",M155&lt;&gt;"",OR(H155&lt;&gt;"",O155&lt;&gt;"")),"COMPLETE",IF(OR(C155&lt;&gt;"",M155&lt;&gt;""),"PARTIAL","MISSING"))</f>
        <v/>
      </c>
      <c r="V155" s="11">
        <f>IF(Q155="UNKNOWN","Check fluid description",IF(AND(R155&lt;&gt;"",S155&lt;&gt;""),"Ready for contact screening","Needs TVD + thickness"))</f>
        <v/>
      </c>
    </row>
    <row r="156">
      <c r="A156" s="9" t="n"/>
      <c r="B156" s="9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9" t="n"/>
      <c r="N156" s="9" t="n"/>
      <c r="O156" s="10" t="n"/>
      <c r="P156" s="9" t="n"/>
      <c r="Q156" s="11">
        <f>IF(P156&lt;&gt;"",P156,IF(M156="","UNKNOWN",IF(AND(ISNUMBER(SEARCH("gas",LOWER(M156))),ISNUMBER(SEARCH("water",LOWER(M156)))),"GAS_WATER",IF(AND(ISNUMBER(SEARCH("oil",LOWER(M156))),ISNUMBER(SEARCH("water",LOWER(M156)))),"OIL_WATER",IF(ISNUMBER(SEARCH("gas",LOWER(M156))),"GAS",IF(ISNUMBER(SEARCH("water",LOWER(M156))),"WATER",IF(ISNUMBER(SEARCH("oil",LOWER(M156))),"OIL","UNKNOWN")))))))</f>
        <v/>
      </c>
      <c r="R156" s="12">
        <f>IF(C156="","",C156)</f>
        <v/>
      </c>
      <c r="S156" s="12">
        <f>IF(R156="","",R156+IF(O156&lt;&gt;"",O156,IF(H156="",0,H156)))</f>
        <v/>
      </c>
      <c r="T156" s="12">
        <f>IF(R156="","",MAX(Settings!$B$3,Settings!$B$4*IF(O156&lt;&gt;"",O156,IF(H156="",0,H156))))</f>
        <v/>
      </c>
      <c r="U156" s="11">
        <f>IF(AND(C156&lt;&gt;"",M156&lt;&gt;"",OR(H156&lt;&gt;"",O156&lt;&gt;"")),"COMPLETE",IF(OR(C156&lt;&gt;"",M156&lt;&gt;""),"PARTIAL","MISSING"))</f>
        <v/>
      </c>
      <c r="V156" s="11">
        <f>IF(Q156="UNKNOWN","Check fluid description",IF(AND(R156&lt;&gt;"",S156&lt;&gt;""),"Ready for contact screening","Needs TVD + thickness"))</f>
        <v/>
      </c>
    </row>
    <row r="157">
      <c r="A157" s="9" t="n"/>
      <c r="B157" s="9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9" t="n"/>
      <c r="N157" s="9" t="n"/>
      <c r="O157" s="10" t="n"/>
      <c r="P157" s="9" t="n"/>
      <c r="Q157" s="11">
        <f>IF(P157&lt;&gt;"",P157,IF(M157="","UNKNOWN",IF(AND(ISNUMBER(SEARCH("gas",LOWER(M157))),ISNUMBER(SEARCH("water",LOWER(M157)))),"GAS_WATER",IF(AND(ISNUMBER(SEARCH("oil",LOWER(M157))),ISNUMBER(SEARCH("water",LOWER(M157)))),"OIL_WATER",IF(ISNUMBER(SEARCH("gas",LOWER(M157))),"GAS",IF(ISNUMBER(SEARCH("water",LOWER(M157))),"WATER",IF(ISNUMBER(SEARCH("oil",LOWER(M157))),"OIL","UNKNOWN")))))))</f>
        <v/>
      </c>
      <c r="R157" s="12">
        <f>IF(C157="","",C157)</f>
        <v/>
      </c>
      <c r="S157" s="12">
        <f>IF(R157="","",R157+IF(O157&lt;&gt;"",O157,IF(H157="",0,H157)))</f>
        <v/>
      </c>
      <c r="T157" s="12">
        <f>IF(R157="","",MAX(Settings!$B$3,Settings!$B$4*IF(O157&lt;&gt;"",O157,IF(H157="",0,H157))))</f>
        <v/>
      </c>
      <c r="U157" s="11">
        <f>IF(AND(C157&lt;&gt;"",M157&lt;&gt;"",OR(H157&lt;&gt;"",O157&lt;&gt;"")),"COMPLETE",IF(OR(C157&lt;&gt;"",M157&lt;&gt;""),"PARTIAL","MISSING"))</f>
        <v/>
      </c>
      <c r="V157" s="11">
        <f>IF(Q157="UNKNOWN","Check fluid description",IF(AND(R157&lt;&gt;"",S157&lt;&gt;""),"Ready for contact screening","Needs TVD + thickness"))</f>
        <v/>
      </c>
    </row>
    <row r="158">
      <c r="A158" s="9" t="n"/>
      <c r="B158" s="9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9" t="n"/>
      <c r="N158" s="9" t="n"/>
      <c r="O158" s="10" t="n"/>
      <c r="P158" s="9" t="n"/>
      <c r="Q158" s="11">
        <f>IF(P158&lt;&gt;"",P158,IF(M158="","UNKNOWN",IF(AND(ISNUMBER(SEARCH("gas",LOWER(M158))),ISNUMBER(SEARCH("water",LOWER(M158)))),"GAS_WATER",IF(AND(ISNUMBER(SEARCH("oil",LOWER(M158))),ISNUMBER(SEARCH("water",LOWER(M158)))),"OIL_WATER",IF(ISNUMBER(SEARCH("gas",LOWER(M158))),"GAS",IF(ISNUMBER(SEARCH("water",LOWER(M158))),"WATER",IF(ISNUMBER(SEARCH("oil",LOWER(M158))),"OIL","UNKNOWN")))))))</f>
        <v/>
      </c>
      <c r="R158" s="12">
        <f>IF(C158="","",C158)</f>
        <v/>
      </c>
      <c r="S158" s="12">
        <f>IF(R158="","",R158+IF(O158&lt;&gt;"",O158,IF(H158="",0,H158)))</f>
        <v/>
      </c>
      <c r="T158" s="12">
        <f>IF(R158="","",MAX(Settings!$B$3,Settings!$B$4*IF(O158&lt;&gt;"",O158,IF(H158="",0,H158))))</f>
        <v/>
      </c>
      <c r="U158" s="11">
        <f>IF(AND(C158&lt;&gt;"",M158&lt;&gt;"",OR(H158&lt;&gt;"",O158&lt;&gt;"")),"COMPLETE",IF(OR(C158&lt;&gt;"",M158&lt;&gt;""),"PARTIAL","MISSING"))</f>
        <v/>
      </c>
      <c r="V158" s="11">
        <f>IF(Q158="UNKNOWN","Check fluid description",IF(AND(R158&lt;&gt;"",S158&lt;&gt;""),"Ready for contact screening","Needs TVD + thickness"))</f>
        <v/>
      </c>
    </row>
    <row r="159">
      <c r="A159" s="9" t="n"/>
      <c r="B159" s="9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9" t="n"/>
      <c r="N159" s="9" t="n"/>
      <c r="O159" s="10" t="n"/>
      <c r="P159" s="9" t="n"/>
      <c r="Q159" s="11">
        <f>IF(P159&lt;&gt;"",P159,IF(M159="","UNKNOWN",IF(AND(ISNUMBER(SEARCH("gas",LOWER(M159))),ISNUMBER(SEARCH("water",LOWER(M159)))),"GAS_WATER",IF(AND(ISNUMBER(SEARCH("oil",LOWER(M159))),ISNUMBER(SEARCH("water",LOWER(M159)))),"OIL_WATER",IF(ISNUMBER(SEARCH("gas",LOWER(M159))),"GAS",IF(ISNUMBER(SEARCH("water",LOWER(M159))),"WATER",IF(ISNUMBER(SEARCH("oil",LOWER(M159))),"OIL","UNKNOWN")))))))</f>
        <v/>
      </c>
      <c r="R159" s="12">
        <f>IF(C159="","",C159)</f>
        <v/>
      </c>
      <c r="S159" s="12">
        <f>IF(R159="","",R159+IF(O159&lt;&gt;"",O159,IF(H159="",0,H159)))</f>
        <v/>
      </c>
      <c r="T159" s="12">
        <f>IF(R159="","",MAX(Settings!$B$3,Settings!$B$4*IF(O159&lt;&gt;"",O159,IF(H159="",0,H159))))</f>
        <v/>
      </c>
      <c r="U159" s="11">
        <f>IF(AND(C159&lt;&gt;"",M159&lt;&gt;"",OR(H159&lt;&gt;"",O159&lt;&gt;"")),"COMPLETE",IF(OR(C159&lt;&gt;"",M159&lt;&gt;""),"PARTIAL","MISSING"))</f>
        <v/>
      </c>
      <c r="V159" s="11">
        <f>IF(Q159="UNKNOWN","Check fluid description",IF(AND(R159&lt;&gt;"",S159&lt;&gt;""),"Ready for contact screening","Needs TVD + thickness"))</f>
        <v/>
      </c>
    </row>
    <row r="160">
      <c r="A160" s="9" t="n"/>
      <c r="B160" s="9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9" t="n"/>
      <c r="N160" s="9" t="n"/>
      <c r="O160" s="10" t="n"/>
      <c r="P160" s="9" t="n"/>
      <c r="Q160" s="11">
        <f>IF(P160&lt;&gt;"",P160,IF(M160="","UNKNOWN",IF(AND(ISNUMBER(SEARCH("gas",LOWER(M160))),ISNUMBER(SEARCH("water",LOWER(M160)))),"GAS_WATER",IF(AND(ISNUMBER(SEARCH("oil",LOWER(M160))),ISNUMBER(SEARCH("water",LOWER(M160)))),"OIL_WATER",IF(ISNUMBER(SEARCH("gas",LOWER(M160))),"GAS",IF(ISNUMBER(SEARCH("water",LOWER(M160))),"WATER",IF(ISNUMBER(SEARCH("oil",LOWER(M160))),"OIL","UNKNOWN")))))))</f>
        <v/>
      </c>
      <c r="R160" s="12">
        <f>IF(C160="","",C160)</f>
        <v/>
      </c>
      <c r="S160" s="12">
        <f>IF(R160="","",R160+IF(O160&lt;&gt;"",O160,IF(H160="",0,H160)))</f>
        <v/>
      </c>
      <c r="T160" s="12">
        <f>IF(R160="","",MAX(Settings!$B$3,Settings!$B$4*IF(O160&lt;&gt;"",O160,IF(H160="",0,H160))))</f>
        <v/>
      </c>
      <c r="U160" s="11">
        <f>IF(AND(C160&lt;&gt;"",M160&lt;&gt;"",OR(H160&lt;&gt;"",O160&lt;&gt;"")),"COMPLETE",IF(OR(C160&lt;&gt;"",M160&lt;&gt;""),"PARTIAL","MISSING"))</f>
        <v/>
      </c>
      <c r="V160" s="11">
        <f>IF(Q160="UNKNOWN","Check fluid description",IF(AND(R160&lt;&gt;"",S160&lt;&gt;""),"Ready for contact screening","Needs TVD + thickness"))</f>
        <v/>
      </c>
    </row>
    <row r="161">
      <c r="A161" s="9" t="n"/>
      <c r="B161" s="9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9" t="n"/>
      <c r="N161" s="9" t="n"/>
      <c r="O161" s="10" t="n"/>
      <c r="P161" s="9" t="n"/>
      <c r="Q161" s="11">
        <f>IF(P161&lt;&gt;"",P161,IF(M161="","UNKNOWN",IF(AND(ISNUMBER(SEARCH("gas",LOWER(M161))),ISNUMBER(SEARCH("water",LOWER(M161)))),"GAS_WATER",IF(AND(ISNUMBER(SEARCH("oil",LOWER(M161))),ISNUMBER(SEARCH("water",LOWER(M161)))),"OIL_WATER",IF(ISNUMBER(SEARCH("gas",LOWER(M161))),"GAS",IF(ISNUMBER(SEARCH("water",LOWER(M161))),"WATER",IF(ISNUMBER(SEARCH("oil",LOWER(M161))),"OIL","UNKNOWN")))))))</f>
        <v/>
      </c>
      <c r="R161" s="12">
        <f>IF(C161="","",C161)</f>
        <v/>
      </c>
      <c r="S161" s="12">
        <f>IF(R161="","",R161+IF(O161&lt;&gt;"",O161,IF(H161="",0,H161)))</f>
        <v/>
      </c>
      <c r="T161" s="12">
        <f>IF(R161="","",MAX(Settings!$B$3,Settings!$B$4*IF(O161&lt;&gt;"",O161,IF(H161="",0,H161))))</f>
        <v/>
      </c>
      <c r="U161" s="11">
        <f>IF(AND(C161&lt;&gt;"",M161&lt;&gt;"",OR(H161&lt;&gt;"",O161&lt;&gt;"")),"COMPLETE",IF(OR(C161&lt;&gt;"",M161&lt;&gt;""),"PARTIAL","MISSING"))</f>
        <v/>
      </c>
      <c r="V161" s="11">
        <f>IF(Q161="UNKNOWN","Check fluid description",IF(AND(R161&lt;&gt;"",S161&lt;&gt;""),"Ready for contact screening","Needs TVD + thickness"))</f>
        <v/>
      </c>
    </row>
    <row r="162">
      <c r="A162" s="9" t="n"/>
      <c r="B162" s="9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9" t="n"/>
      <c r="N162" s="9" t="n"/>
      <c r="O162" s="10" t="n"/>
      <c r="P162" s="9" t="n"/>
      <c r="Q162" s="11">
        <f>IF(P162&lt;&gt;"",P162,IF(M162="","UNKNOWN",IF(AND(ISNUMBER(SEARCH("gas",LOWER(M162))),ISNUMBER(SEARCH("water",LOWER(M162)))),"GAS_WATER",IF(AND(ISNUMBER(SEARCH("oil",LOWER(M162))),ISNUMBER(SEARCH("water",LOWER(M162)))),"OIL_WATER",IF(ISNUMBER(SEARCH("gas",LOWER(M162))),"GAS",IF(ISNUMBER(SEARCH("water",LOWER(M162))),"WATER",IF(ISNUMBER(SEARCH("oil",LOWER(M162))),"OIL","UNKNOWN")))))))</f>
        <v/>
      </c>
      <c r="R162" s="12">
        <f>IF(C162="","",C162)</f>
        <v/>
      </c>
      <c r="S162" s="12">
        <f>IF(R162="","",R162+IF(O162&lt;&gt;"",O162,IF(H162="",0,H162)))</f>
        <v/>
      </c>
      <c r="T162" s="12">
        <f>IF(R162="","",MAX(Settings!$B$3,Settings!$B$4*IF(O162&lt;&gt;"",O162,IF(H162="",0,H162))))</f>
        <v/>
      </c>
      <c r="U162" s="11">
        <f>IF(AND(C162&lt;&gt;"",M162&lt;&gt;"",OR(H162&lt;&gt;"",O162&lt;&gt;"")),"COMPLETE",IF(OR(C162&lt;&gt;"",M162&lt;&gt;""),"PARTIAL","MISSING"))</f>
        <v/>
      </c>
      <c r="V162" s="11">
        <f>IF(Q162="UNKNOWN","Check fluid description",IF(AND(R162&lt;&gt;"",S162&lt;&gt;""),"Ready for contact screening","Needs TVD + thickness"))</f>
        <v/>
      </c>
    </row>
    <row r="163">
      <c r="A163" s="9" t="n"/>
      <c r="B163" s="9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9" t="n"/>
      <c r="N163" s="9" t="n"/>
      <c r="O163" s="10" t="n"/>
      <c r="P163" s="9" t="n"/>
      <c r="Q163" s="11">
        <f>IF(P163&lt;&gt;"",P163,IF(M163="","UNKNOWN",IF(AND(ISNUMBER(SEARCH("gas",LOWER(M163))),ISNUMBER(SEARCH("water",LOWER(M163)))),"GAS_WATER",IF(AND(ISNUMBER(SEARCH("oil",LOWER(M163))),ISNUMBER(SEARCH("water",LOWER(M163)))),"OIL_WATER",IF(ISNUMBER(SEARCH("gas",LOWER(M163))),"GAS",IF(ISNUMBER(SEARCH("water",LOWER(M163))),"WATER",IF(ISNUMBER(SEARCH("oil",LOWER(M163))),"OIL","UNKNOWN")))))))</f>
        <v/>
      </c>
      <c r="R163" s="12">
        <f>IF(C163="","",C163)</f>
        <v/>
      </c>
      <c r="S163" s="12">
        <f>IF(R163="","",R163+IF(O163&lt;&gt;"",O163,IF(H163="",0,H163)))</f>
        <v/>
      </c>
      <c r="T163" s="12">
        <f>IF(R163="","",MAX(Settings!$B$3,Settings!$B$4*IF(O163&lt;&gt;"",O163,IF(H163="",0,H163))))</f>
        <v/>
      </c>
      <c r="U163" s="11">
        <f>IF(AND(C163&lt;&gt;"",M163&lt;&gt;"",OR(H163&lt;&gt;"",O163&lt;&gt;"")),"COMPLETE",IF(OR(C163&lt;&gt;"",M163&lt;&gt;""),"PARTIAL","MISSING"))</f>
        <v/>
      </c>
      <c r="V163" s="11">
        <f>IF(Q163="UNKNOWN","Check fluid description",IF(AND(R163&lt;&gt;"",S163&lt;&gt;""),"Ready for contact screening","Needs TVD + thickness"))</f>
        <v/>
      </c>
    </row>
    <row r="164">
      <c r="A164" s="9" t="n"/>
      <c r="B164" s="9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9" t="n"/>
      <c r="N164" s="9" t="n"/>
      <c r="O164" s="10" t="n"/>
      <c r="P164" s="9" t="n"/>
      <c r="Q164" s="11">
        <f>IF(P164&lt;&gt;"",P164,IF(M164="","UNKNOWN",IF(AND(ISNUMBER(SEARCH("gas",LOWER(M164))),ISNUMBER(SEARCH("water",LOWER(M164)))),"GAS_WATER",IF(AND(ISNUMBER(SEARCH("oil",LOWER(M164))),ISNUMBER(SEARCH("water",LOWER(M164)))),"OIL_WATER",IF(ISNUMBER(SEARCH("gas",LOWER(M164))),"GAS",IF(ISNUMBER(SEARCH("water",LOWER(M164))),"WATER",IF(ISNUMBER(SEARCH("oil",LOWER(M164))),"OIL","UNKNOWN")))))))</f>
        <v/>
      </c>
      <c r="R164" s="12">
        <f>IF(C164="","",C164)</f>
        <v/>
      </c>
      <c r="S164" s="12">
        <f>IF(R164="","",R164+IF(O164&lt;&gt;"",O164,IF(H164="",0,H164)))</f>
        <v/>
      </c>
      <c r="T164" s="12">
        <f>IF(R164="","",MAX(Settings!$B$3,Settings!$B$4*IF(O164&lt;&gt;"",O164,IF(H164="",0,H164))))</f>
        <v/>
      </c>
      <c r="U164" s="11">
        <f>IF(AND(C164&lt;&gt;"",M164&lt;&gt;"",OR(H164&lt;&gt;"",O164&lt;&gt;"")),"COMPLETE",IF(OR(C164&lt;&gt;"",M164&lt;&gt;""),"PARTIAL","MISSING"))</f>
        <v/>
      </c>
      <c r="V164" s="11">
        <f>IF(Q164="UNKNOWN","Check fluid description",IF(AND(R164&lt;&gt;"",S164&lt;&gt;""),"Ready for contact screening","Needs TVD + thickness"))</f>
        <v/>
      </c>
    </row>
    <row r="165">
      <c r="A165" s="9" t="n"/>
      <c r="B165" s="9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9" t="n"/>
      <c r="N165" s="9" t="n"/>
      <c r="O165" s="10" t="n"/>
      <c r="P165" s="9" t="n"/>
      <c r="Q165" s="11">
        <f>IF(P165&lt;&gt;"",P165,IF(M165="","UNKNOWN",IF(AND(ISNUMBER(SEARCH("gas",LOWER(M165))),ISNUMBER(SEARCH("water",LOWER(M165)))),"GAS_WATER",IF(AND(ISNUMBER(SEARCH("oil",LOWER(M165))),ISNUMBER(SEARCH("water",LOWER(M165)))),"OIL_WATER",IF(ISNUMBER(SEARCH("gas",LOWER(M165))),"GAS",IF(ISNUMBER(SEARCH("water",LOWER(M165))),"WATER",IF(ISNUMBER(SEARCH("oil",LOWER(M165))),"OIL","UNKNOWN")))))))</f>
        <v/>
      </c>
      <c r="R165" s="12">
        <f>IF(C165="","",C165)</f>
        <v/>
      </c>
      <c r="S165" s="12">
        <f>IF(R165="","",R165+IF(O165&lt;&gt;"",O165,IF(H165="",0,H165)))</f>
        <v/>
      </c>
      <c r="T165" s="12">
        <f>IF(R165="","",MAX(Settings!$B$3,Settings!$B$4*IF(O165&lt;&gt;"",O165,IF(H165="",0,H165))))</f>
        <v/>
      </c>
      <c r="U165" s="11">
        <f>IF(AND(C165&lt;&gt;"",M165&lt;&gt;"",OR(H165&lt;&gt;"",O165&lt;&gt;"")),"COMPLETE",IF(OR(C165&lt;&gt;"",M165&lt;&gt;""),"PARTIAL","MISSING"))</f>
        <v/>
      </c>
      <c r="V165" s="11">
        <f>IF(Q165="UNKNOWN","Check fluid description",IF(AND(R165&lt;&gt;"",S165&lt;&gt;""),"Ready for contact screening","Needs TVD + thickness"))</f>
        <v/>
      </c>
    </row>
    <row r="166">
      <c r="A166" s="9" t="n"/>
      <c r="B166" s="9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9" t="n"/>
      <c r="N166" s="9" t="n"/>
      <c r="O166" s="10" t="n"/>
      <c r="P166" s="9" t="n"/>
      <c r="Q166" s="11">
        <f>IF(P166&lt;&gt;"",P166,IF(M166="","UNKNOWN",IF(AND(ISNUMBER(SEARCH("gas",LOWER(M166))),ISNUMBER(SEARCH("water",LOWER(M166)))),"GAS_WATER",IF(AND(ISNUMBER(SEARCH("oil",LOWER(M166))),ISNUMBER(SEARCH("water",LOWER(M166)))),"OIL_WATER",IF(ISNUMBER(SEARCH("gas",LOWER(M166))),"GAS",IF(ISNUMBER(SEARCH("water",LOWER(M166))),"WATER",IF(ISNUMBER(SEARCH("oil",LOWER(M166))),"OIL","UNKNOWN")))))))</f>
        <v/>
      </c>
      <c r="R166" s="12">
        <f>IF(C166="","",C166)</f>
        <v/>
      </c>
      <c r="S166" s="12">
        <f>IF(R166="","",R166+IF(O166&lt;&gt;"",O166,IF(H166="",0,H166)))</f>
        <v/>
      </c>
      <c r="T166" s="12">
        <f>IF(R166="","",MAX(Settings!$B$3,Settings!$B$4*IF(O166&lt;&gt;"",O166,IF(H166="",0,H166))))</f>
        <v/>
      </c>
      <c r="U166" s="11">
        <f>IF(AND(C166&lt;&gt;"",M166&lt;&gt;"",OR(H166&lt;&gt;"",O166&lt;&gt;"")),"COMPLETE",IF(OR(C166&lt;&gt;"",M166&lt;&gt;""),"PARTIAL","MISSING"))</f>
        <v/>
      </c>
      <c r="V166" s="11">
        <f>IF(Q166="UNKNOWN","Check fluid description",IF(AND(R166&lt;&gt;"",S166&lt;&gt;""),"Ready for contact screening","Needs TVD + thickness"))</f>
        <v/>
      </c>
    </row>
    <row r="167">
      <c r="A167" s="9" t="n"/>
      <c r="B167" s="9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9" t="n"/>
      <c r="N167" s="9" t="n"/>
      <c r="O167" s="10" t="n"/>
      <c r="P167" s="9" t="n"/>
      <c r="Q167" s="11">
        <f>IF(P167&lt;&gt;"",P167,IF(M167="","UNKNOWN",IF(AND(ISNUMBER(SEARCH("gas",LOWER(M167))),ISNUMBER(SEARCH("water",LOWER(M167)))),"GAS_WATER",IF(AND(ISNUMBER(SEARCH("oil",LOWER(M167))),ISNUMBER(SEARCH("water",LOWER(M167)))),"OIL_WATER",IF(ISNUMBER(SEARCH("gas",LOWER(M167))),"GAS",IF(ISNUMBER(SEARCH("water",LOWER(M167))),"WATER",IF(ISNUMBER(SEARCH("oil",LOWER(M167))),"OIL","UNKNOWN")))))))</f>
        <v/>
      </c>
      <c r="R167" s="12">
        <f>IF(C167="","",C167)</f>
        <v/>
      </c>
      <c r="S167" s="12">
        <f>IF(R167="","",R167+IF(O167&lt;&gt;"",O167,IF(H167="",0,H167)))</f>
        <v/>
      </c>
      <c r="T167" s="12">
        <f>IF(R167="","",MAX(Settings!$B$3,Settings!$B$4*IF(O167&lt;&gt;"",O167,IF(H167="",0,H167))))</f>
        <v/>
      </c>
      <c r="U167" s="11">
        <f>IF(AND(C167&lt;&gt;"",M167&lt;&gt;"",OR(H167&lt;&gt;"",O167&lt;&gt;"")),"COMPLETE",IF(OR(C167&lt;&gt;"",M167&lt;&gt;""),"PARTIAL","MISSING"))</f>
        <v/>
      </c>
      <c r="V167" s="11">
        <f>IF(Q167="UNKNOWN","Check fluid description",IF(AND(R167&lt;&gt;"",S167&lt;&gt;""),"Ready for contact screening","Needs TVD + thickness"))</f>
        <v/>
      </c>
    </row>
    <row r="168">
      <c r="A168" s="9" t="n"/>
      <c r="B168" s="9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9" t="n"/>
      <c r="N168" s="9" t="n"/>
      <c r="O168" s="10" t="n"/>
      <c r="P168" s="9" t="n"/>
      <c r="Q168" s="11">
        <f>IF(P168&lt;&gt;"",P168,IF(M168="","UNKNOWN",IF(AND(ISNUMBER(SEARCH("gas",LOWER(M168))),ISNUMBER(SEARCH("water",LOWER(M168)))),"GAS_WATER",IF(AND(ISNUMBER(SEARCH("oil",LOWER(M168))),ISNUMBER(SEARCH("water",LOWER(M168)))),"OIL_WATER",IF(ISNUMBER(SEARCH("gas",LOWER(M168))),"GAS",IF(ISNUMBER(SEARCH("water",LOWER(M168))),"WATER",IF(ISNUMBER(SEARCH("oil",LOWER(M168))),"OIL","UNKNOWN")))))))</f>
        <v/>
      </c>
      <c r="R168" s="12">
        <f>IF(C168="","",C168)</f>
        <v/>
      </c>
      <c r="S168" s="12">
        <f>IF(R168="","",R168+IF(O168&lt;&gt;"",O168,IF(H168="",0,H168)))</f>
        <v/>
      </c>
      <c r="T168" s="12">
        <f>IF(R168="","",MAX(Settings!$B$3,Settings!$B$4*IF(O168&lt;&gt;"",O168,IF(H168="",0,H168))))</f>
        <v/>
      </c>
      <c r="U168" s="11">
        <f>IF(AND(C168&lt;&gt;"",M168&lt;&gt;"",OR(H168&lt;&gt;"",O168&lt;&gt;"")),"COMPLETE",IF(OR(C168&lt;&gt;"",M168&lt;&gt;""),"PARTIAL","MISSING"))</f>
        <v/>
      </c>
      <c r="V168" s="11">
        <f>IF(Q168="UNKNOWN","Check fluid description",IF(AND(R168&lt;&gt;"",S168&lt;&gt;""),"Ready for contact screening","Needs TVD + thickness"))</f>
        <v/>
      </c>
    </row>
    <row r="169">
      <c r="A169" s="9" t="n"/>
      <c r="B169" s="9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9" t="n"/>
      <c r="N169" s="9" t="n"/>
      <c r="O169" s="10" t="n"/>
      <c r="P169" s="9" t="n"/>
      <c r="Q169" s="11">
        <f>IF(P169&lt;&gt;"",P169,IF(M169="","UNKNOWN",IF(AND(ISNUMBER(SEARCH("gas",LOWER(M169))),ISNUMBER(SEARCH("water",LOWER(M169)))),"GAS_WATER",IF(AND(ISNUMBER(SEARCH("oil",LOWER(M169))),ISNUMBER(SEARCH("water",LOWER(M169)))),"OIL_WATER",IF(ISNUMBER(SEARCH("gas",LOWER(M169))),"GAS",IF(ISNUMBER(SEARCH("water",LOWER(M169))),"WATER",IF(ISNUMBER(SEARCH("oil",LOWER(M169))),"OIL","UNKNOWN")))))))</f>
        <v/>
      </c>
      <c r="R169" s="12">
        <f>IF(C169="","",C169)</f>
        <v/>
      </c>
      <c r="S169" s="12">
        <f>IF(R169="","",R169+IF(O169&lt;&gt;"",O169,IF(H169="",0,H169)))</f>
        <v/>
      </c>
      <c r="T169" s="12">
        <f>IF(R169="","",MAX(Settings!$B$3,Settings!$B$4*IF(O169&lt;&gt;"",O169,IF(H169="",0,H169))))</f>
        <v/>
      </c>
      <c r="U169" s="11">
        <f>IF(AND(C169&lt;&gt;"",M169&lt;&gt;"",OR(H169&lt;&gt;"",O169&lt;&gt;"")),"COMPLETE",IF(OR(C169&lt;&gt;"",M169&lt;&gt;""),"PARTIAL","MISSING"))</f>
        <v/>
      </c>
      <c r="V169" s="11">
        <f>IF(Q169="UNKNOWN","Check fluid description",IF(AND(R169&lt;&gt;"",S169&lt;&gt;""),"Ready for contact screening","Needs TVD + thickness"))</f>
        <v/>
      </c>
    </row>
    <row r="170">
      <c r="A170" s="9" t="n"/>
      <c r="B170" s="9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9" t="n"/>
      <c r="N170" s="9" t="n"/>
      <c r="O170" s="10" t="n"/>
      <c r="P170" s="9" t="n"/>
      <c r="Q170" s="11">
        <f>IF(P170&lt;&gt;"",P170,IF(M170="","UNKNOWN",IF(AND(ISNUMBER(SEARCH("gas",LOWER(M170))),ISNUMBER(SEARCH("water",LOWER(M170)))),"GAS_WATER",IF(AND(ISNUMBER(SEARCH("oil",LOWER(M170))),ISNUMBER(SEARCH("water",LOWER(M170)))),"OIL_WATER",IF(ISNUMBER(SEARCH("gas",LOWER(M170))),"GAS",IF(ISNUMBER(SEARCH("water",LOWER(M170))),"WATER",IF(ISNUMBER(SEARCH("oil",LOWER(M170))),"OIL","UNKNOWN")))))))</f>
        <v/>
      </c>
      <c r="R170" s="12">
        <f>IF(C170="","",C170)</f>
        <v/>
      </c>
      <c r="S170" s="12">
        <f>IF(R170="","",R170+IF(O170&lt;&gt;"",O170,IF(H170="",0,H170)))</f>
        <v/>
      </c>
      <c r="T170" s="12">
        <f>IF(R170="","",MAX(Settings!$B$3,Settings!$B$4*IF(O170&lt;&gt;"",O170,IF(H170="",0,H170))))</f>
        <v/>
      </c>
      <c r="U170" s="11">
        <f>IF(AND(C170&lt;&gt;"",M170&lt;&gt;"",OR(H170&lt;&gt;"",O170&lt;&gt;"")),"COMPLETE",IF(OR(C170&lt;&gt;"",M170&lt;&gt;""),"PARTIAL","MISSING"))</f>
        <v/>
      </c>
      <c r="V170" s="11">
        <f>IF(Q170="UNKNOWN","Check fluid description",IF(AND(R170&lt;&gt;"",S170&lt;&gt;""),"Ready for contact screening","Needs TVD + thickness"))</f>
        <v/>
      </c>
    </row>
    <row r="171">
      <c r="A171" s="9" t="n"/>
      <c r="B171" s="9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9" t="n"/>
      <c r="N171" s="9" t="n"/>
      <c r="O171" s="10" t="n"/>
      <c r="P171" s="9" t="n"/>
      <c r="Q171" s="11">
        <f>IF(P171&lt;&gt;"",P171,IF(M171="","UNKNOWN",IF(AND(ISNUMBER(SEARCH("gas",LOWER(M171))),ISNUMBER(SEARCH("water",LOWER(M171)))),"GAS_WATER",IF(AND(ISNUMBER(SEARCH("oil",LOWER(M171))),ISNUMBER(SEARCH("water",LOWER(M171)))),"OIL_WATER",IF(ISNUMBER(SEARCH("gas",LOWER(M171))),"GAS",IF(ISNUMBER(SEARCH("water",LOWER(M171))),"WATER",IF(ISNUMBER(SEARCH("oil",LOWER(M171))),"OIL","UNKNOWN")))))))</f>
        <v/>
      </c>
      <c r="R171" s="12">
        <f>IF(C171="","",C171)</f>
        <v/>
      </c>
      <c r="S171" s="12">
        <f>IF(R171="","",R171+IF(O171&lt;&gt;"",O171,IF(H171="",0,H171)))</f>
        <v/>
      </c>
      <c r="T171" s="12">
        <f>IF(R171="","",MAX(Settings!$B$3,Settings!$B$4*IF(O171&lt;&gt;"",O171,IF(H171="",0,H171))))</f>
        <v/>
      </c>
      <c r="U171" s="11">
        <f>IF(AND(C171&lt;&gt;"",M171&lt;&gt;"",OR(H171&lt;&gt;"",O171&lt;&gt;"")),"COMPLETE",IF(OR(C171&lt;&gt;"",M171&lt;&gt;""),"PARTIAL","MISSING"))</f>
        <v/>
      </c>
      <c r="V171" s="11">
        <f>IF(Q171="UNKNOWN","Check fluid description",IF(AND(R171&lt;&gt;"",S171&lt;&gt;""),"Ready for contact screening","Needs TVD + thickness"))</f>
        <v/>
      </c>
    </row>
    <row r="172">
      <c r="A172" s="9" t="n"/>
      <c r="B172" s="9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9" t="n"/>
      <c r="N172" s="9" t="n"/>
      <c r="O172" s="10" t="n"/>
      <c r="P172" s="9" t="n"/>
      <c r="Q172" s="11">
        <f>IF(P172&lt;&gt;"",P172,IF(M172="","UNKNOWN",IF(AND(ISNUMBER(SEARCH("gas",LOWER(M172))),ISNUMBER(SEARCH("water",LOWER(M172)))),"GAS_WATER",IF(AND(ISNUMBER(SEARCH("oil",LOWER(M172))),ISNUMBER(SEARCH("water",LOWER(M172)))),"OIL_WATER",IF(ISNUMBER(SEARCH("gas",LOWER(M172))),"GAS",IF(ISNUMBER(SEARCH("water",LOWER(M172))),"WATER",IF(ISNUMBER(SEARCH("oil",LOWER(M172))),"OIL","UNKNOWN")))))))</f>
        <v/>
      </c>
      <c r="R172" s="12">
        <f>IF(C172="","",C172)</f>
        <v/>
      </c>
      <c r="S172" s="12">
        <f>IF(R172="","",R172+IF(O172&lt;&gt;"",O172,IF(H172="",0,H172)))</f>
        <v/>
      </c>
      <c r="T172" s="12">
        <f>IF(R172="","",MAX(Settings!$B$3,Settings!$B$4*IF(O172&lt;&gt;"",O172,IF(H172="",0,H172))))</f>
        <v/>
      </c>
      <c r="U172" s="11">
        <f>IF(AND(C172&lt;&gt;"",M172&lt;&gt;"",OR(H172&lt;&gt;"",O172&lt;&gt;"")),"COMPLETE",IF(OR(C172&lt;&gt;"",M172&lt;&gt;""),"PARTIAL","MISSING"))</f>
        <v/>
      </c>
      <c r="V172" s="11">
        <f>IF(Q172="UNKNOWN","Check fluid description",IF(AND(R172&lt;&gt;"",S172&lt;&gt;""),"Ready for contact screening","Needs TVD + thickness"))</f>
        <v/>
      </c>
    </row>
    <row r="173">
      <c r="A173" s="9" t="n"/>
      <c r="B173" s="9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9" t="n"/>
      <c r="N173" s="9" t="n"/>
      <c r="O173" s="10" t="n"/>
      <c r="P173" s="9" t="n"/>
      <c r="Q173" s="11">
        <f>IF(P173&lt;&gt;"",P173,IF(M173="","UNKNOWN",IF(AND(ISNUMBER(SEARCH("gas",LOWER(M173))),ISNUMBER(SEARCH("water",LOWER(M173)))),"GAS_WATER",IF(AND(ISNUMBER(SEARCH("oil",LOWER(M173))),ISNUMBER(SEARCH("water",LOWER(M173)))),"OIL_WATER",IF(ISNUMBER(SEARCH("gas",LOWER(M173))),"GAS",IF(ISNUMBER(SEARCH("water",LOWER(M173))),"WATER",IF(ISNUMBER(SEARCH("oil",LOWER(M173))),"OIL","UNKNOWN")))))))</f>
        <v/>
      </c>
      <c r="R173" s="12">
        <f>IF(C173="","",C173)</f>
        <v/>
      </c>
      <c r="S173" s="12">
        <f>IF(R173="","",R173+IF(O173&lt;&gt;"",O173,IF(H173="",0,H173)))</f>
        <v/>
      </c>
      <c r="T173" s="12">
        <f>IF(R173="","",MAX(Settings!$B$3,Settings!$B$4*IF(O173&lt;&gt;"",O173,IF(H173="",0,H173))))</f>
        <v/>
      </c>
      <c r="U173" s="11">
        <f>IF(AND(C173&lt;&gt;"",M173&lt;&gt;"",OR(H173&lt;&gt;"",O173&lt;&gt;"")),"COMPLETE",IF(OR(C173&lt;&gt;"",M173&lt;&gt;""),"PARTIAL","MISSING"))</f>
        <v/>
      </c>
      <c r="V173" s="11">
        <f>IF(Q173="UNKNOWN","Check fluid description",IF(AND(R173&lt;&gt;"",S173&lt;&gt;""),"Ready for contact screening","Needs TVD + thickness"))</f>
        <v/>
      </c>
    </row>
    <row r="174">
      <c r="A174" s="9" t="n"/>
      <c r="B174" s="9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9" t="n"/>
      <c r="N174" s="9" t="n"/>
      <c r="O174" s="10" t="n"/>
      <c r="P174" s="9" t="n"/>
      <c r="Q174" s="11">
        <f>IF(P174&lt;&gt;"",P174,IF(M174="","UNKNOWN",IF(AND(ISNUMBER(SEARCH("gas",LOWER(M174))),ISNUMBER(SEARCH("water",LOWER(M174)))),"GAS_WATER",IF(AND(ISNUMBER(SEARCH("oil",LOWER(M174))),ISNUMBER(SEARCH("water",LOWER(M174)))),"OIL_WATER",IF(ISNUMBER(SEARCH("gas",LOWER(M174))),"GAS",IF(ISNUMBER(SEARCH("water",LOWER(M174))),"WATER",IF(ISNUMBER(SEARCH("oil",LOWER(M174))),"OIL","UNKNOWN")))))))</f>
        <v/>
      </c>
      <c r="R174" s="12">
        <f>IF(C174="","",C174)</f>
        <v/>
      </c>
      <c r="S174" s="12">
        <f>IF(R174="","",R174+IF(O174&lt;&gt;"",O174,IF(H174="",0,H174)))</f>
        <v/>
      </c>
      <c r="T174" s="12">
        <f>IF(R174="","",MAX(Settings!$B$3,Settings!$B$4*IF(O174&lt;&gt;"",O174,IF(H174="",0,H174))))</f>
        <v/>
      </c>
      <c r="U174" s="11">
        <f>IF(AND(C174&lt;&gt;"",M174&lt;&gt;"",OR(H174&lt;&gt;"",O174&lt;&gt;"")),"COMPLETE",IF(OR(C174&lt;&gt;"",M174&lt;&gt;""),"PARTIAL","MISSING"))</f>
        <v/>
      </c>
      <c r="V174" s="11">
        <f>IF(Q174="UNKNOWN","Check fluid description",IF(AND(R174&lt;&gt;"",S174&lt;&gt;""),"Ready for contact screening","Needs TVD + thickness"))</f>
        <v/>
      </c>
    </row>
    <row r="175">
      <c r="A175" s="9" t="n"/>
      <c r="B175" s="9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9" t="n"/>
      <c r="N175" s="9" t="n"/>
      <c r="O175" s="10" t="n"/>
      <c r="P175" s="9" t="n"/>
      <c r="Q175" s="11">
        <f>IF(P175&lt;&gt;"",P175,IF(M175="","UNKNOWN",IF(AND(ISNUMBER(SEARCH("gas",LOWER(M175))),ISNUMBER(SEARCH("water",LOWER(M175)))),"GAS_WATER",IF(AND(ISNUMBER(SEARCH("oil",LOWER(M175))),ISNUMBER(SEARCH("water",LOWER(M175)))),"OIL_WATER",IF(ISNUMBER(SEARCH("gas",LOWER(M175))),"GAS",IF(ISNUMBER(SEARCH("water",LOWER(M175))),"WATER",IF(ISNUMBER(SEARCH("oil",LOWER(M175))),"OIL","UNKNOWN")))))))</f>
        <v/>
      </c>
      <c r="R175" s="12">
        <f>IF(C175="","",C175)</f>
        <v/>
      </c>
      <c r="S175" s="12">
        <f>IF(R175="","",R175+IF(O175&lt;&gt;"",O175,IF(H175="",0,H175)))</f>
        <v/>
      </c>
      <c r="T175" s="12">
        <f>IF(R175="","",MAX(Settings!$B$3,Settings!$B$4*IF(O175&lt;&gt;"",O175,IF(H175="",0,H175))))</f>
        <v/>
      </c>
      <c r="U175" s="11">
        <f>IF(AND(C175&lt;&gt;"",M175&lt;&gt;"",OR(H175&lt;&gt;"",O175&lt;&gt;"")),"COMPLETE",IF(OR(C175&lt;&gt;"",M175&lt;&gt;""),"PARTIAL","MISSING"))</f>
        <v/>
      </c>
      <c r="V175" s="11">
        <f>IF(Q175="UNKNOWN","Check fluid description",IF(AND(R175&lt;&gt;"",S175&lt;&gt;""),"Ready for contact screening","Needs TVD + thickness"))</f>
        <v/>
      </c>
    </row>
    <row r="176">
      <c r="A176" s="9" t="n"/>
      <c r="B176" s="9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9" t="n"/>
      <c r="N176" s="9" t="n"/>
      <c r="O176" s="10" t="n"/>
      <c r="P176" s="9" t="n"/>
      <c r="Q176" s="11">
        <f>IF(P176&lt;&gt;"",P176,IF(M176="","UNKNOWN",IF(AND(ISNUMBER(SEARCH("gas",LOWER(M176))),ISNUMBER(SEARCH("water",LOWER(M176)))),"GAS_WATER",IF(AND(ISNUMBER(SEARCH("oil",LOWER(M176))),ISNUMBER(SEARCH("water",LOWER(M176)))),"OIL_WATER",IF(ISNUMBER(SEARCH("gas",LOWER(M176))),"GAS",IF(ISNUMBER(SEARCH("water",LOWER(M176))),"WATER",IF(ISNUMBER(SEARCH("oil",LOWER(M176))),"OIL","UNKNOWN")))))))</f>
        <v/>
      </c>
      <c r="R176" s="12">
        <f>IF(C176="","",C176)</f>
        <v/>
      </c>
      <c r="S176" s="12">
        <f>IF(R176="","",R176+IF(O176&lt;&gt;"",O176,IF(H176="",0,H176)))</f>
        <v/>
      </c>
      <c r="T176" s="12">
        <f>IF(R176="","",MAX(Settings!$B$3,Settings!$B$4*IF(O176&lt;&gt;"",O176,IF(H176="",0,H176))))</f>
        <v/>
      </c>
      <c r="U176" s="11">
        <f>IF(AND(C176&lt;&gt;"",M176&lt;&gt;"",OR(H176&lt;&gt;"",O176&lt;&gt;"")),"COMPLETE",IF(OR(C176&lt;&gt;"",M176&lt;&gt;""),"PARTIAL","MISSING"))</f>
        <v/>
      </c>
      <c r="V176" s="11">
        <f>IF(Q176="UNKNOWN","Check fluid description",IF(AND(R176&lt;&gt;"",S176&lt;&gt;""),"Ready for contact screening","Needs TVD + thickness"))</f>
        <v/>
      </c>
    </row>
    <row r="177">
      <c r="A177" s="9" t="n"/>
      <c r="B177" s="9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9" t="n"/>
      <c r="N177" s="9" t="n"/>
      <c r="O177" s="10" t="n"/>
      <c r="P177" s="9" t="n"/>
      <c r="Q177" s="11">
        <f>IF(P177&lt;&gt;"",P177,IF(M177="","UNKNOWN",IF(AND(ISNUMBER(SEARCH("gas",LOWER(M177))),ISNUMBER(SEARCH("water",LOWER(M177)))),"GAS_WATER",IF(AND(ISNUMBER(SEARCH("oil",LOWER(M177))),ISNUMBER(SEARCH("water",LOWER(M177)))),"OIL_WATER",IF(ISNUMBER(SEARCH("gas",LOWER(M177))),"GAS",IF(ISNUMBER(SEARCH("water",LOWER(M177))),"WATER",IF(ISNUMBER(SEARCH("oil",LOWER(M177))),"OIL","UNKNOWN")))))))</f>
        <v/>
      </c>
      <c r="R177" s="12">
        <f>IF(C177="","",C177)</f>
        <v/>
      </c>
      <c r="S177" s="12">
        <f>IF(R177="","",R177+IF(O177&lt;&gt;"",O177,IF(H177="",0,H177)))</f>
        <v/>
      </c>
      <c r="T177" s="12">
        <f>IF(R177="","",MAX(Settings!$B$3,Settings!$B$4*IF(O177&lt;&gt;"",O177,IF(H177="",0,H177))))</f>
        <v/>
      </c>
      <c r="U177" s="11">
        <f>IF(AND(C177&lt;&gt;"",M177&lt;&gt;"",OR(H177&lt;&gt;"",O177&lt;&gt;"")),"COMPLETE",IF(OR(C177&lt;&gt;"",M177&lt;&gt;""),"PARTIAL","MISSING"))</f>
        <v/>
      </c>
      <c r="V177" s="11">
        <f>IF(Q177="UNKNOWN","Check fluid description",IF(AND(R177&lt;&gt;"",S177&lt;&gt;""),"Ready for contact screening","Needs TVD + thickness"))</f>
        <v/>
      </c>
    </row>
    <row r="178">
      <c r="A178" s="9" t="n"/>
      <c r="B178" s="9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9" t="n"/>
      <c r="N178" s="9" t="n"/>
      <c r="O178" s="10" t="n"/>
      <c r="P178" s="9" t="n"/>
      <c r="Q178" s="11">
        <f>IF(P178&lt;&gt;"",P178,IF(M178="","UNKNOWN",IF(AND(ISNUMBER(SEARCH("gas",LOWER(M178))),ISNUMBER(SEARCH("water",LOWER(M178)))),"GAS_WATER",IF(AND(ISNUMBER(SEARCH("oil",LOWER(M178))),ISNUMBER(SEARCH("water",LOWER(M178)))),"OIL_WATER",IF(ISNUMBER(SEARCH("gas",LOWER(M178))),"GAS",IF(ISNUMBER(SEARCH("water",LOWER(M178))),"WATER",IF(ISNUMBER(SEARCH("oil",LOWER(M178))),"OIL","UNKNOWN")))))))</f>
        <v/>
      </c>
      <c r="R178" s="12">
        <f>IF(C178="","",C178)</f>
        <v/>
      </c>
      <c r="S178" s="12">
        <f>IF(R178="","",R178+IF(O178&lt;&gt;"",O178,IF(H178="",0,H178)))</f>
        <v/>
      </c>
      <c r="T178" s="12">
        <f>IF(R178="","",MAX(Settings!$B$3,Settings!$B$4*IF(O178&lt;&gt;"",O178,IF(H178="",0,H178))))</f>
        <v/>
      </c>
      <c r="U178" s="11">
        <f>IF(AND(C178&lt;&gt;"",M178&lt;&gt;"",OR(H178&lt;&gt;"",O178&lt;&gt;"")),"COMPLETE",IF(OR(C178&lt;&gt;"",M178&lt;&gt;""),"PARTIAL","MISSING"))</f>
        <v/>
      </c>
      <c r="V178" s="11">
        <f>IF(Q178="UNKNOWN","Check fluid description",IF(AND(R178&lt;&gt;"",S178&lt;&gt;""),"Ready for contact screening","Needs TVD + thickness"))</f>
        <v/>
      </c>
    </row>
    <row r="179">
      <c r="A179" s="9" t="n"/>
      <c r="B179" s="9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9" t="n"/>
      <c r="N179" s="9" t="n"/>
      <c r="O179" s="10" t="n"/>
      <c r="P179" s="9" t="n"/>
      <c r="Q179" s="11">
        <f>IF(P179&lt;&gt;"",P179,IF(M179="","UNKNOWN",IF(AND(ISNUMBER(SEARCH("gas",LOWER(M179))),ISNUMBER(SEARCH("water",LOWER(M179)))),"GAS_WATER",IF(AND(ISNUMBER(SEARCH("oil",LOWER(M179))),ISNUMBER(SEARCH("water",LOWER(M179)))),"OIL_WATER",IF(ISNUMBER(SEARCH("gas",LOWER(M179))),"GAS",IF(ISNUMBER(SEARCH("water",LOWER(M179))),"WATER",IF(ISNUMBER(SEARCH("oil",LOWER(M179))),"OIL","UNKNOWN")))))))</f>
        <v/>
      </c>
      <c r="R179" s="12">
        <f>IF(C179="","",C179)</f>
        <v/>
      </c>
      <c r="S179" s="12">
        <f>IF(R179="","",R179+IF(O179&lt;&gt;"",O179,IF(H179="",0,H179)))</f>
        <v/>
      </c>
      <c r="T179" s="12">
        <f>IF(R179="","",MAX(Settings!$B$3,Settings!$B$4*IF(O179&lt;&gt;"",O179,IF(H179="",0,H179))))</f>
        <v/>
      </c>
      <c r="U179" s="11">
        <f>IF(AND(C179&lt;&gt;"",M179&lt;&gt;"",OR(H179&lt;&gt;"",O179&lt;&gt;"")),"COMPLETE",IF(OR(C179&lt;&gt;"",M179&lt;&gt;""),"PARTIAL","MISSING"))</f>
        <v/>
      </c>
      <c r="V179" s="11">
        <f>IF(Q179="UNKNOWN","Check fluid description",IF(AND(R179&lt;&gt;"",S179&lt;&gt;""),"Ready for contact screening","Needs TVD + thickness"))</f>
        <v/>
      </c>
    </row>
    <row r="180">
      <c r="A180" s="9" t="n"/>
      <c r="B180" s="9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9" t="n"/>
      <c r="N180" s="9" t="n"/>
      <c r="O180" s="10" t="n"/>
      <c r="P180" s="9" t="n"/>
      <c r="Q180" s="11">
        <f>IF(P180&lt;&gt;"",P180,IF(M180="","UNKNOWN",IF(AND(ISNUMBER(SEARCH("gas",LOWER(M180))),ISNUMBER(SEARCH("water",LOWER(M180)))),"GAS_WATER",IF(AND(ISNUMBER(SEARCH("oil",LOWER(M180))),ISNUMBER(SEARCH("water",LOWER(M180)))),"OIL_WATER",IF(ISNUMBER(SEARCH("gas",LOWER(M180))),"GAS",IF(ISNUMBER(SEARCH("water",LOWER(M180))),"WATER",IF(ISNUMBER(SEARCH("oil",LOWER(M180))),"OIL","UNKNOWN")))))))</f>
        <v/>
      </c>
      <c r="R180" s="12">
        <f>IF(C180="","",C180)</f>
        <v/>
      </c>
      <c r="S180" s="12">
        <f>IF(R180="","",R180+IF(O180&lt;&gt;"",O180,IF(H180="",0,H180)))</f>
        <v/>
      </c>
      <c r="T180" s="12">
        <f>IF(R180="","",MAX(Settings!$B$3,Settings!$B$4*IF(O180&lt;&gt;"",O180,IF(H180="",0,H180))))</f>
        <v/>
      </c>
      <c r="U180" s="11">
        <f>IF(AND(C180&lt;&gt;"",M180&lt;&gt;"",OR(H180&lt;&gt;"",O180&lt;&gt;"")),"COMPLETE",IF(OR(C180&lt;&gt;"",M180&lt;&gt;""),"PARTIAL","MISSING"))</f>
        <v/>
      </c>
      <c r="V180" s="11">
        <f>IF(Q180="UNKNOWN","Check fluid description",IF(AND(R180&lt;&gt;"",S180&lt;&gt;""),"Ready for contact screening","Needs TVD + thickness"))</f>
        <v/>
      </c>
    </row>
    <row r="181">
      <c r="A181" s="9" t="n"/>
      <c r="B181" s="9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9" t="n"/>
      <c r="N181" s="9" t="n"/>
      <c r="O181" s="10" t="n"/>
      <c r="P181" s="9" t="n"/>
      <c r="Q181" s="11">
        <f>IF(P181&lt;&gt;"",P181,IF(M181="","UNKNOWN",IF(AND(ISNUMBER(SEARCH("gas",LOWER(M181))),ISNUMBER(SEARCH("water",LOWER(M181)))),"GAS_WATER",IF(AND(ISNUMBER(SEARCH("oil",LOWER(M181))),ISNUMBER(SEARCH("water",LOWER(M181)))),"OIL_WATER",IF(ISNUMBER(SEARCH("gas",LOWER(M181))),"GAS",IF(ISNUMBER(SEARCH("water",LOWER(M181))),"WATER",IF(ISNUMBER(SEARCH("oil",LOWER(M181))),"OIL","UNKNOWN")))))))</f>
        <v/>
      </c>
      <c r="R181" s="12">
        <f>IF(C181="","",C181)</f>
        <v/>
      </c>
      <c r="S181" s="12">
        <f>IF(R181="","",R181+IF(O181&lt;&gt;"",O181,IF(H181="",0,H181)))</f>
        <v/>
      </c>
      <c r="T181" s="12">
        <f>IF(R181="","",MAX(Settings!$B$3,Settings!$B$4*IF(O181&lt;&gt;"",O181,IF(H181="",0,H181))))</f>
        <v/>
      </c>
      <c r="U181" s="11">
        <f>IF(AND(C181&lt;&gt;"",M181&lt;&gt;"",OR(H181&lt;&gt;"",O181&lt;&gt;"")),"COMPLETE",IF(OR(C181&lt;&gt;"",M181&lt;&gt;""),"PARTIAL","MISSING"))</f>
        <v/>
      </c>
      <c r="V181" s="11">
        <f>IF(Q181="UNKNOWN","Check fluid description",IF(AND(R181&lt;&gt;"",S181&lt;&gt;""),"Ready for contact screening","Needs TVD + thickness"))</f>
        <v/>
      </c>
    </row>
    <row r="182">
      <c r="A182" s="9" t="n"/>
      <c r="B182" s="9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9" t="n"/>
      <c r="N182" s="9" t="n"/>
      <c r="O182" s="10" t="n"/>
      <c r="P182" s="9" t="n"/>
      <c r="Q182" s="11">
        <f>IF(P182&lt;&gt;"",P182,IF(M182="","UNKNOWN",IF(AND(ISNUMBER(SEARCH("gas",LOWER(M182))),ISNUMBER(SEARCH("water",LOWER(M182)))),"GAS_WATER",IF(AND(ISNUMBER(SEARCH("oil",LOWER(M182))),ISNUMBER(SEARCH("water",LOWER(M182)))),"OIL_WATER",IF(ISNUMBER(SEARCH("gas",LOWER(M182))),"GAS",IF(ISNUMBER(SEARCH("water",LOWER(M182))),"WATER",IF(ISNUMBER(SEARCH("oil",LOWER(M182))),"OIL","UNKNOWN")))))))</f>
        <v/>
      </c>
      <c r="R182" s="12">
        <f>IF(C182="","",C182)</f>
        <v/>
      </c>
      <c r="S182" s="12">
        <f>IF(R182="","",R182+IF(O182&lt;&gt;"",O182,IF(H182="",0,H182)))</f>
        <v/>
      </c>
      <c r="T182" s="12">
        <f>IF(R182="","",MAX(Settings!$B$3,Settings!$B$4*IF(O182&lt;&gt;"",O182,IF(H182="",0,H182))))</f>
        <v/>
      </c>
      <c r="U182" s="11">
        <f>IF(AND(C182&lt;&gt;"",M182&lt;&gt;"",OR(H182&lt;&gt;"",O182&lt;&gt;"")),"COMPLETE",IF(OR(C182&lt;&gt;"",M182&lt;&gt;""),"PARTIAL","MISSING"))</f>
        <v/>
      </c>
      <c r="V182" s="11">
        <f>IF(Q182="UNKNOWN","Check fluid description",IF(AND(R182&lt;&gt;"",S182&lt;&gt;""),"Ready for contact screening","Needs TVD + thickness"))</f>
        <v/>
      </c>
    </row>
    <row r="183">
      <c r="A183" s="9" t="n"/>
      <c r="B183" s="9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9" t="n"/>
      <c r="N183" s="9" t="n"/>
      <c r="O183" s="10" t="n"/>
      <c r="P183" s="9" t="n"/>
      <c r="Q183" s="11">
        <f>IF(P183&lt;&gt;"",P183,IF(M183="","UNKNOWN",IF(AND(ISNUMBER(SEARCH("gas",LOWER(M183))),ISNUMBER(SEARCH("water",LOWER(M183)))),"GAS_WATER",IF(AND(ISNUMBER(SEARCH("oil",LOWER(M183))),ISNUMBER(SEARCH("water",LOWER(M183)))),"OIL_WATER",IF(ISNUMBER(SEARCH("gas",LOWER(M183))),"GAS",IF(ISNUMBER(SEARCH("water",LOWER(M183))),"WATER",IF(ISNUMBER(SEARCH("oil",LOWER(M183))),"OIL","UNKNOWN")))))))</f>
        <v/>
      </c>
      <c r="R183" s="12">
        <f>IF(C183="","",C183)</f>
        <v/>
      </c>
      <c r="S183" s="12">
        <f>IF(R183="","",R183+IF(O183&lt;&gt;"",O183,IF(H183="",0,H183)))</f>
        <v/>
      </c>
      <c r="T183" s="12">
        <f>IF(R183="","",MAX(Settings!$B$3,Settings!$B$4*IF(O183&lt;&gt;"",O183,IF(H183="",0,H183))))</f>
        <v/>
      </c>
      <c r="U183" s="11">
        <f>IF(AND(C183&lt;&gt;"",M183&lt;&gt;"",OR(H183&lt;&gt;"",O183&lt;&gt;"")),"COMPLETE",IF(OR(C183&lt;&gt;"",M183&lt;&gt;""),"PARTIAL","MISSING"))</f>
        <v/>
      </c>
      <c r="V183" s="11">
        <f>IF(Q183="UNKNOWN","Check fluid description",IF(AND(R183&lt;&gt;"",S183&lt;&gt;""),"Ready for contact screening","Needs TVD + thickness"))</f>
        <v/>
      </c>
    </row>
    <row r="184">
      <c r="A184" s="9" t="n"/>
      <c r="B184" s="9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9" t="n"/>
      <c r="N184" s="9" t="n"/>
      <c r="O184" s="10" t="n"/>
      <c r="P184" s="9" t="n"/>
      <c r="Q184" s="11">
        <f>IF(P184&lt;&gt;"",P184,IF(M184="","UNKNOWN",IF(AND(ISNUMBER(SEARCH("gas",LOWER(M184))),ISNUMBER(SEARCH("water",LOWER(M184)))),"GAS_WATER",IF(AND(ISNUMBER(SEARCH("oil",LOWER(M184))),ISNUMBER(SEARCH("water",LOWER(M184)))),"OIL_WATER",IF(ISNUMBER(SEARCH("gas",LOWER(M184))),"GAS",IF(ISNUMBER(SEARCH("water",LOWER(M184))),"WATER",IF(ISNUMBER(SEARCH("oil",LOWER(M184))),"OIL","UNKNOWN")))))))</f>
        <v/>
      </c>
      <c r="R184" s="12">
        <f>IF(C184="","",C184)</f>
        <v/>
      </c>
      <c r="S184" s="12">
        <f>IF(R184="","",R184+IF(O184&lt;&gt;"",O184,IF(H184="",0,H184)))</f>
        <v/>
      </c>
      <c r="T184" s="12">
        <f>IF(R184="","",MAX(Settings!$B$3,Settings!$B$4*IF(O184&lt;&gt;"",O184,IF(H184="",0,H184))))</f>
        <v/>
      </c>
      <c r="U184" s="11">
        <f>IF(AND(C184&lt;&gt;"",M184&lt;&gt;"",OR(H184&lt;&gt;"",O184&lt;&gt;"")),"COMPLETE",IF(OR(C184&lt;&gt;"",M184&lt;&gt;""),"PARTIAL","MISSING"))</f>
        <v/>
      </c>
      <c r="V184" s="11">
        <f>IF(Q184="UNKNOWN","Check fluid description",IF(AND(R184&lt;&gt;"",S184&lt;&gt;""),"Ready for contact screening","Needs TVD + thickness"))</f>
        <v/>
      </c>
    </row>
    <row r="185">
      <c r="A185" s="9" t="n"/>
      <c r="B185" s="9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9" t="n"/>
      <c r="N185" s="9" t="n"/>
      <c r="O185" s="10" t="n"/>
      <c r="P185" s="9" t="n"/>
      <c r="Q185" s="11">
        <f>IF(P185&lt;&gt;"",P185,IF(M185="","UNKNOWN",IF(AND(ISNUMBER(SEARCH("gas",LOWER(M185))),ISNUMBER(SEARCH("water",LOWER(M185)))),"GAS_WATER",IF(AND(ISNUMBER(SEARCH("oil",LOWER(M185))),ISNUMBER(SEARCH("water",LOWER(M185)))),"OIL_WATER",IF(ISNUMBER(SEARCH("gas",LOWER(M185))),"GAS",IF(ISNUMBER(SEARCH("water",LOWER(M185))),"WATER",IF(ISNUMBER(SEARCH("oil",LOWER(M185))),"OIL","UNKNOWN")))))))</f>
        <v/>
      </c>
      <c r="R185" s="12">
        <f>IF(C185="","",C185)</f>
        <v/>
      </c>
      <c r="S185" s="12">
        <f>IF(R185="","",R185+IF(O185&lt;&gt;"",O185,IF(H185="",0,H185)))</f>
        <v/>
      </c>
      <c r="T185" s="12">
        <f>IF(R185="","",MAX(Settings!$B$3,Settings!$B$4*IF(O185&lt;&gt;"",O185,IF(H185="",0,H185))))</f>
        <v/>
      </c>
      <c r="U185" s="11">
        <f>IF(AND(C185&lt;&gt;"",M185&lt;&gt;"",OR(H185&lt;&gt;"",O185&lt;&gt;"")),"COMPLETE",IF(OR(C185&lt;&gt;"",M185&lt;&gt;""),"PARTIAL","MISSING"))</f>
        <v/>
      </c>
      <c r="V185" s="11">
        <f>IF(Q185="UNKNOWN","Check fluid description",IF(AND(R185&lt;&gt;"",S185&lt;&gt;""),"Ready for contact screening","Needs TVD + thickness"))</f>
        <v/>
      </c>
    </row>
    <row r="186">
      <c r="A186" s="9" t="n"/>
      <c r="B186" s="9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9" t="n"/>
      <c r="N186" s="9" t="n"/>
      <c r="O186" s="10" t="n"/>
      <c r="P186" s="9" t="n"/>
      <c r="Q186" s="11">
        <f>IF(P186&lt;&gt;"",P186,IF(M186="","UNKNOWN",IF(AND(ISNUMBER(SEARCH("gas",LOWER(M186))),ISNUMBER(SEARCH("water",LOWER(M186)))),"GAS_WATER",IF(AND(ISNUMBER(SEARCH("oil",LOWER(M186))),ISNUMBER(SEARCH("water",LOWER(M186)))),"OIL_WATER",IF(ISNUMBER(SEARCH("gas",LOWER(M186))),"GAS",IF(ISNUMBER(SEARCH("water",LOWER(M186))),"WATER",IF(ISNUMBER(SEARCH("oil",LOWER(M186))),"OIL","UNKNOWN")))))))</f>
        <v/>
      </c>
      <c r="R186" s="12">
        <f>IF(C186="","",C186)</f>
        <v/>
      </c>
      <c r="S186" s="12">
        <f>IF(R186="","",R186+IF(O186&lt;&gt;"",O186,IF(H186="",0,H186)))</f>
        <v/>
      </c>
      <c r="T186" s="12">
        <f>IF(R186="","",MAX(Settings!$B$3,Settings!$B$4*IF(O186&lt;&gt;"",O186,IF(H186="",0,H186))))</f>
        <v/>
      </c>
      <c r="U186" s="11">
        <f>IF(AND(C186&lt;&gt;"",M186&lt;&gt;"",OR(H186&lt;&gt;"",O186&lt;&gt;"")),"COMPLETE",IF(OR(C186&lt;&gt;"",M186&lt;&gt;""),"PARTIAL","MISSING"))</f>
        <v/>
      </c>
      <c r="V186" s="11">
        <f>IF(Q186="UNKNOWN","Check fluid description",IF(AND(R186&lt;&gt;"",S186&lt;&gt;""),"Ready for contact screening","Needs TVD + thickness"))</f>
        <v/>
      </c>
    </row>
    <row r="187">
      <c r="A187" s="9" t="n"/>
      <c r="B187" s="9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9" t="n"/>
      <c r="N187" s="9" t="n"/>
      <c r="O187" s="10" t="n"/>
      <c r="P187" s="9" t="n"/>
      <c r="Q187" s="11">
        <f>IF(P187&lt;&gt;"",P187,IF(M187="","UNKNOWN",IF(AND(ISNUMBER(SEARCH("gas",LOWER(M187))),ISNUMBER(SEARCH("water",LOWER(M187)))),"GAS_WATER",IF(AND(ISNUMBER(SEARCH("oil",LOWER(M187))),ISNUMBER(SEARCH("water",LOWER(M187)))),"OIL_WATER",IF(ISNUMBER(SEARCH("gas",LOWER(M187))),"GAS",IF(ISNUMBER(SEARCH("water",LOWER(M187))),"WATER",IF(ISNUMBER(SEARCH("oil",LOWER(M187))),"OIL","UNKNOWN")))))))</f>
        <v/>
      </c>
      <c r="R187" s="12">
        <f>IF(C187="","",C187)</f>
        <v/>
      </c>
      <c r="S187" s="12">
        <f>IF(R187="","",R187+IF(O187&lt;&gt;"",O187,IF(H187="",0,H187)))</f>
        <v/>
      </c>
      <c r="T187" s="12">
        <f>IF(R187="","",MAX(Settings!$B$3,Settings!$B$4*IF(O187&lt;&gt;"",O187,IF(H187="",0,H187))))</f>
        <v/>
      </c>
      <c r="U187" s="11">
        <f>IF(AND(C187&lt;&gt;"",M187&lt;&gt;"",OR(H187&lt;&gt;"",O187&lt;&gt;"")),"COMPLETE",IF(OR(C187&lt;&gt;"",M187&lt;&gt;""),"PARTIAL","MISSING"))</f>
        <v/>
      </c>
      <c r="V187" s="11">
        <f>IF(Q187="UNKNOWN","Check fluid description",IF(AND(R187&lt;&gt;"",S187&lt;&gt;""),"Ready for contact screening","Needs TVD + thickness"))</f>
        <v/>
      </c>
    </row>
    <row r="188">
      <c r="A188" s="9" t="n"/>
      <c r="B188" s="9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9" t="n"/>
      <c r="N188" s="9" t="n"/>
      <c r="O188" s="10" t="n"/>
      <c r="P188" s="9" t="n"/>
      <c r="Q188" s="11">
        <f>IF(P188&lt;&gt;"",P188,IF(M188="","UNKNOWN",IF(AND(ISNUMBER(SEARCH("gas",LOWER(M188))),ISNUMBER(SEARCH("water",LOWER(M188)))),"GAS_WATER",IF(AND(ISNUMBER(SEARCH("oil",LOWER(M188))),ISNUMBER(SEARCH("water",LOWER(M188)))),"OIL_WATER",IF(ISNUMBER(SEARCH("gas",LOWER(M188))),"GAS",IF(ISNUMBER(SEARCH("water",LOWER(M188))),"WATER",IF(ISNUMBER(SEARCH("oil",LOWER(M188))),"OIL","UNKNOWN")))))))</f>
        <v/>
      </c>
      <c r="R188" s="12">
        <f>IF(C188="","",C188)</f>
        <v/>
      </c>
      <c r="S188" s="12">
        <f>IF(R188="","",R188+IF(O188&lt;&gt;"",O188,IF(H188="",0,H188)))</f>
        <v/>
      </c>
      <c r="T188" s="12">
        <f>IF(R188="","",MAX(Settings!$B$3,Settings!$B$4*IF(O188&lt;&gt;"",O188,IF(H188="",0,H188))))</f>
        <v/>
      </c>
      <c r="U188" s="11">
        <f>IF(AND(C188&lt;&gt;"",M188&lt;&gt;"",OR(H188&lt;&gt;"",O188&lt;&gt;"")),"COMPLETE",IF(OR(C188&lt;&gt;"",M188&lt;&gt;""),"PARTIAL","MISSING"))</f>
        <v/>
      </c>
      <c r="V188" s="11">
        <f>IF(Q188="UNKNOWN","Check fluid description",IF(AND(R188&lt;&gt;"",S188&lt;&gt;""),"Ready for contact screening","Needs TVD + thickness"))</f>
        <v/>
      </c>
    </row>
    <row r="189">
      <c r="A189" s="9" t="n"/>
      <c r="B189" s="9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9" t="n"/>
      <c r="N189" s="9" t="n"/>
      <c r="O189" s="10" t="n"/>
      <c r="P189" s="9" t="n"/>
      <c r="Q189" s="11">
        <f>IF(P189&lt;&gt;"",P189,IF(M189="","UNKNOWN",IF(AND(ISNUMBER(SEARCH("gas",LOWER(M189))),ISNUMBER(SEARCH("water",LOWER(M189)))),"GAS_WATER",IF(AND(ISNUMBER(SEARCH("oil",LOWER(M189))),ISNUMBER(SEARCH("water",LOWER(M189)))),"OIL_WATER",IF(ISNUMBER(SEARCH("gas",LOWER(M189))),"GAS",IF(ISNUMBER(SEARCH("water",LOWER(M189))),"WATER",IF(ISNUMBER(SEARCH("oil",LOWER(M189))),"OIL","UNKNOWN")))))))</f>
        <v/>
      </c>
      <c r="R189" s="12">
        <f>IF(C189="","",C189)</f>
        <v/>
      </c>
      <c r="S189" s="12">
        <f>IF(R189="","",R189+IF(O189&lt;&gt;"",O189,IF(H189="",0,H189)))</f>
        <v/>
      </c>
      <c r="T189" s="12">
        <f>IF(R189="","",MAX(Settings!$B$3,Settings!$B$4*IF(O189&lt;&gt;"",O189,IF(H189="",0,H189))))</f>
        <v/>
      </c>
      <c r="U189" s="11">
        <f>IF(AND(C189&lt;&gt;"",M189&lt;&gt;"",OR(H189&lt;&gt;"",O189&lt;&gt;"")),"COMPLETE",IF(OR(C189&lt;&gt;"",M189&lt;&gt;""),"PARTIAL","MISSING"))</f>
        <v/>
      </c>
      <c r="V189" s="11">
        <f>IF(Q189="UNKNOWN","Check fluid description",IF(AND(R189&lt;&gt;"",S189&lt;&gt;""),"Ready for contact screening","Needs TVD + thickness"))</f>
        <v/>
      </c>
    </row>
    <row r="190">
      <c r="A190" s="9" t="n"/>
      <c r="B190" s="9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9" t="n"/>
      <c r="N190" s="9" t="n"/>
      <c r="O190" s="10" t="n"/>
      <c r="P190" s="9" t="n"/>
      <c r="Q190" s="11">
        <f>IF(P190&lt;&gt;"",P190,IF(M190="","UNKNOWN",IF(AND(ISNUMBER(SEARCH("gas",LOWER(M190))),ISNUMBER(SEARCH("water",LOWER(M190)))),"GAS_WATER",IF(AND(ISNUMBER(SEARCH("oil",LOWER(M190))),ISNUMBER(SEARCH("water",LOWER(M190)))),"OIL_WATER",IF(ISNUMBER(SEARCH("gas",LOWER(M190))),"GAS",IF(ISNUMBER(SEARCH("water",LOWER(M190))),"WATER",IF(ISNUMBER(SEARCH("oil",LOWER(M190))),"OIL","UNKNOWN")))))))</f>
        <v/>
      </c>
      <c r="R190" s="12">
        <f>IF(C190="","",C190)</f>
        <v/>
      </c>
      <c r="S190" s="12">
        <f>IF(R190="","",R190+IF(O190&lt;&gt;"",O190,IF(H190="",0,H190)))</f>
        <v/>
      </c>
      <c r="T190" s="12">
        <f>IF(R190="","",MAX(Settings!$B$3,Settings!$B$4*IF(O190&lt;&gt;"",O190,IF(H190="",0,H190))))</f>
        <v/>
      </c>
      <c r="U190" s="11">
        <f>IF(AND(C190&lt;&gt;"",M190&lt;&gt;"",OR(H190&lt;&gt;"",O190&lt;&gt;"")),"COMPLETE",IF(OR(C190&lt;&gt;"",M190&lt;&gt;""),"PARTIAL","MISSING"))</f>
        <v/>
      </c>
      <c r="V190" s="11">
        <f>IF(Q190="UNKNOWN","Check fluid description",IF(AND(R190&lt;&gt;"",S190&lt;&gt;""),"Ready for contact screening","Needs TVD + thickness"))</f>
        <v/>
      </c>
    </row>
    <row r="191">
      <c r="A191" s="9" t="n"/>
      <c r="B191" s="9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9" t="n"/>
      <c r="N191" s="9" t="n"/>
      <c r="O191" s="10" t="n"/>
      <c r="P191" s="9" t="n"/>
      <c r="Q191" s="11">
        <f>IF(P191&lt;&gt;"",P191,IF(M191="","UNKNOWN",IF(AND(ISNUMBER(SEARCH("gas",LOWER(M191))),ISNUMBER(SEARCH("water",LOWER(M191)))),"GAS_WATER",IF(AND(ISNUMBER(SEARCH("oil",LOWER(M191))),ISNUMBER(SEARCH("water",LOWER(M191)))),"OIL_WATER",IF(ISNUMBER(SEARCH("gas",LOWER(M191))),"GAS",IF(ISNUMBER(SEARCH("water",LOWER(M191))),"WATER",IF(ISNUMBER(SEARCH("oil",LOWER(M191))),"OIL","UNKNOWN")))))))</f>
        <v/>
      </c>
      <c r="R191" s="12">
        <f>IF(C191="","",C191)</f>
        <v/>
      </c>
      <c r="S191" s="12">
        <f>IF(R191="","",R191+IF(O191&lt;&gt;"",O191,IF(H191="",0,H191)))</f>
        <v/>
      </c>
      <c r="T191" s="12">
        <f>IF(R191="","",MAX(Settings!$B$3,Settings!$B$4*IF(O191&lt;&gt;"",O191,IF(H191="",0,H191))))</f>
        <v/>
      </c>
      <c r="U191" s="11">
        <f>IF(AND(C191&lt;&gt;"",M191&lt;&gt;"",OR(H191&lt;&gt;"",O191&lt;&gt;"")),"COMPLETE",IF(OR(C191&lt;&gt;"",M191&lt;&gt;""),"PARTIAL","MISSING"))</f>
        <v/>
      </c>
      <c r="V191" s="11">
        <f>IF(Q191="UNKNOWN","Check fluid description",IF(AND(R191&lt;&gt;"",S191&lt;&gt;""),"Ready for contact screening","Needs TVD + thickness"))</f>
        <v/>
      </c>
    </row>
    <row r="192">
      <c r="A192" s="9" t="n"/>
      <c r="B192" s="9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9" t="n"/>
      <c r="N192" s="9" t="n"/>
      <c r="O192" s="10" t="n"/>
      <c r="P192" s="9" t="n"/>
      <c r="Q192" s="11">
        <f>IF(P192&lt;&gt;"",P192,IF(M192="","UNKNOWN",IF(AND(ISNUMBER(SEARCH("gas",LOWER(M192))),ISNUMBER(SEARCH("water",LOWER(M192)))),"GAS_WATER",IF(AND(ISNUMBER(SEARCH("oil",LOWER(M192))),ISNUMBER(SEARCH("water",LOWER(M192)))),"OIL_WATER",IF(ISNUMBER(SEARCH("gas",LOWER(M192))),"GAS",IF(ISNUMBER(SEARCH("water",LOWER(M192))),"WATER",IF(ISNUMBER(SEARCH("oil",LOWER(M192))),"OIL","UNKNOWN")))))))</f>
        <v/>
      </c>
      <c r="R192" s="12">
        <f>IF(C192="","",C192)</f>
        <v/>
      </c>
      <c r="S192" s="12">
        <f>IF(R192="","",R192+IF(O192&lt;&gt;"",O192,IF(H192="",0,H192)))</f>
        <v/>
      </c>
      <c r="T192" s="12">
        <f>IF(R192="","",MAX(Settings!$B$3,Settings!$B$4*IF(O192&lt;&gt;"",O192,IF(H192="",0,H192))))</f>
        <v/>
      </c>
      <c r="U192" s="11">
        <f>IF(AND(C192&lt;&gt;"",M192&lt;&gt;"",OR(H192&lt;&gt;"",O192&lt;&gt;"")),"COMPLETE",IF(OR(C192&lt;&gt;"",M192&lt;&gt;""),"PARTIAL","MISSING"))</f>
        <v/>
      </c>
      <c r="V192" s="11">
        <f>IF(Q192="UNKNOWN","Check fluid description",IF(AND(R192&lt;&gt;"",S192&lt;&gt;""),"Ready for contact screening","Needs TVD + thickness"))</f>
        <v/>
      </c>
    </row>
    <row r="193">
      <c r="A193" s="9" t="n"/>
      <c r="B193" s="9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9" t="n"/>
      <c r="N193" s="9" t="n"/>
      <c r="O193" s="10" t="n"/>
      <c r="P193" s="9" t="n"/>
      <c r="Q193" s="11">
        <f>IF(P193&lt;&gt;"",P193,IF(M193="","UNKNOWN",IF(AND(ISNUMBER(SEARCH("gas",LOWER(M193))),ISNUMBER(SEARCH("water",LOWER(M193)))),"GAS_WATER",IF(AND(ISNUMBER(SEARCH("oil",LOWER(M193))),ISNUMBER(SEARCH("water",LOWER(M193)))),"OIL_WATER",IF(ISNUMBER(SEARCH("gas",LOWER(M193))),"GAS",IF(ISNUMBER(SEARCH("water",LOWER(M193))),"WATER",IF(ISNUMBER(SEARCH("oil",LOWER(M193))),"OIL","UNKNOWN")))))))</f>
        <v/>
      </c>
      <c r="R193" s="12">
        <f>IF(C193="","",C193)</f>
        <v/>
      </c>
      <c r="S193" s="12">
        <f>IF(R193="","",R193+IF(O193&lt;&gt;"",O193,IF(H193="",0,H193)))</f>
        <v/>
      </c>
      <c r="T193" s="12">
        <f>IF(R193="","",MAX(Settings!$B$3,Settings!$B$4*IF(O193&lt;&gt;"",O193,IF(H193="",0,H193))))</f>
        <v/>
      </c>
      <c r="U193" s="11">
        <f>IF(AND(C193&lt;&gt;"",M193&lt;&gt;"",OR(H193&lt;&gt;"",O193&lt;&gt;"")),"COMPLETE",IF(OR(C193&lt;&gt;"",M193&lt;&gt;""),"PARTIAL","MISSING"))</f>
        <v/>
      </c>
      <c r="V193" s="11">
        <f>IF(Q193="UNKNOWN","Check fluid description",IF(AND(R193&lt;&gt;"",S193&lt;&gt;""),"Ready for contact screening","Needs TVD + thickness"))</f>
        <v/>
      </c>
    </row>
    <row r="194">
      <c r="A194" s="9" t="n"/>
      <c r="B194" s="9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9" t="n"/>
      <c r="N194" s="9" t="n"/>
      <c r="O194" s="10" t="n"/>
      <c r="P194" s="9" t="n"/>
      <c r="Q194" s="11">
        <f>IF(P194&lt;&gt;"",P194,IF(M194="","UNKNOWN",IF(AND(ISNUMBER(SEARCH("gas",LOWER(M194))),ISNUMBER(SEARCH("water",LOWER(M194)))),"GAS_WATER",IF(AND(ISNUMBER(SEARCH("oil",LOWER(M194))),ISNUMBER(SEARCH("water",LOWER(M194)))),"OIL_WATER",IF(ISNUMBER(SEARCH("gas",LOWER(M194))),"GAS",IF(ISNUMBER(SEARCH("water",LOWER(M194))),"WATER",IF(ISNUMBER(SEARCH("oil",LOWER(M194))),"OIL","UNKNOWN")))))))</f>
        <v/>
      </c>
      <c r="R194" s="12">
        <f>IF(C194="","",C194)</f>
        <v/>
      </c>
      <c r="S194" s="12">
        <f>IF(R194="","",R194+IF(O194&lt;&gt;"",O194,IF(H194="",0,H194)))</f>
        <v/>
      </c>
      <c r="T194" s="12">
        <f>IF(R194="","",MAX(Settings!$B$3,Settings!$B$4*IF(O194&lt;&gt;"",O194,IF(H194="",0,H194))))</f>
        <v/>
      </c>
      <c r="U194" s="11">
        <f>IF(AND(C194&lt;&gt;"",M194&lt;&gt;"",OR(H194&lt;&gt;"",O194&lt;&gt;"")),"COMPLETE",IF(OR(C194&lt;&gt;"",M194&lt;&gt;""),"PARTIAL","MISSING"))</f>
        <v/>
      </c>
      <c r="V194" s="11">
        <f>IF(Q194="UNKNOWN","Check fluid description",IF(AND(R194&lt;&gt;"",S194&lt;&gt;""),"Ready for contact screening","Needs TVD + thickness"))</f>
        <v/>
      </c>
    </row>
    <row r="195">
      <c r="A195" s="9" t="n"/>
      <c r="B195" s="9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9" t="n"/>
      <c r="N195" s="9" t="n"/>
      <c r="O195" s="10" t="n"/>
      <c r="P195" s="9" t="n"/>
      <c r="Q195" s="11">
        <f>IF(P195&lt;&gt;"",P195,IF(M195="","UNKNOWN",IF(AND(ISNUMBER(SEARCH("gas",LOWER(M195))),ISNUMBER(SEARCH("water",LOWER(M195)))),"GAS_WATER",IF(AND(ISNUMBER(SEARCH("oil",LOWER(M195))),ISNUMBER(SEARCH("water",LOWER(M195)))),"OIL_WATER",IF(ISNUMBER(SEARCH("gas",LOWER(M195))),"GAS",IF(ISNUMBER(SEARCH("water",LOWER(M195))),"WATER",IF(ISNUMBER(SEARCH("oil",LOWER(M195))),"OIL","UNKNOWN")))))))</f>
        <v/>
      </c>
      <c r="R195" s="12">
        <f>IF(C195="","",C195)</f>
        <v/>
      </c>
      <c r="S195" s="12">
        <f>IF(R195="","",R195+IF(O195&lt;&gt;"",O195,IF(H195="",0,H195)))</f>
        <v/>
      </c>
      <c r="T195" s="12">
        <f>IF(R195="","",MAX(Settings!$B$3,Settings!$B$4*IF(O195&lt;&gt;"",O195,IF(H195="",0,H195))))</f>
        <v/>
      </c>
      <c r="U195" s="11">
        <f>IF(AND(C195&lt;&gt;"",M195&lt;&gt;"",OR(H195&lt;&gt;"",O195&lt;&gt;"")),"COMPLETE",IF(OR(C195&lt;&gt;"",M195&lt;&gt;""),"PARTIAL","MISSING"))</f>
        <v/>
      </c>
      <c r="V195" s="11">
        <f>IF(Q195="UNKNOWN","Check fluid description",IF(AND(R195&lt;&gt;"",S195&lt;&gt;""),"Ready for contact screening","Needs TVD + thickness"))</f>
        <v/>
      </c>
    </row>
    <row r="196">
      <c r="A196" s="9" t="n"/>
      <c r="B196" s="9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9" t="n"/>
      <c r="N196" s="9" t="n"/>
      <c r="O196" s="10" t="n"/>
      <c r="P196" s="9" t="n"/>
      <c r="Q196" s="11">
        <f>IF(P196&lt;&gt;"",P196,IF(M196="","UNKNOWN",IF(AND(ISNUMBER(SEARCH("gas",LOWER(M196))),ISNUMBER(SEARCH("water",LOWER(M196)))),"GAS_WATER",IF(AND(ISNUMBER(SEARCH("oil",LOWER(M196))),ISNUMBER(SEARCH("water",LOWER(M196)))),"OIL_WATER",IF(ISNUMBER(SEARCH("gas",LOWER(M196))),"GAS",IF(ISNUMBER(SEARCH("water",LOWER(M196))),"WATER",IF(ISNUMBER(SEARCH("oil",LOWER(M196))),"OIL","UNKNOWN")))))))</f>
        <v/>
      </c>
      <c r="R196" s="12">
        <f>IF(C196="","",C196)</f>
        <v/>
      </c>
      <c r="S196" s="12">
        <f>IF(R196="","",R196+IF(O196&lt;&gt;"",O196,IF(H196="",0,H196)))</f>
        <v/>
      </c>
      <c r="T196" s="12">
        <f>IF(R196="","",MAX(Settings!$B$3,Settings!$B$4*IF(O196&lt;&gt;"",O196,IF(H196="",0,H196))))</f>
        <v/>
      </c>
      <c r="U196" s="11">
        <f>IF(AND(C196&lt;&gt;"",M196&lt;&gt;"",OR(H196&lt;&gt;"",O196&lt;&gt;"")),"COMPLETE",IF(OR(C196&lt;&gt;"",M196&lt;&gt;""),"PARTIAL","MISSING"))</f>
        <v/>
      </c>
      <c r="V196" s="11">
        <f>IF(Q196="UNKNOWN","Check fluid description",IF(AND(R196&lt;&gt;"",S196&lt;&gt;""),"Ready for contact screening","Needs TVD + thickness"))</f>
        <v/>
      </c>
    </row>
    <row r="197">
      <c r="A197" s="9" t="n"/>
      <c r="B197" s="9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9" t="n"/>
      <c r="N197" s="9" t="n"/>
      <c r="O197" s="10" t="n"/>
      <c r="P197" s="9" t="n"/>
      <c r="Q197" s="11">
        <f>IF(P197&lt;&gt;"",P197,IF(M197="","UNKNOWN",IF(AND(ISNUMBER(SEARCH("gas",LOWER(M197))),ISNUMBER(SEARCH("water",LOWER(M197)))),"GAS_WATER",IF(AND(ISNUMBER(SEARCH("oil",LOWER(M197))),ISNUMBER(SEARCH("water",LOWER(M197)))),"OIL_WATER",IF(ISNUMBER(SEARCH("gas",LOWER(M197))),"GAS",IF(ISNUMBER(SEARCH("water",LOWER(M197))),"WATER",IF(ISNUMBER(SEARCH("oil",LOWER(M197))),"OIL","UNKNOWN")))))))</f>
        <v/>
      </c>
      <c r="R197" s="12">
        <f>IF(C197="","",C197)</f>
        <v/>
      </c>
      <c r="S197" s="12">
        <f>IF(R197="","",R197+IF(O197&lt;&gt;"",O197,IF(H197="",0,H197)))</f>
        <v/>
      </c>
      <c r="T197" s="12">
        <f>IF(R197="","",MAX(Settings!$B$3,Settings!$B$4*IF(O197&lt;&gt;"",O197,IF(H197="",0,H197))))</f>
        <v/>
      </c>
      <c r="U197" s="11">
        <f>IF(AND(C197&lt;&gt;"",M197&lt;&gt;"",OR(H197&lt;&gt;"",O197&lt;&gt;"")),"COMPLETE",IF(OR(C197&lt;&gt;"",M197&lt;&gt;""),"PARTIAL","MISSING"))</f>
        <v/>
      </c>
      <c r="V197" s="11">
        <f>IF(Q197="UNKNOWN","Check fluid description",IF(AND(R197&lt;&gt;"",S197&lt;&gt;""),"Ready for contact screening","Needs TVD + thickness"))</f>
        <v/>
      </c>
    </row>
    <row r="198">
      <c r="A198" s="9" t="n"/>
      <c r="B198" s="9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9" t="n"/>
      <c r="N198" s="9" t="n"/>
      <c r="O198" s="10" t="n"/>
      <c r="P198" s="9" t="n"/>
      <c r="Q198" s="11">
        <f>IF(P198&lt;&gt;"",P198,IF(M198="","UNKNOWN",IF(AND(ISNUMBER(SEARCH("gas",LOWER(M198))),ISNUMBER(SEARCH("water",LOWER(M198)))),"GAS_WATER",IF(AND(ISNUMBER(SEARCH("oil",LOWER(M198))),ISNUMBER(SEARCH("water",LOWER(M198)))),"OIL_WATER",IF(ISNUMBER(SEARCH("gas",LOWER(M198))),"GAS",IF(ISNUMBER(SEARCH("water",LOWER(M198))),"WATER",IF(ISNUMBER(SEARCH("oil",LOWER(M198))),"OIL","UNKNOWN")))))))</f>
        <v/>
      </c>
      <c r="R198" s="12">
        <f>IF(C198="","",C198)</f>
        <v/>
      </c>
      <c r="S198" s="12">
        <f>IF(R198="","",R198+IF(O198&lt;&gt;"",O198,IF(H198="",0,H198)))</f>
        <v/>
      </c>
      <c r="T198" s="12">
        <f>IF(R198="","",MAX(Settings!$B$3,Settings!$B$4*IF(O198&lt;&gt;"",O198,IF(H198="",0,H198))))</f>
        <v/>
      </c>
      <c r="U198" s="11">
        <f>IF(AND(C198&lt;&gt;"",M198&lt;&gt;"",OR(H198&lt;&gt;"",O198&lt;&gt;"")),"COMPLETE",IF(OR(C198&lt;&gt;"",M198&lt;&gt;""),"PARTIAL","MISSING"))</f>
        <v/>
      </c>
      <c r="V198" s="11">
        <f>IF(Q198="UNKNOWN","Check fluid description",IF(AND(R198&lt;&gt;"",S198&lt;&gt;""),"Ready for contact screening","Needs TVD + thickness"))</f>
        <v/>
      </c>
    </row>
    <row r="199">
      <c r="A199" s="9" t="n"/>
      <c r="B199" s="9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9" t="n"/>
      <c r="N199" s="9" t="n"/>
      <c r="O199" s="10" t="n"/>
      <c r="P199" s="9" t="n"/>
      <c r="Q199" s="11">
        <f>IF(P199&lt;&gt;"",P199,IF(M199="","UNKNOWN",IF(AND(ISNUMBER(SEARCH("gas",LOWER(M199))),ISNUMBER(SEARCH("water",LOWER(M199)))),"GAS_WATER",IF(AND(ISNUMBER(SEARCH("oil",LOWER(M199))),ISNUMBER(SEARCH("water",LOWER(M199)))),"OIL_WATER",IF(ISNUMBER(SEARCH("gas",LOWER(M199))),"GAS",IF(ISNUMBER(SEARCH("water",LOWER(M199))),"WATER",IF(ISNUMBER(SEARCH("oil",LOWER(M199))),"OIL","UNKNOWN")))))))</f>
        <v/>
      </c>
      <c r="R199" s="12">
        <f>IF(C199="","",C199)</f>
        <v/>
      </c>
      <c r="S199" s="12">
        <f>IF(R199="","",R199+IF(O199&lt;&gt;"",O199,IF(H199="",0,H199)))</f>
        <v/>
      </c>
      <c r="T199" s="12">
        <f>IF(R199="","",MAX(Settings!$B$3,Settings!$B$4*IF(O199&lt;&gt;"",O199,IF(H199="",0,H199))))</f>
        <v/>
      </c>
      <c r="U199" s="11">
        <f>IF(AND(C199&lt;&gt;"",M199&lt;&gt;"",OR(H199&lt;&gt;"",O199&lt;&gt;"")),"COMPLETE",IF(OR(C199&lt;&gt;"",M199&lt;&gt;""),"PARTIAL","MISSING"))</f>
        <v/>
      </c>
      <c r="V199" s="11">
        <f>IF(Q199="UNKNOWN","Check fluid description",IF(AND(R199&lt;&gt;"",S199&lt;&gt;""),"Ready for contact screening","Needs TVD + thickness"))</f>
        <v/>
      </c>
    </row>
    <row r="200">
      <c r="A200" s="9" t="n"/>
      <c r="B200" s="9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9" t="n"/>
      <c r="N200" s="9" t="n"/>
      <c r="O200" s="10" t="n"/>
      <c r="P200" s="9" t="n"/>
      <c r="Q200" s="11">
        <f>IF(P200&lt;&gt;"",P200,IF(M200="","UNKNOWN",IF(AND(ISNUMBER(SEARCH("gas",LOWER(M200))),ISNUMBER(SEARCH("water",LOWER(M200)))),"GAS_WATER",IF(AND(ISNUMBER(SEARCH("oil",LOWER(M200))),ISNUMBER(SEARCH("water",LOWER(M200)))),"OIL_WATER",IF(ISNUMBER(SEARCH("gas",LOWER(M200))),"GAS",IF(ISNUMBER(SEARCH("water",LOWER(M200))),"WATER",IF(ISNUMBER(SEARCH("oil",LOWER(M200))),"OIL","UNKNOWN")))))))</f>
        <v/>
      </c>
      <c r="R200" s="12">
        <f>IF(C200="","",C200)</f>
        <v/>
      </c>
      <c r="S200" s="12">
        <f>IF(R200="","",R200+IF(O200&lt;&gt;"",O200,IF(H200="",0,H200)))</f>
        <v/>
      </c>
      <c r="T200" s="12">
        <f>IF(R200="","",MAX(Settings!$B$3,Settings!$B$4*IF(O200&lt;&gt;"",O200,IF(H200="",0,H200))))</f>
        <v/>
      </c>
      <c r="U200" s="11">
        <f>IF(AND(C200&lt;&gt;"",M200&lt;&gt;"",OR(H200&lt;&gt;"",O200&lt;&gt;"")),"COMPLETE",IF(OR(C200&lt;&gt;"",M200&lt;&gt;""),"PARTIAL","MISSING"))</f>
        <v/>
      </c>
      <c r="V200" s="11">
        <f>IF(Q200="UNKNOWN","Check fluid description",IF(AND(R200&lt;&gt;"",S200&lt;&gt;""),"Ready for contact screening","Needs TVD + thickness"))</f>
        <v/>
      </c>
    </row>
    <row r="201">
      <c r="A201" s="9" t="n"/>
      <c r="B201" s="9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9" t="n"/>
      <c r="N201" s="9" t="n"/>
      <c r="O201" s="10" t="n"/>
      <c r="P201" s="9" t="n"/>
      <c r="Q201" s="11">
        <f>IF(P201&lt;&gt;"",P201,IF(M201="","UNKNOWN",IF(AND(ISNUMBER(SEARCH("gas",LOWER(M201))),ISNUMBER(SEARCH("water",LOWER(M201)))),"GAS_WATER",IF(AND(ISNUMBER(SEARCH("oil",LOWER(M201))),ISNUMBER(SEARCH("water",LOWER(M201)))),"OIL_WATER",IF(ISNUMBER(SEARCH("gas",LOWER(M201))),"GAS",IF(ISNUMBER(SEARCH("water",LOWER(M201))),"WATER",IF(ISNUMBER(SEARCH("oil",LOWER(M201))),"OIL","UNKNOWN")))))))</f>
        <v/>
      </c>
      <c r="R201" s="12">
        <f>IF(C201="","",C201)</f>
        <v/>
      </c>
      <c r="S201" s="12">
        <f>IF(R201="","",R201+IF(O201&lt;&gt;"",O201,IF(H201="",0,H201)))</f>
        <v/>
      </c>
      <c r="T201" s="12">
        <f>IF(R201="","",MAX(Settings!$B$3,Settings!$B$4*IF(O201&lt;&gt;"",O201,IF(H201="",0,H201))))</f>
        <v/>
      </c>
      <c r="U201" s="11">
        <f>IF(AND(C201&lt;&gt;"",M201&lt;&gt;"",OR(H201&lt;&gt;"",O201&lt;&gt;"")),"COMPLETE",IF(OR(C201&lt;&gt;"",M201&lt;&gt;""),"PARTIAL","MISSING"))</f>
        <v/>
      </c>
      <c r="V201" s="11">
        <f>IF(Q201="UNKNOWN","Check fluid description",IF(AND(R201&lt;&gt;"",S201&lt;&gt;""),"Ready for contact screening","Needs TVD + thickness"))</f>
        <v/>
      </c>
    </row>
    <row r="202">
      <c r="A202" s="9" t="n"/>
      <c r="B202" s="9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9" t="n"/>
      <c r="N202" s="9" t="n"/>
      <c r="O202" s="10" t="n"/>
      <c r="P202" s="9" t="n"/>
      <c r="Q202" s="11">
        <f>IF(P202&lt;&gt;"",P202,IF(M202="","UNKNOWN",IF(AND(ISNUMBER(SEARCH("gas",LOWER(M202))),ISNUMBER(SEARCH("water",LOWER(M202)))),"GAS_WATER",IF(AND(ISNUMBER(SEARCH("oil",LOWER(M202))),ISNUMBER(SEARCH("water",LOWER(M202)))),"OIL_WATER",IF(ISNUMBER(SEARCH("gas",LOWER(M202))),"GAS",IF(ISNUMBER(SEARCH("water",LOWER(M202))),"WATER",IF(ISNUMBER(SEARCH("oil",LOWER(M202))),"OIL","UNKNOWN")))))))</f>
        <v/>
      </c>
      <c r="R202" s="12">
        <f>IF(C202="","",C202)</f>
        <v/>
      </c>
      <c r="S202" s="12">
        <f>IF(R202="","",R202+IF(O202&lt;&gt;"",O202,IF(H202="",0,H202)))</f>
        <v/>
      </c>
      <c r="T202" s="12">
        <f>IF(R202="","",MAX(Settings!$B$3,Settings!$B$4*IF(O202&lt;&gt;"",O202,IF(H202="",0,H202))))</f>
        <v/>
      </c>
      <c r="U202" s="11">
        <f>IF(AND(C202&lt;&gt;"",M202&lt;&gt;"",OR(H202&lt;&gt;"",O202&lt;&gt;"")),"COMPLETE",IF(OR(C202&lt;&gt;"",M202&lt;&gt;""),"PARTIAL","MISSING"))</f>
        <v/>
      </c>
      <c r="V202" s="11">
        <f>IF(Q202="UNKNOWN","Check fluid description",IF(AND(R202&lt;&gt;"",S202&lt;&gt;""),"Ready for contact screening","Needs TVD + thickness"))</f>
        <v/>
      </c>
    </row>
    <row r="203">
      <c r="A203" s="9" t="n"/>
      <c r="B203" s="9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9" t="n"/>
      <c r="N203" s="9" t="n"/>
      <c r="O203" s="10" t="n"/>
      <c r="P203" s="9" t="n"/>
      <c r="Q203" s="11">
        <f>IF(P203&lt;&gt;"",P203,IF(M203="","UNKNOWN",IF(AND(ISNUMBER(SEARCH("gas",LOWER(M203))),ISNUMBER(SEARCH("water",LOWER(M203)))),"GAS_WATER",IF(AND(ISNUMBER(SEARCH("oil",LOWER(M203))),ISNUMBER(SEARCH("water",LOWER(M203)))),"OIL_WATER",IF(ISNUMBER(SEARCH("gas",LOWER(M203))),"GAS",IF(ISNUMBER(SEARCH("water",LOWER(M203))),"WATER",IF(ISNUMBER(SEARCH("oil",LOWER(M203))),"OIL","UNKNOWN")))))))</f>
        <v/>
      </c>
      <c r="R203" s="12">
        <f>IF(C203="","",C203)</f>
        <v/>
      </c>
      <c r="S203" s="12">
        <f>IF(R203="","",R203+IF(O203&lt;&gt;"",O203,IF(H203="",0,H203)))</f>
        <v/>
      </c>
      <c r="T203" s="12">
        <f>IF(R203="","",MAX(Settings!$B$3,Settings!$B$4*IF(O203&lt;&gt;"",O203,IF(H203="",0,H203))))</f>
        <v/>
      </c>
      <c r="U203" s="11">
        <f>IF(AND(C203&lt;&gt;"",M203&lt;&gt;"",OR(H203&lt;&gt;"",O203&lt;&gt;"")),"COMPLETE",IF(OR(C203&lt;&gt;"",M203&lt;&gt;""),"PARTIAL","MISSING"))</f>
        <v/>
      </c>
      <c r="V203" s="11">
        <f>IF(Q203="UNKNOWN","Check fluid description",IF(AND(R203&lt;&gt;"",S203&lt;&gt;""),"Ready for contact screening","Needs TVD + thickness"))</f>
        <v/>
      </c>
    </row>
    <row r="204">
      <c r="A204" s="9" t="n"/>
      <c r="B204" s="9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9" t="n"/>
      <c r="N204" s="9" t="n"/>
      <c r="O204" s="10" t="n"/>
      <c r="P204" s="9" t="n"/>
      <c r="Q204" s="11">
        <f>IF(P204&lt;&gt;"",P204,IF(M204="","UNKNOWN",IF(AND(ISNUMBER(SEARCH("gas",LOWER(M204))),ISNUMBER(SEARCH("water",LOWER(M204)))),"GAS_WATER",IF(AND(ISNUMBER(SEARCH("oil",LOWER(M204))),ISNUMBER(SEARCH("water",LOWER(M204)))),"OIL_WATER",IF(ISNUMBER(SEARCH("gas",LOWER(M204))),"GAS",IF(ISNUMBER(SEARCH("water",LOWER(M204))),"WATER",IF(ISNUMBER(SEARCH("oil",LOWER(M204))),"OIL","UNKNOWN")))))))</f>
        <v/>
      </c>
      <c r="R204" s="12">
        <f>IF(C204="","",C204)</f>
        <v/>
      </c>
      <c r="S204" s="12">
        <f>IF(R204="","",R204+IF(O204&lt;&gt;"",O204,IF(H204="",0,H204)))</f>
        <v/>
      </c>
      <c r="T204" s="12">
        <f>IF(R204="","",MAX(Settings!$B$3,Settings!$B$4*IF(O204&lt;&gt;"",O204,IF(H204="",0,H204))))</f>
        <v/>
      </c>
      <c r="U204" s="11">
        <f>IF(AND(C204&lt;&gt;"",M204&lt;&gt;"",OR(H204&lt;&gt;"",O204&lt;&gt;"")),"COMPLETE",IF(OR(C204&lt;&gt;"",M204&lt;&gt;""),"PARTIAL","MISSING"))</f>
        <v/>
      </c>
      <c r="V204" s="11">
        <f>IF(Q204="UNKNOWN","Check fluid description",IF(AND(R204&lt;&gt;"",S204&lt;&gt;""),"Ready for contact screening","Needs TVD + thickness"))</f>
        <v/>
      </c>
    </row>
    <row r="205">
      <c r="A205" s="9" t="n"/>
      <c r="B205" s="9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9" t="n"/>
      <c r="N205" s="9" t="n"/>
      <c r="O205" s="10" t="n"/>
      <c r="P205" s="9" t="n"/>
      <c r="Q205" s="11">
        <f>IF(P205&lt;&gt;"",P205,IF(M205="","UNKNOWN",IF(AND(ISNUMBER(SEARCH("gas",LOWER(M205))),ISNUMBER(SEARCH("water",LOWER(M205)))),"GAS_WATER",IF(AND(ISNUMBER(SEARCH("oil",LOWER(M205))),ISNUMBER(SEARCH("water",LOWER(M205)))),"OIL_WATER",IF(ISNUMBER(SEARCH("gas",LOWER(M205))),"GAS",IF(ISNUMBER(SEARCH("water",LOWER(M205))),"WATER",IF(ISNUMBER(SEARCH("oil",LOWER(M205))),"OIL","UNKNOWN")))))))</f>
        <v/>
      </c>
      <c r="R205" s="12">
        <f>IF(C205="","",C205)</f>
        <v/>
      </c>
      <c r="S205" s="12">
        <f>IF(R205="","",R205+IF(O205&lt;&gt;"",O205,IF(H205="",0,H205)))</f>
        <v/>
      </c>
      <c r="T205" s="12">
        <f>IF(R205="","",MAX(Settings!$B$3,Settings!$B$4*IF(O205&lt;&gt;"",O205,IF(H205="",0,H205))))</f>
        <v/>
      </c>
      <c r="U205" s="11">
        <f>IF(AND(C205&lt;&gt;"",M205&lt;&gt;"",OR(H205&lt;&gt;"",O205&lt;&gt;"")),"COMPLETE",IF(OR(C205&lt;&gt;"",M205&lt;&gt;""),"PARTIAL","MISSING"))</f>
        <v/>
      </c>
      <c r="V205" s="11">
        <f>IF(Q205="UNKNOWN","Check fluid description",IF(AND(R205&lt;&gt;"",S205&lt;&gt;""),"Ready for contact screening","Needs TVD + thickness"))</f>
        <v/>
      </c>
    </row>
    <row r="206">
      <c r="A206" s="9" t="n"/>
      <c r="B206" s="9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9" t="n"/>
      <c r="N206" s="9" t="n"/>
      <c r="O206" s="10" t="n"/>
      <c r="P206" s="9" t="n"/>
      <c r="Q206" s="11">
        <f>IF(P206&lt;&gt;"",P206,IF(M206="","UNKNOWN",IF(AND(ISNUMBER(SEARCH("gas",LOWER(M206))),ISNUMBER(SEARCH("water",LOWER(M206)))),"GAS_WATER",IF(AND(ISNUMBER(SEARCH("oil",LOWER(M206))),ISNUMBER(SEARCH("water",LOWER(M206)))),"OIL_WATER",IF(ISNUMBER(SEARCH("gas",LOWER(M206))),"GAS",IF(ISNUMBER(SEARCH("water",LOWER(M206))),"WATER",IF(ISNUMBER(SEARCH("oil",LOWER(M206))),"OIL","UNKNOWN")))))))</f>
        <v/>
      </c>
      <c r="R206" s="12">
        <f>IF(C206="","",C206)</f>
        <v/>
      </c>
      <c r="S206" s="12">
        <f>IF(R206="","",R206+IF(O206&lt;&gt;"",O206,IF(H206="",0,H206)))</f>
        <v/>
      </c>
      <c r="T206" s="12">
        <f>IF(R206="","",MAX(Settings!$B$3,Settings!$B$4*IF(O206&lt;&gt;"",O206,IF(H206="",0,H206))))</f>
        <v/>
      </c>
      <c r="U206" s="11">
        <f>IF(AND(C206&lt;&gt;"",M206&lt;&gt;"",OR(H206&lt;&gt;"",O206&lt;&gt;"")),"COMPLETE",IF(OR(C206&lt;&gt;"",M206&lt;&gt;""),"PARTIAL","MISSING"))</f>
        <v/>
      </c>
      <c r="V206" s="11">
        <f>IF(Q206="UNKNOWN","Check fluid description",IF(AND(R206&lt;&gt;"",S206&lt;&gt;""),"Ready for contact screening","Needs TVD + thickness"))</f>
        <v/>
      </c>
    </row>
    <row r="207">
      <c r="A207" s="9" t="n"/>
      <c r="B207" s="9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9" t="n"/>
      <c r="N207" s="9" t="n"/>
      <c r="O207" s="10" t="n"/>
      <c r="P207" s="9" t="n"/>
      <c r="Q207" s="11">
        <f>IF(P207&lt;&gt;"",P207,IF(M207="","UNKNOWN",IF(AND(ISNUMBER(SEARCH("gas",LOWER(M207))),ISNUMBER(SEARCH("water",LOWER(M207)))),"GAS_WATER",IF(AND(ISNUMBER(SEARCH("oil",LOWER(M207))),ISNUMBER(SEARCH("water",LOWER(M207)))),"OIL_WATER",IF(ISNUMBER(SEARCH("gas",LOWER(M207))),"GAS",IF(ISNUMBER(SEARCH("water",LOWER(M207))),"WATER",IF(ISNUMBER(SEARCH("oil",LOWER(M207))),"OIL","UNKNOWN")))))))</f>
        <v/>
      </c>
      <c r="R207" s="12">
        <f>IF(C207="","",C207)</f>
        <v/>
      </c>
      <c r="S207" s="12">
        <f>IF(R207="","",R207+IF(O207&lt;&gt;"",O207,IF(H207="",0,H207)))</f>
        <v/>
      </c>
      <c r="T207" s="12">
        <f>IF(R207="","",MAX(Settings!$B$3,Settings!$B$4*IF(O207&lt;&gt;"",O207,IF(H207="",0,H207))))</f>
        <v/>
      </c>
      <c r="U207" s="11">
        <f>IF(AND(C207&lt;&gt;"",M207&lt;&gt;"",OR(H207&lt;&gt;"",O207&lt;&gt;"")),"COMPLETE",IF(OR(C207&lt;&gt;"",M207&lt;&gt;""),"PARTIAL","MISSING"))</f>
        <v/>
      </c>
      <c r="V207" s="11">
        <f>IF(Q207="UNKNOWN","Check fluid description",IF(AND(R207&lt;&gt;"",S207&lt;&gt;""),"Ready for contact screening","Needs TVD + thickness"))</f>
        <v/>
      </c>
    </row>
    <row r="208">
      <c r="A208" s="9" t="n"/>
      <c r="B208" s="9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9" t="n"/>
      <c r="N208" s="9" t="n"/>
      <c r="O208" s="10" t="n"/>
      <c r="P208" s="9" t="n"/>
      <c r="Q208" s="11">
        <f>IF(P208&lt;&gt;"",P208,IF(M208="","UNKNOWN",IF(AND(ISNUMBER(SEARCH("gas",LOWER(M208))),ISNUMBER(SEARCH("water",LOWER(M208)))),"GAS_WATER",IF(AND(ISNUMBER(SEARCH("oil",LOWER(M208))),ISNUMBER(SEARCH("water",LOWER(M208)))),"OIL_WATER",IF(ISNUMBER(SEARCH("gas",LOWER(M208))),"GAS",IF(ISNUMBER(SEARCH("water",LOWER(M208))),"WATER",IF(ISNUMBER(SEARCH("oil",LOWER(M208))),"OIL","UNKNOWN")))))))</f>
        <v/>
      </c>
      <c r="R208" s="12">
        <f>IF(C208="","",C208)</f>
        <v/>
      </c>
      <c r="S208" s="12">
        <f>IF(R208="","",R208+IF(O208&lt;&gt;"",O208,IF(H208="",0,H208)))</f>
        <v/>
      </c>
      <c r="T208" s="12">
        <f>IF(R208="","",MAX(Settings!$B$3,Settings!$B$4*IF(O208&lt;&gt;"",O208,IF(H208="",0,H208))))</f>
        <v/>
      </c>
      <c r="U208" s="11">
        <f>IF(AND(C208&lt;&gt;"",M208&lt;&gt;"",OR(H208&lt;&gt;"",O208&lt;&gt;"")),"COMPLETE",IF(OR(C208&lt;&gt;"",M208&lt;&gt;""),"PARTIAL","MISSING"))</f>
        <v/>
      </c>
      <c r="V208" s="11">
        <f>IF(Q208="UNKNOWN","Check fluid description",IF(AND(R208&lt;&gt;"",S208&lt;&gt;""),"Ready for contact screening","Needs TVD + thickness"))</f>
        <v/>
      </c>
    </row>
    <row r="209">
      <c r="A209" s="9" t="n"/>
      <c r="B209" s="9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9" t="n"/>
      <c r="N209" s="9" t="n"/>
      <c r="O209" s="10" t="n"/>
      <c r="P209" s="9" t="n"/>
      <c r="Q209" s="11">
        <f>IF(P209&lt;&gt;"",P209,IF(M209="","UNKNOWN",IF(AND(ISNUMBER(SEARCH("gas",LOWER(M209))),ISNUMBER(SEARCH("water",LOWER(M209)))),"GAS_WATER",IF(AND(ISNUMBER(SEARCH("oil",LOWER(M209))),ISNUMBER(SEARCH("water",LOWER(M209)))),"OIL_WATER",IF(ISNUMBER(SEARCH("gas",LOWER(M209))),"GAS",IF(ISNUMBER(SEARCH("water",LOWER(M209))),"WATER",IF(ISNUMBER(SEARCH("oil",LOWER(M209))),"OIL","UNKNOWN")))))))</f>
        <v/>
      </c>
      <c r="R209" s="12">
        <f>IF(C209="","",C209)</f>
        <v/>
      </c>
      <c r="S209" s="12">
        <f>IF(R209="","",R209+IF(O209&lt;&gt;"",O209,IF(H209="",0,H209)))</f>
        <v/>
      </c>
      <c r="T209" s="12">
        <f>IF(R209="","",MAX(Settings!$B$3,Settings!$B$4*IF(O209&lt;&gt;"",O209,IF(H209="",0,H209))))</f>
        <v/>
      </c>
      <c r="U209" s="11">
        <f>IF(AND(C209&lt;&gt;"",M209&lt;&gt;"",OR(H209&lt;&gt;"",O209&lt;&gt;"")),"COMPLETE",IF(OR(C209&lt;&gt;"",M209&lt;&gt;""),"PARTIAL","MISSING"))</f>
        <v/>
      </c>
      <c r="V209" s="11">
        <f>IF(Q209="UNKNOWN","Check fluid description",IF(AND(R209&lt;&gt;"",S209&lt;&gt;""),"Ready for contact screening","Needs TVD + thickness"))</f>
        <v/>
      </c>
    </row>
    <row r="210">
      <c r="A210" s="9" t="n"/>
      <c r="B210" s="9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9" t="n"/>
      <c r="N210" s="9" t="n"/>
      <c r="O210" s="10" t="n"/>
      <c r="P210" s="9" t="n"/>
      <c r="Q210" s="11">
        <f>IF(P210&lt;&gt;"",P210,IF(M210="","UNKNOWN",IF(AND(ISNUMBER(SEARCH("gas",LOWER(M210))),ISNUMBER(SEARCH("water",LOWER(M210)))),"GAS_WATER",IF(AND(ISNUMBER(SEARCH("oil",LOWER(M210))),ISNUMBER(SEARCH("water",LOWER(M210)))),"OIL_WATER",IF(ISNUMBER(SEARCH("gas",LOWER(M210))),"GAS",IF(ISNUMBER(SEARCH("water",LOWER(M210))),"WATER",IF(ISNUMBER(SEARCH("oil",LOWER(M210))),"OIL","UNKNOWN")))))))</f>
        <v/>
      </c>
      <c r="R210" s="12">
        <f>IF(C210="","",C210)</f>
        <v/>
      </c>
      <c r="S210" s="12">
        <f>IF(R210="","",R210+IF(O210&lt;&gt;"",O210,IF(H210="",0,H210)))</f>
        <v/>
      </c>
      <c r="T210" s="12">
        <f>IF(R210="","",MAX(Settings!$B$3,Settings!$B$4*IF(O210&lt;&gt;"",O210,IF(H210="",0,H210))))</f>
        <v/>
      </c>
      <c r="U210" s="11">
        <f>IF(AND(C210&lt;&gt;"",M210&lt;&gt;"",OR(H210&lt;&gt;"",O210&lt;&gt;"")),"COMPLETE",IF(OR(C210&lt;&gt;"",M210&lt;&gt;""),"PARTIAL","MISSING"))</f>
        <v/>
      </c>
      <c r="V210" s="11">
        <f>IF(Q210="UNKNOWN","Check fluid description",IF(AND(R210&lt;&gt;"",S210&lt;&gt;""),"Ready for contact screening","Needs TVD + thickness"))</f>
        <v/>
      </c>
    </row>
    <row r="211">
      <c r="A211" s="9" t="n"/>
      <c r="B211" s="9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9" t="n"/>
      <c r="N211" s="9" t="n"/>
      <c r="O211" s="10" t="n"/>
      <c r="P211" s="9" t="n"/>
      <c r="Q211" s="11">
        <f>IF(P211&lt;&gt;"",P211,IF(M211="","UNKNOWN",IF(AND(ISNUMBER(SEARCH("gas",LOWER(M211))),ISNUMBER(SEARCH("water",LOWER(M211)))),"GAS_WATER",IF(AND(ISNUMBER(SEARCH("oil",LOWER(M211))),ISNUMBER(SEARCH("water",LOWER(M211)))),"OIL_WATER",IF(ISNUMBER(SEARCH("gas",LOWER(M211))),"GAS",IF(ISNUMBER(SEARCH("water",LOWER(M211))),"WATER",IF(ISNUMBER(SEARCH("oil",LOWER(M211))),"OIL","UNKNOWN")))))))</f>
        <v/>
      </c>
      <c r="R211" s="12">
        <f>IF(C211="","",C211)</f>
        <v/>
      </c>
      <c r="S211" s="12">
        <f>IF(R211="","",R211+IF(O211&lt;&gt;"",O211,IF(H211="",0,H211)))</f>
        <v/>
      </c>
      <c r="T211" s="12">
        <f>IF(R211="","",MAX(Settings!$B$3,Settings!$B$4*IF(O211&lt;&gt;"",O211,IF(H211="",0,H211))))</f>
        <v/>
      </c>
      <c r="U211" s="11">
        <f>IF(AND(C211&lt;&gt;"",M211&lt;&gt;"",OR(H211&lt;&gt;"",O211&lt;&gt;"")),"COMPLETE",IF(OR(C211&lt;&gt;"",M211&lt;&gt;""),"PARTIAL","MISSING"))</f>
        <v/>
      </c>
      <c r="V211" s="11">
        <f>IF(Q211="UNKNOWN","Check fluid description",IF(AND(R211&lt;&gt;"",S211&lt;&gt;""),"Ready for contact screening","Needs TVD + thickness"))</f>
        <v/>
      </c>
    </row>
    <row r="212">
      <c r="A212" s="9" t="n"/>
      <c r="B212" s="9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9" t="n"/>
      <c r="N212" s="9" t="n"/>
      <c r="O212" s="10" t="n"/>
      <c r="P212" s="9" t="n"/>
      <c r="Q212" s="11">
        <f>IF(P212&lt;&gt;"",P212,IF(M212="","UNKNOWN",IF(AND(ISNUMBER(SEARCH("gas",LOWER(M212))),ISNUMBER(SEARCH("water",LOWER(M212)))),"GAS_WATER",IF(AND(ISNUMBER(SEARCH("oil",LOWER(M212))),ISNUMBER(SEARCH("water",LOWER(M212)))),"OIL_WATER",IF(ISNUMBER(SEARCH("gas",LOWER(M212))),"GAS",IF(ISNUMBER(SEARCH("water",LOWER(M212))),"WATER",IF(ISNUMBER(SEARCH("oil",LOWER(M212))),"OIL","UNKNOWN")))))))</f>
        <v/>
      </c>
      <c r="R212" s="12">
        <f>IF(C212="","",C212)</f>
        <v/>
      </c>
      <c r="S212" s="12">
        <f>IF(R212="","",R212+IF(O212&lt;&gt;"",O212,IF(H212="",0,H212)))</f>
        <v/>
      </c>
      <c r="T212" s="12">
        <f>IF(R212="","",MAX(Settings!$B$3,Settings!$B$4*IF(O212&lt;&gt;"",O212,IF(H212="",0,H212))))</f>
        <v/>
      </c>
      <c r="U212" s="11">
        <f>IF(AND(C212&lt;&gt;"",M212&lt;&gt;"",OR(H212&lt;&gt;"",O212&lt;&gt;"")),"COMPLETE",IF(OR(C212&lt;&gt;"",M212&lt;&gt;""),"PARTIAL","MISSING"))</f>
        <v/>
      </c>
      <c r="V212" s="11">
        <f>IF(Q212="UNKNOWN","Check fluid description",IF(AND(R212&lt;&gt;"",S212&lt;&gt;""),"Ready for contact screening","Needs TVD + thickness"))</f>
        <v/>
      </c>
    </row>
    <row r="213">
      <c r="A213" s="9" t="n"/>
      <c r="B213" s="9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9" t="n"/>
      <c r="N213" s="9" t="n"/>
      <c r="O213" s="10" t="n"/>
      <c r="P213" s="9" t="n"/>
      <c r="Q213" s="11">
        <f>IF(P213&lt;&gt;"",P213,IF(M213="","UNKNOWN",IF(AND(ISNUMBER(SEARCH("gas",LOWER(M213))),ISNUMBER(SEARCH("water",LOWER(M213)))),"GAS_WATER",IF(AND(ISNUMBER(SEARCH("oil",LOWER(M213))),ISNUMBER(SEARCH("water",LOWER(M213)))),"OIL_WATER",IF(ISNUMBER(SEARCH("gas",LOWER(M213))),"GAS",IF(ISNUMBER(SEARCH("water",LOWER(M213))),"WATER",IF(ISNUMBER(SEARCH("oil",LOWER(M213))),"OIL","UNKNOWN")))))))</f>
        <v/>
      </c>
      <c r="R213" s="12">
        <f>IF(C213="","",C213)</f>
        <v/>
      </c>
      <c r="S213" s="12">
        <f>IF(R213="","",R213+IF(O213&lt;&gt;"",O213,IF(H213="",0,H213)))</f>
        <v/>
      </c>
      <c r="T213" s="12">
        <f>IF(R213="","",MAX(Settings!$B$3,Settings!$B$4*IF(O213&lt;&gt;"",O213,IF(H213="",0,H213))))</f>
        <v/>
      </c>
      <c r="U213" s="11">
        <f>IF(AND(C213&lt;&gt;"",M213&lt;&gt;"",OR(H213&lt;&gt;"",O213&lt;&gt;"")),"COMPLETE",IF(OR(C213&lt;&gt;"",M213&lt;&gt;""),"PARTIAL","MISSING"))</f>
        <v/>
      </c>
      <c r="V213" s="11">
        <f>IF(Q213="UNKNOWN","Check fluid description",IF(AND(R213&lt;&gt;"",S213&lt;&gt;""),"Ready for contact screening","Needs TVD + thickness"))</f>
        <v/>
      </c>
    </row>
    <row r="214">
      <c r="A214" s="9" t="n"/>
      <c r="B214" s="9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9" t="n"/>
      <c r="N214" s="9" t="n"/>
      <c r="O214" s="10" t="n"/>
      <c r="P214" s="9" t="n"/>
      <c r="Q214" s="11">
        <f>IF(P214&lt;&gt;"",P214,IF(M214="","UNKNOWN",IF(AND(ISNUMBER(SEARCH("gas",LOWER(M214))),ISNUMBER(SEARCH("water",LOWER(M214)))),"GAS_WATER",IF(AND(ISNUMBER(SEARCH("oil",LOWER(M214))),ISNUMBER(SEARCH("water",LOWER(M214)))),"OIL_WATER",IF(ISNUMBER(SEARCH("gas",LOWER(M214))),"GAS",IF(ISNUMBER(SEARCH("water",LOWER(M214))),"WATER",IF(ISNUMBER(SEARCH("oil",LOWER(M214))),"OIL","UNKNOWN")))))))</f>
        <v/>
      </c>
      <c r="R214" s="12">
        <f>IF(C214="","",C214)</f>
        <v/>
      </c>
      <c r="S214" s="12">
        <f>IF(R214="","",R214+IF(O214&lt;&gt;"",O214,IF(H214="",0,H214)))</f>
        <v/>
      </c>
      <c r="T214" s="12">
        <f>IF(R214="","",MAX(Settings!$B$3,Settings!$B$4*IF(O214&lt;&gt;"",O214,IF(H214="",0,H214))))</f>
        <v/>
      </c>
      <c r="U214" s="11">
        <f>IF(AND(C214&lt;&gt;"",M214&lt;&gt;"",OR(H214&lt;&gt;"",O214&lt;&gt;"")),"COMPLETE",IF(OR(C214&lt;&gt;"",M214&lt;&gt;""),"PARTIAL","MISSING"))</f>
        <v/>
      </c>
      <c r="V214" s="11">
        <f>IF(Q214="UNKNOWN","Check fluid description",IF(AND(R214&lt;&gt;"",S214&lt;&gt;""),"Ready for contact screening","Needs TVD + thickness"))</f>
        <v/>
      </c>
    </row>
    <row r="215">
      <c r="A215" s="9" t="n"/>
      <c r="B215" s="9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9" t="n"/>
      <c r="N215" s="9" t="n"/>
      <c r="O215" s="10" t="n"/>
      <c r="P215" s="9" t="n"/>
      <c r="Q215" s="11">
        <f>IF(P215&lt;&gt;"",P215,IF(M215="","UNKNOWN",IF(AND(ISNUMBER(SEARCH("gas",LOWER(M215))),ISNUMBER(SEARCH("water",LOWER(M215)))),"GAS_WATER",IF(AND(ISNUMBER(SEARCH("oil",LOWER(M215))),ISNUMBER(SEARCH("water",LOWER(M215)))),"OIL_WATER",IF(ISNUMBER(SEARCH("gas",LOWER(M215))),"GAS",IF(ISNUMBER(SEARCH("water",LOWER(M215))),"WATER",IF(ISNUMBER(SEARCH("oil",LOWER(M215))),"OIL","UNKNOWN")))))))</f>
        <v/>
      </c>
      <c r="R215" s="12">
        <f>IF(C215="","",C215)</f>
        <v/>
      </c>
      <c r="S215" s="12">
        <f>IF(R215="","",R215+IF(O215&lt;&gt;"",O215,IF(H215="",0,H215)))</f>
        <v/>
      </c>
      <c r="T215" s="12">
        <f>IF(R215="","",MAX(Settings!$B$3,Settings!$B$4*IF(O215&lt;&gt;"",O215,IF(H215="",0,H215))))</f>
        <v/>
      </c>
      <c r="U215" s="11">
        <f>IF(AND(C215&lt;&gt;"",M215&lt;&gt;"",OR(H215&lt;&gt;"",O215&lt;&gt;"")),"COMPLETE",IF(OR(C215&lt;&gt;"",M215&lt;&gt;""),"PARTIAL","MISSING"))</f>
        <v/>
      </c>
      <c r="V215" s="11">
        <f>IF(Q215="UNKNOWN","Check fluid description",IF(AND(R215&lt;&gt;"",S215&lt;&gt;""),"Ready for contact screening","Needs TVD + thickness"))</f>
        <v/>
      </c>
    </row>
    <row r="216">
      <c r="A216" s="9" t="n"/>
      <c r="B216" s="9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9" t="n"/>
      <c r="N216" s="9" t="n"/>
      <c r="O216" s="10" t="n"/>
      <c r="P216" s="9" t="n"/>
      <c r="Q216" s="11">
        <f>IF(P216&lt;&gt;"",P216,IF(M216="","UNKNOWN",IF(AND(ISNUMBER(SEARCH("gas",LOWER(M216))),ISNUMBER(SEARCH("water",LOWER(M216)))),"GAS_WATER",IF(AND(ISNUMBER(SEARCH("oil",LOWER(M216))),ISNUMBER(SEARCH("water",LOWER(M216)))),"OIL_WATER",IF(ISNUMBER(SEARCH("gas",LOWER(M216))),"GAS",IF(ISNUMBER(SEARCH("water",LOWER(M216))),"WATER",IF(ISNUMBER(SEARCH("oil",LOWER(M216))),"OIL","UNKNOWN")))))))</f>
        <v/>
      </c>
      <c r="R216" s="12">
        <f>IF(C216="","",C216)</f>
        <v/>
      </c>
      <c r="S216" s="12">
        <f>IF(R216="","",R216+IF(O216&lt;&gt;"",O216,IF(H216="",0,H216)))</f>
        <v/>
      </c>
      <c r="T216" s="12">
        <f>IF(R216="","",MAX(Settings!$B$3,Settings!$B$4*IF(O216&lt;&gt;"",O216,IF(H216="",0,H216))))</f>
        <v/>
      </c>
      <c r="U216" s="11">
        <f>IF(AND(C216&lt;&gt;"",M216&lt;&gt;"",OR(H216&lt;&gt;"",O216&lt;&gt;"")),"COMPLETE",IF(OR(C216&lt;&gt;"",M216&lt;&gt;""),"PARTIAL","MISSING"))</f>
        <v/>
      </c>
      <c r="V216" s="11">
        <f>IF(Q216="UNKNOWN","Check fluid description",IF(AND(R216&lt;&gt;"",S216&lt;&gt;""),"Ready for contact screening","Needs TVD + thickness"))</f>
        <v/>
      </c>
    </row>
    <row r="217">
      <c r="A217" s="9" t="n"/>
      <c r="B217" s="9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9" t="n"/>
      <c r="N217" s="9" t="n"/>
      <c r="O217" s="10" t="n"/>
      <c r="P217" s="9" t="n"/>
      <c r="Q217" s="11">
        <f>IF(P217&lt;&gt;"",P217,IF(M217="","UNKNOWN",IF(AND(ISNUMBER(SEARCH("gas",LOWER(M217))),ISNUMBER(SEARCH("water",LOWER(M217)))),"GAS_WATER",IF(AND(ISNUMBER(SEARCH("oil",LOWER(M217))),ISNUMBER(SEARCH("water",LOWER(M217)))),"OIL_WATER",IF(ISNUMBER(SEARCH("gas",LOWER(M217))),"GAS",IF(ISNUMBER(SEARCH("water",LOWER(M217))),"WATER",IF(ISNUMBER(SEARCH("oil",LOWER(M217))),"OIL","UNKNOWN")))))))</f>
        <v/>
      </c>
      <c r="R217" s="12">
        <f>IF(C217="","",C217)</f>
        <v/>
      </c>
      <c r="S217" s="12">
        <f>IF(R217="","",R217+IF(O217&lt;&gt;"",O217,IF(H217="",0,H217)))</f>
        <v/>
      </c>
      <c r="T217" s="12">
        <f>IF(R217="","",MAX(Settings!$B$3,Settings!$B$4*IF(O217&lt;&gt;"",O217,IF(H217="",0,H217))))</f>
        <v/>
      </c>
      <c r="U217" s="11">
        <f>IF(AND(C217&lt;&gt;"",M217&lt;&gt;"",OR(H217&lt;&gt;"",O217&lt;&gt;"")),"COMPLETE",IF(OR(C217&lt;&gt;"",M217&lt;&gt;""),"PARTIAL","MISSING"))</f>
        <v/>
      </c>
      <c r="V217" s="11">
        <f>IF(Q217="UNKNOWN","Check fluid description",IF(AND(R217&lt;&gt;"",S217&lt;&gt;""),"Ready for contact screening","Needs TVD + thickness"))</f>
        <v/>
      </c>
    </row>
    <row r="218">
      <c r="A218" s="9" t="n"/>
      <c r="B218" s="9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9" t="n"/>
      <c r="N218" s="9" t="n"/>
      <c r="O218" s="10" t="n"/>
      <c r="P218" s="9" t="n"/>
      <c r="Q218" s="11">
        <f>IF(P218&lt;&gt;"",P218,IF(M218="","UNKNOWN",IF(AND(ISNUMBER(SEARCH("gas",LOWER(M218))),ISNUMBER(SEARCH("water",LOWER(M218)))),"GAS_WATER",IF(AND(ISNUMBER(SEARCH("oil",LOWER(M218))),ISNUMBER(SEARCH("water",LOWER(M218)))),"OIL_WATER",IF(ISNUMBER(SEARCH("gas",LOWER(M218))),"GAS",IF(ISNUMBER(SEARCH("water",LOWER(M218))),"WATER",IF(ISNUMBER(SEARCH("oil",LOWER(M218))),"OIL","UNKNOWN")))))))</f>
        <v/>
      </c>
      <c r="R218" s="12">
        <f>IF(C218="","",C218)</f>
        <v/>
      </c>
      <c r="S218" s="12">
        <f>IF(R218="","",R218+IF(O218&lt;&gt;"",O218,IF(H218="",0,H218)))</f>
        <v/>
      </c>
      <c r="T218" s="12">
        <f>IF(R218="","",MAX(Settings!$B$3,Settings!$B$4*IF(O218&lt;&gt;"",O218,IF(H218="",0,H218))))</f>
        <v/>
      </c>
      <c r="U218" s="11">
        <f>IF(AND(C218&lt;&gt;"",M218&lt;&gt;"",OR(H218&lt;&gt;"",O218&lt;&gt;"")),"COMPLETE",IF(OR(C218&lt;&gt;"",M218&lt;&gt;""),"PARTIAL","MISSING"))</f>
        <v/>
      </c>
      <c r="V218" s="11">
        <f>IF(Q218="UNKNOWN","Check fluid description",IF(AND(R218&lt;&gt;"",S218&lt;&gt;""),"Ready for contact screening","Needs TVD + thickness"))</f>
        <v/>
      </c>
    </row>
    <row r="219">
      <c r="A219" s="9" t="n"/>
      <c r="B219" s="9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9" t="n"/>
      <c r="N219" s="9" t="n"/>
      <c r="O219" s="10" t="n"/>
      <c r="P219" s="9" t="n"/>
      <c r="Q219" s="11">
        <f>IF(P219&lt;&gt;"",P219,IF(M219="","UNKNOWN",IF(AND(ISNUMBER(SEARCH("gas",LOWER(M219))),ISNUMBER(SEARCH("water",LOWER(M219)))),"GAS_WATER",IF(AND(ISNUMBER(SEARCH("oil",LOWER(M219))),ISNUMBER(SEARCH("water",LOWER(M219)))),"OIL_WATER",IF(ISNUMBER(SEARCH("gas",LOWER(M219))),"GAS",IF(ISNUMBER(SEARCH("water",LOWER(M219))),"WATER",IF(ISNUMBER(SEARCH("oil",LOWER(M219))),"OIL","UNKNOWN")))))))</f>
        <v/>
      </c>
      <c r="R219" s="12">
        <f>IF(C219="","",C219)</f>
        <v/>
      </c>
      <c r="S219" s="12">
        <f>IF(R219="","",R219+IF(O219&lt;&gt;"",O219,IF(H219="",0,H219)))</f>
        <v/>
      </c>
      <c r="T219" s="12">
        <f>IF(R219="","",MAX(Settings!$B$3,Settings!$B$4*IF(O219&lt;&gt;"",O219,IF(H219="",0,H219))))</f>
        <v/>
      </c>
      <c r="U219" s="11">
        <f>IF(AND(C219&lt;&gt;"",M219&lt;&gt;"",OR(H219&lt;&gt;"",O219&lt;&gt;"")),"COMPLETE",IF(OR(C219&lt;&gt;"",M219&lt;&gt;""),"PARTIAL","MISSING"))</f>
        <v/>
      </c>
      <c r="V219" s="11">
        <f>IF(Q219="UNKNOWN","Check fluid description",IF(AND(R219&lt;&gt;"",S219&lt;&gt;""),"Ready for contact screening","Needs TVD + thickness"))</f>
        <v/>
      </c>
    </row>
    <row r="220">
      <c r="A220" s="9" t="n"/>
      <c r="B220" s="9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9" t="n"/>
      <c r="N220" s="9" t="n"/>
      <c r="O220" s="10" t="n"/>
      <c r="P220" s="9" t="n"/>
      <c r="Q220" s="11">
        <f>IF(P220&lt;&gt;"",P220,IF(M220="","UNKNOWN",IF(AND(ISNUMBER(SEARCH("gas",LOWER(M220))),ISNUMBER(SEARCH("water",LOWER(M220)))),"GAS_WATER",IF(AND(ISNUMBER(SEARCH("oil",LOWER(M220))),ISNUMBER(SEARCH("water",LOWER(M220)))),"OIL_WATER",IF(ISNUMBER(SEARCH("gas",LOWER(M220))),"GAS",IF(ISNUMBER(SEARCH("water",LOWER(M220))),"WATER",IF(ISNUMBER(SEARCH("oil",LOWER(M220))),"OIL","UNKNOWN")))))))</f>
        <v/>
      </c>
      <c r="R220" s="12">
        <f>IF(C220="","",C220)</f>
        <v/>
      </c>
      <c r="S220" s="12">
        <f>IF(R220="","",R220+IF(O220&lt;&gt;"",O220,IF(H220="",0,H220)))</f>
        <v/>
      </c>
      <c r="T220" s="12">
        <f>IF(R220="","",MAX(Settings!$B$3,Settings!$B$4*IF(O220&lt;&gt;"",O220,IF(H220="",0,H220))))</f>
        <v/>
      </c>
      <c r="U220" s="11">
        <f>IF(AND(C220&lt;&gt;"",M220&lt;&gt;"",OR(H220&lt;&gt;"",O220&lt;&gt;"")),"COMPLETE",IF(OR(C220&lt;&gt;"",M220&lt;&gt;""),"PARTIAL","MISSING"))</f>
        <v/>
      </c>
      <c r="V220" s="11">
        <f>IF(Q220="UNKNOWN","Check fluid description",IF(AND(R220&lt;&gt;"",S220&lt;&gt;""),"Ready for contact screening","Needs TVD + thickness"))</f>
        <v/>
      </c>
    </row>
    <row r="221">
      <c r="A221" s="9" t="n"/>
      <c r="B221" s="9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9" t="n"/>
      <c r="N221" s="9" t="n"/>
      <c r="O221" s="10" t="n"/>
      <c r="P221" s="9" t="n"/>
      <c r="Q221" s="11">
        <f>IF(P221&lt;&gt;"",P221,IF(M221="","UNKNOWN",IF(AND(ISNUMBER(SEARCH("gas",LOWER(M221))),ISNUMBER(SEARCH("water",LOWER(M221)))),"GAS_WATER",IF(AND(ISNUMBER(SEARCH("oil",LOWER(M221))),ISNUMBER(SEARCH("water",LOWER(M221)))),"OIL_WATER",IF(ISNUMBER(SEARCH("gas",LOWER(M221))),"GAS",IF(ISNUMBER(SEARCH("water",LOWER(M221))),"WATER",IF(ISNUMBER(SEARCH("oil",LOWER(M221))),"OIL","UNKNOWN")))))))</f>
        <v/>
      </c>
      <c r="R221" s="12">
        <f>IF(C221="","",C221)</f>
        <v/>
      </c>
      <c r="S221" s="12">
        <f>IF(R221="","",R221+IF(O221&lt;&gt;"",O221,IF(H221="",0,H221)))</f>
        <v/>
      </c>
      <c r="T221" s="12">
        <f>IF(R221="","",MAX(Settings!$B$3,Settings!$B$4*IF(O221&lt;&gt;"",O221,IF(H221="",0,H221))))</f>
        <v/>
      </c>
      <c r="U221" s="11">
        <f>IF(AND(C221&lt;&gt;"",M221&lt;&gt;"",OR(H221&lt;&gt;"",O221&lt;&gt;"")),"COMPLETE",IF(OR(C221&lt;&gt;"",M221&lt;&gt;""),"PARTIAL","MISSING"))</f>
        <v/>
      </c>
      <c r="V221" s="11">
        <f>IF(Q221="UNKNOWN","Check fluid description",IF(AND(R221&lt;&gt;"",S221&lt;&gt;""),"Ready for contact screening","Needs TVD + thickness"))</f>
        <v/>
      </c>
    </row>
    <row r="222">
      <c r="A222" s="9" t="n"/>
      <c r="B222" s="9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9" t="n"/>
      <c r="N222" s="9" t="n"/>
      <c r="O222" s="10" t="n"/>
      <c r="P222" s="9" t="n"/>
      <c r="Q222" s="11">
        <f>IF(P222&lt;&gt;"",P222,IF(M222="","UNKNOWN",IF(AND(ISNUMBER(SEARCH("gas",LOWER(M222))),ISNUMBER(SEARCH("water",LOWER(M222)))),"GAS_WATER",IF(AND(ISNUMBER(SEARCH("oil",LOWER(M222))),ISNUMBER(SEARCH("water",LOWER(M222)))),"OIL_WATER",IF(ISNUMBER(SEARCH("gas",LOWER(M222))),"GAS",IF(ISNUMBER(SEARCH("water",LOWER(M222))),"WATER",IF(ISNUMBER(SEARCH("oil",LOWER(M222))),"OIL","UNKNOWN")))))))</f>
        <v/>
      </c>
      <c r="R222" s="12">
        <f>IF(C222="","",C222)</f>
        <v/>
      </c>
      <c r="S222" s="12">
        <f>IF(R222="","",R222+IF(O222&lt;&gt;"",O222,IF(H222="",0,H222)))</f>
        <v/>
      </c>
      <c r="T222" s="12">
        <f>IF(R222="","",MAX(Settings!$B$3,Settings!$B$4*IF(O222&lt;&gt;"",O222,IF(H222="",0,H222))))</f>
        <v/>
      </c>
      <c r="U222" s="11">
        <f>IF(AND(C222&lt;&gt;"",M222&lt;&gt;"",OR(H222&lt;&gt;"",O222&lt;&gt;"")),"COMPLETE",IF(OR(C222&lt;&gt;"",M222&lt;&gt;""),"PARTIAL","MISSING"))</f>
        <v/>
      </c>
      <c r="V222" s="11">
        <f>IF(Q222="UNKNOWN","Check fluid description",IF(AND(R222&lt;&gt;"",S222&lt;&gt;""),"Ready for contact screening","Needs TVD + thickness"))</f>
        <v/>
      </c>
    </row>
    <row r="223">
      <c r="A223" s="9" t="n"/>
      <c r="B223" s="9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9" t="n"/>
      <c r="N223" s="9" t="n"/>
      <c r="O223" s="10" t="n"/>
      <c r="P223" s="9" t="n"/>
      <c r="Q223" s="11">
        <f>IF(P223&lt;&gt;"",P223,IF(M223="","UNKNOWN",IF(AND(ISNUMBER(SEARCH("gas",LOWER(M223))),ISNUMBER(SEARCH("water",LOWER(M223)))),"GAS_WATER",IF(AND(ISNUMBER(SEARCH("oil",LOWER(M223))),ISNUMBER(SEARCH("water",LOWER(M223)))),"OIL_WATER",IF(ISNUMBER(SEARCH("gas",LOWER(M223))),"GAS",IF(ISNUMBER(SEARCH("water",LOWER(M223))),"WATER",IF(ISNUMBER(SEARCH("oil",LOWER(M223))),"OIL","UNKNOWN")))))))</f>
        <v/>
      </c>
      <c r="R223" s="12">
        <f>IF(C223="","",C223)</f>
        <v/>
      </c>
      <c r="S223" s="12">
        <f>IF(R223="","",R223+IF(O223&lt;&gt;"",O223,IF(H223="",0,H223)))</f>
        <v/>
      </c>
      <c r="T223" s="12">
        <f>IF(R223="","",MAX(Settings!$B$3,Settings!$B$4*IF(O223&lt;&gt;"",O223,IF(H223="",0,H223))))</f>
        <v/>
      </c>
      <c r="U223" s="11">
        <f>IF(AND(C223&lt;&gt;"",M223&lt;&gt;"",OR(H223&lt;&gt;"",O223&lt;&gt;"")),"COMPLETE",IF(OR(C223&lt;&gt;"",M223&lt;&gt;""),"PARTIAL","MISSING"))</f>
        <v/>
      </c>
      <c r="V223" s="11">
        <f>IF(Q223="UNKNOWN","Check fluid description",IF(AND(R223&lt;&gt;"",S223&lt;&gt;""),"Ready for contact screening","Needs TVD + thickness"))</f>
        <v/>
      </c>
    </row>
    <row r="224">
      <c r="A224" s="9" t="n"/>
      <c r="B224" s="9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9" t="n"/>
      <c r="N224" s="9" t="n"/>
      <c r="O224" s="10" t="n"/>
      <c r="P224" s="9" t="n"/>
      <c r="Q224" s="11">
        <f>IF(P224&lt;&gt;"",P224,IF(M224="","UNKNOWN",IF(AND(ISNUMBER(SEARCH("gas",LOWER(M224))),ISNUMBER(SEARCH("water",LOWER(M224)))),"GAS_WATER",IF(AND(ISNUMBER(SEARCH("oil",LOWER(M224))),ISNUMBER(SEARCH("water",LOWER(M224)))),"OIL_WATER",IF(ISNUMBER(SEARCH("gas",LOWER(M224))),"GAS",IF(ISNUMBER(SEARCH("water",LOWER(M224))),"WATER",IF(ISNUMBER(SEARCH("oil",LOWER(M224))),"OIL","UNKNOWN")))))))</f>
        <v/>
      </c>
      <c r="R224" s="12">
        <f>IF(C224="","",C224)</f>
        <v/>
      </c>
      <c r="S224" s="12">
        <f>IF(R224="","",R224+IF(O224&lt;&gt;"",O224,IF(H224="",0,H224)))</f>
        <v/>
      </c>
      <c r="T224" s="12">
        <f>IF(R224="","",MAX(Settings!$B$3,Settings!$B$4*IF(O224&lt;&gt;"",O224,IF(H224="",0,H224))))</f>
        <v/>
      </c>
      <c r="U224" s="11">
        <f>IF(AND(C224&lt;&gt;"",M224&lt;&gt;"",OR(H224&lt;&gt;"",O224&lt;&gt;"")),"COMPLETE",IF(OR(C224&lt;&gt;"",M224&lt;&gt;""),"PARTIAL","MISSING"))</f>
        <v/>
      </c>
      <c r="V224" s="11">
        <f>IF(Q224="UNKNOWN","Check fluid description",IF(AND(R224&lt;&gt;"",S224&lt;&gt;""),"Ready for contact screening","Needs TVD + thickness"))</f>
        <v/>
      </c>
    </row>
    <row r="225">
      <c r="A225" s="9" t="n"/>
      <c r="B225" s="9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9" t="n"/>
      <c r="N225" s="9" t="n"/>
      <c r="O225" s="10" t="n"/>
      <c r="P225" s="9" t="n"/>
      <c r="Q225" s="11">
        <f>IF(P225&lt;&gt;"",P225,IF(M225="","UNKNOWN",IF(AND(ISNUMBER(SEARCH("gas",LOWER(M225))),ISNUMBER(SEARCH("water",LOWER(M225)))),"GAS_WATER",IF(AND(ISNUMBER(SEARCH("oil",LOWER(M225))),ISNUMBER(SEARCH("water",LOWER(M225)))),"OIL_WATER",IF(ISNUMBER(SEARCH("gas",LOWER(M225))),"GAS",IF(ISNUMBER(SEARCH("water",LOWER(M225))),"WATER",IF(ISNUMBER(SEARCH("oil",LOWER(M225))),"OIL","UNKNOWN")))))))</f>
        <v/>
      </c>
      <c r="R225" s="12">
        <f>IF(C225="","",C225)</f>
        <v/>
      </c>
      <c r="S225" s="12">
        <f>IF(R225="","",R225+IF(O225&lt;&gt;"",O225,IF(H225="",0,H225)))</f>
        <v/>
      </c>
      <c r="T225" s="12">
        <f>IF(R225="","",MAX(Settings!$B$3,Settings!$B$4*IF(O225&lt;&gt;"",O225,IF(H225="",0,H225))))</f>
        <v/>
      </c>
      <c r="U225" s="11">
        <f>IF(AND(C225&lt;&gt;"",M225&lt;&gt;"",OR(H225&lt;&gt;"",O225&lt;&gt;"")),"COMPLETE",IF(OR(C225&lt;&gt;"",M225&lt;&gt;""),"PARTIAL","MISSING"))</f>
        <v/>
      </c>
      <c r="V225" s="11">
        <f>IF(Q225="UNKNOWN","Check fluid description",IF(AND(R225&lt;&gt;"",S225&lt;&gt;""),"Ready for contact screening","Needs TVD + thickness"))</f>
        <v/>
      </c>
    </row>
    <row r="226">
      <c r="A226" s="9" t="n"/>
      <c r="B226" s="9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9" t="n"/>
      <c r="N226" s="9" t="n"/>
      <c r="O226" s="10" t="n"/>
      <c r="P226" s="9" t="n"/>
      <c r="Q226" s="11">
        <f>IF(P226&lt;&gt;"",P226,IF(M226="","UNKNOWN",IF(AND(ISNUMBER(SEARCH("gas",LOWER(M226))),ISNUMBER(SEARCH("water",LOWER(M226)))),"GAS_WATER",IF(AND(ISNUMBER(SEARCH("oil",LOWER(M226))),ISNUMBER(SEARCH("water",LOWER(M226)))),"OIL_WATER",IF(ISNUMBER(SEARCH("gas",LOWER(M226))),"GAS",IF(ISNUMBER(SEARCH("water",LOWER(M226))),"WATER",IF(ISNUMBER(SEARCH("oil",LOWER(M226))),"OIL","UNKNOWN")))))))</f>
        <v/>
      </c>
      <c r="R226" s="12">
        <f>IF(C226="","",C226)</f>
        <v/>
      </c>
      <c r="S226" s="12">
        <f>IF(R226="","",R226+IF(O226&lt;&gt;"",O226,IF(H226="",0,H226)))</f>
        <v/>
      </c>
      <c r="T226" s="12">
        <f>IF(R226="","",MAX(Settings!$B$3,Settings!$B$4*IF(O226&lt;&gt;"",O226,IF(H226="",0,H226))))</f>
        <v/>
      </c>
      <c r="U226" s="11">
        <f>IF(AND(C226&lt;&gt;"",M226&lt;&gt;"",OR(H226&lt;&gt;"",O226&lt;&gt;"")),"COMPLETE",IF(OR(C226&lt;&gt;"",M226&lt;&gt;""),"PARTIAL","MISSING"))</f>
        <v/>
      </c>
      <c r="V226" s="11">
        <f>IF(Q226="UNKNOWN","Check fluid description",IF(AND(R226&lt;&gt;"",S226&lt;&gt;""),"Ready for contact screening","Needs TVD + thickness"))</f>
        <v/>
      </c>
    </row>
    <row r="227">
      <c r="A227" s="9" t="n"/>
      <c r="B227" s="9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9" t="n"/>
      <c r="N227" s="9" t="n"/>
      <c r="O227" s="10" t="n"/>
      <c r="P227" s="9" t="n"/>
      <c r="Q227" s="11">
        <f>IF(P227&lt;&gt;"",P227,IF(M227="","UNKNOWN",IF(AND(ISNUMBER(SEARCH("gas",LOWER(M227))),ISNUMBER(SEARCH("water",LOWER(M227)))),"GAS_WATER",IF(AND(ISNUMBER(SEARCH("oil",LOWER(M227))),ISNUMBER(SEARCH("water",LOWER(M227)))),"OIL_WATER",IF(ISNUMBER(SEARCH("gas",LOWER(M227))),"GAS",IF(ISNUMBER(SEARCH("water",LOWER(M227))),"WATER",IF(ISNUMBER(SEARCH("oil",LOWER(M227))),"OIL","UNKNOWN")))))))</f>
        <v/>
      </c>
      <c r="R227" s="12">
        <f>IF(C227="","",C227)</f>
        <v/>
      </c>
      <c r="S227" s="12">
        <f>IF(R227="","",R227+IF(O227&lt;&gt;"",O227,IF(H227="",0,H227)))</f>
        <v/>
      </c>
      <c r="T227" s="12">
        <f>IF(R227="","",MAX(Settings!$B$3,Settings!$B$4*IF(O227&lt;&gt;"",O227,IF(H227="",0,H227))))</f>
        <v/>
      </c>
      <c r="U227" s="11">
        <f>IF(AND(C227&lt;&gt;"",M227&lt;&gt;"",OR(H227&lt;&gt;"",O227&lt;&gt;"")),"COMPLETE",IF(OR(C227&lt;&gt;"",M227&lt;&gt;""),"PARTIAL","MISSING"))</f>
        <v/>
      </c>
      <c r="V227" s="11">
        <f>IF(Q227="UNKNOWN","Check fluid description",IF(AND(R227&lt;&gt;"",S227&lt;&gt;""),"Ready for contact screening","Needs TVD + thickness"))</f>
        <v/>
      </c>
    </row>
    <row r="228">
      <c r="A228" s="9" t="n"/>
      <c r="B228" s="9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9" t="n"/>
      <c r="N228" s="9" t="n"/>
      <c r="O228" s="10" t="n"/>
      <c r="P228" s="9" t="n"/>
      <c r="Q228" s="11">
        <f>IF(P228&lt;&gt;"",P228,IF(M228="","UNKNOWN",IF(AND(ISNUMBER(SEARCH("gas",LOWER(M228))),ISNUMBER(SEARCH("water",LOWER(M228)))),"GAS_WATER",IF(AND(ISNUMBER(SEARCH("oil",LOWER(M228))),ISNUMBER(SEARCH("water",LOWER(M228)))),"OIL_WATER",IF(ISNUMBER(SEARCH("gas",LOWER(M228))),"GAS",IF(ISNUMBER(SEARCH("water",LOWER(M228))),"WATER",IF(ISNUMBER(SEARCH("oil",LOWER(M228))),"OIL","UNKNOWN")))))))</f>
        <v/>
      </c>
      <c r="R228" s="12">
        <f>IF(C228="","",C228)</f>
        <v/>
      </c>
      <c r="S228" s="12">
        <f>IF(R228="","",R228+IF(O228&lt;&gt;"",O228,IF(H228="",0,H228)))</f>
        <v/>
      </c>
      <c r="T228" s="12">
        <f>IF(R228="","",MAX(Settings!$B$3,Settings!$B$4*IF(O228&lt;&gt;"",O228,IF(H228="",0,H228))))</f>
        <v/>
      </c>
      <c r="U228" s="11">
        <f>IF(AND(C228&lt;&gt;"",M228&lt;&gt;"",OR(H228&lt;&gt;"",O228&lt;&gt;"")),"COMPLETE",IF(OR(C228&lt;&gt;"",M228&lt;&gt;""),"PARTIAL","MISSING"))</f>
        <v/>
      </c>
      <c r="V228" s="11">
        <f>IF(Q228="UNKNOWN","Check fluid description",IF(AND(R228&lt;&gt;"",S228&lt;&gt;""),"Ready for contact screening","Needs TVD + thickness"))</f>
        <v/>
      </c>
    </row>
    <row r="229">
      <c r="A229" s="9" t="n"/>
      <c r="B229" s="9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9" t="n"/>
      <c r="N229" s="9" t="n"/>
      <c r="O229" s="10" t="n"/>
      <c r="P229" s="9" t="n"/>
      <c r="Q229" s="11">
        <f>IF(P229&lt;&gt;"",P229,IF(M229="","UNKNOWN",IF(AND(ISNUMBER(SEARCH("gas",LOWER(M229))),ISNUMBER(SEARCH("water",LOWER(M229)))),"GAS_WATER",IF(AND(ISNUMBER(SEARCH("oil",LOWER(M229))),ISNUMBER(SEARCH("water",LOWER(M229)))),"OIL_WATER",IF(ISNUMBER(SEARCH("gas",LOWER(M229))),"GAS",IF(ISNUMBER(SEARCH("water",LOWER(M229))),"WATER",IF(ISNUMBER(SEARCH("oil",LOWER(M229))),"OIL","UNKNOWN")))))))</f>
        <v/>
      </c>
      <c r="R229" s="12">
        <f>IF(C229="","",C229)</f>
        <v/>
      </c>
      <c r="S229" s="12">
        <f>IF(R229="","",R229+IF(O229&lt;&gt;"",O229,IF(H229="",0,H229)))</f>
        <v/>
      </c>
      <c r="T229" s="12">
        <f>IF(R229="","",MAX(Settings!$B$3,Settings!$B$4*IF(O229&lt;&gt;"",O229,IF(H229="",0,H229))))</f>
        <v/>
      </c>
      <c r="U229" s="11">
        <f>IF(AND(C229&lt;&gt;"",M229&lt;&gt;"",OR(H229&lt;&gt;"",O229&lt;&gt;"")),"COMPLETE",IF(OR(C229&lt;&gt;"",M229&lt;&gt;""),"PARTIAL","MISSING"))</f>
        <v/>
      </c>
      <c r="V229" s="11">
        <f>IF(Q229="UNKNOWN","Check fluid description",IF(AND(R229&lt;&gt;"",S229&lt;&gt;""),"Ready for contact screening","Needs TVD + thickness"))</f>
        <v/>
      </c>
    </row>
    <row r="230">
      <c r="A230" s="9" t="n"/>
      <c r="B230" s="9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9" t="n"/>
      <c r="N230" s="9" t="n"/>
      <c r="O230" s="10" t="n"/>
      <c r="P230" s="9" t="n"/>
      <c r="Q230" s="11">
        <f>IF(P230&lt;&gt;"",P230,IF(M230="","UNKNOWN",IF(AND(ISNUMBER(SEARCH("gas",LOWER(M230))),ISNUMBER(SEARCH("water",LOWER(M230)))),"GAS_WATER",IF(AND(ISNUMBER(SEARCH("oil",LOWER(M230))),ISNUMBER(SEARCH("water",LOWER(M230)))),"OIL_WATER",IF(ISNUMBER(SEARCH("gas",LOWER(M230))),"GAS",IF(ISNUMBER(SEARCH("water",LOWER(M230))),"WATER",IF(ISNUMBER(SEARCH("oil",LOWER(M230))),"OIL","UNKNOWN")))))))</f>
        <v/>
      </c>
      <c r="R230" s="12">
        <f>IF(C230="","",C230)</f>
        <v/>
      </c>
      <c r="S230" s="12">
        <f>IF(R230="","",R230+IF(O230&lt;&gt;"",O230,IF(H230="",0,H230)))</f>
        <v/>
      </c>
      <c r="T230" s="12">
        <f>IF(R230="","",MAX(Settings!$B$3,Settings!$B$4*IF(O230&lt;&gt;"",O230,IF(H230="",0,H230))))</f>
        <v/>
      </c>
      <c r="U230" s="11">
        <f>IF(AND(C230&lt;&gt;"",M230&lt;&gt;"",OR(H230&lt;&gt;"",O230&lt;&gt;"")),"COMPLETE",IF(OR(C230&lt;&gt;"",M230&lt;&gt;""),"PARTIAL","MISSING"))</f>
        <v/>
      </c>
      <c r="V230" s="11">
        <f>IF(Q230="UNKNOWN","Check fluid description",IF(AND(R230&lt;&gt;"",S230&lt;&gt;""),"Ready for contact screening","Needs TVD + thickness"))</f>
        <v/>
      </c>
    </row>
    <row r="231">
      <c r="A231" s="9" t="n"/>
      <c r="B231" s="9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9" t="n"/>
      <c r="N231" s="9" t="n"/>
      <c r="O231" s="10" t="n"/>
      <c r="P231" s="9" t="n"/>
      <c r="Q231" s="11">
        <f>IF(P231&lt;&gt;"",P231,IF(M231="","UNKNOWN",IF(AND(ISNUMBER(SEARCH("gas",LOWER(M231))),ISNUMBER(SEARCH("water",LOWER(M231)))),"GAS_WATER",IF(AND(ISNUMBER(SEARCH("oil",LOWER(M231))),ISNUMBER(SEARCH("water",LOWER(M231)))),"OIL_WATER",IF(ISNUMBER(SEARCH("gas",LOWER(M231))),"GAS",IF(ISNUMBER(SEARCH("water",LOWER(M231))),"WATER",IF(ISNUMBER(SEARCH("oil",LOWER(M231))),"OIL","UNKNOWN")))))))</f>
        <v/>
      </c>
      <c r="R231" s="12">
        <f>IF(C231="","",C231)</f>
        <v/>
      </c>
      <c r="S231" s="12">
        <f>IF(R231="","",R231+IF(O231&lt;&gt;"",O231,IF(H231="",0,H231)))</f>
        <v/>
      </c>
      <c r="T231" s="12">
        <f>IF(R231="","",MAX(Settings!$B$3,Settings!$B$4*IF(O231&lt;&gt;"",O231,IF(H231="",0,H231))))</f>
        <v/>
      </c>
      <c r="U231" s="11">
        <f>IF(AND(C231&lt;&gt;"",M231&lt;&gt;"",OR(H231&lt;&gt;"",O231&lt;&gt;"")),"COMPLETE",IF(OR(C231&lt;&gt;"",M231&lt;&gt;""),"PARTIAL","MISSING"))</f>
        <v/>
      </c>
      <c r="V231" s="11">
        <f>IF(Q231="UNKNOWN","Check fluid description",IF(AND(R231&lt;&gt;"",S231&lt;&gt;""),"Ready for contact screening","Needs TVD + thickness"))</f>
        <v/>
      </c>
    </row>
    <row r="232">
      <c r="A232" s="9" t="n"/>
      <c r="B232" s="9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9" t="n"/>
      <c r="N232" s="9" t="n"/>
      <c r="O232" s="10" t="n"/>
      <c r="P232" s="9" t="n"/>
      <c r="Q232" s="11">
        <f>IF(P232&lt;&gt;"",P232,IF(M232="","UNKNOWN",IF(AND(ISNUMBER(SEARCH("gas",LOWER(M232))),ISNUMBER(SEARCH("water",LOWER(M232)))),"GAS_WATER",IF(AND(ISNUMBER(SEARCH("oil",LOWER(M232))),ISNUMBER(SEARCH("water",LOWER(M232)))),"OIL_WATER",IF(ISNUMBER(SEARCH("gas",LOWER(M232))),"GAS",IF(ISNUMBER(SEARCH("water",LOWER(M232))),"WATER",IF(ISNUMBER(SEARCH("oil",LOWER(M232))),"OIL","UNKNOWN")))))))</f>
        <v/>
      </c>
      <c r="R232" s="12">
        <f>IF(C232="","",C232)</f>
        <v/>
      </c>
      <c r="S232" s="12">
        <f>IF(R232="","",R232+IF(O232&lt;&gt;"",O232,IF(H232="",0,H232)))</f>
        <v/>
      </c>
      <c r="T232" s="12">
        <f>IF(R232="","",MAX(Settings!$B$3,Settings!$B$4*IF(O232&lt;&gt;"",O232,IF(H232="",0,H232))))</f>
        <v/>
      </c>
      <c r="U232" s="11">
        <f>IF(AND(C232&lt;&gt;"",M232&lt;&gt;"",OR(H232&lt;&gt;"",O232&lt;&gt;"")),"COMPLETE",IF(OR(C232&lt;&gt;"",M232&lt;&gt;""),"PARTIAL","MISSING"))</f>
        <v/>
      </c>
      <c r="V232" s="11">
        <f>IF(Q232="UNKNOWN","Check fluid description",IF(AND(R232&lt;&gt;"",S232&lt;&gt;""),"Ready for contact screening","Needs TVD + thickness"))</f>
        <v/>
      </c>
    </row>
    <row r="233">
      <c r="A233" s="9" t="n"/>
      <c r="B233" s="9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9" t="n"/>
      <c r="N233" s="9" t="n"/>
      <c r="O233" s="10" t="n"/>
      <c r="P233" s="9" t="n"/>
      <c r="Q233" s="11">
        <f>IF(P233&lt;&gt;"",P233,IF(M233="","UNKNOWN",IF(AND(ISNUMBER(SEARCH("gas",LOWER(M233))),ISNUMBER(SEARCH("water",LOWER(M233)))),"GAS_WATER",IF(AND(ISNUMBER(SEARCH("oil",LOWER(M233))),ISNUMBER(SEARCH("water",LOWER(M233)))),"OIL_WATER",IF(ISNUMBER(SEARCH("gas",LOWER(M233))),"GAS",IF(ISNUMBER(SEARCH("water",LOWER(M233))),"WATER",IF(ISNUMBER(SEARCH("oil",LOWER(M233))),"OIL","UNKNOWN")))))))</f>
        <v/>
      </c>
      <c r="R233" s="12">
        <f>IF(C233="","",C233)</f>
        <v/>
      </c>
      <c r="S233" s="12">
        <f>IF(R233="","",R233+IF(O233&lt;&gt;"",O233,IF(H233="",0,H233)))</f>
        <v/>
      </c>
      <c r="T233" s="12">
        <f>IF(R233="","",MAX(Settings!$B$3,Settings!$B$4*IF(O233&lt;&gt;"",O233,IF(H233="",0,H233))))</f>
        <v/>
      </c>
      <c r="U233" s="11">
        <f>IF(AND(C233&lt;&gt;"",M233&lt;&gt;"",OR(H233&lt;&gt;"",O233&lt;&gt;"")),"COMPLETE",IF(OR(C233&lt;&gt;"",M233&lt;&gt;""),"PARTIAL","MISSING"))</f>
        <v/>
      </c>
      <c r="V233" s="11">
        <f>IF(Q233="UNKNOWN","Check fluid description",IF(AND(R233&lt;&gt;"",S233&lt;&gt;""),"Ready for contact screening","Needs TVD + thickness"))</f>
        <v/>
      </c>
    </row>
    <row r="234">
      <c r="A234" s="9" t="n"/>
      <c r="B234" s="9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9" t="n"/>
      <c r="N234" s="9" t="n"/>
      <c r="O234" s="10" t="n"/>
      <c r="P234" s="9" t="n"/>
      <c r="Q234" s="11">
        <f>IF(P234&lt;&gt;"",P234,IF(M234="","UNKNOWN",IF(AND(ISNUMBER(SEARCH("gas",LOWER(M234))),ISNUMBER(SEARCH("water",LOWER(M234)))),"GAS_WATER",IF(AND(ISNUMBER(SEARCH("oil",LOWER(M234))),ISNUMBER(SEARCH("water",LOWER(M234)))),"OIL_WATER",IF(ISNUMBER(SEARCH("gas",LOWER(M234))),"GAS",IF(ISNUMBER(SEARCH("water",LOWER(M234))),"WATER",IF(ISNUMBER(SEARCH("oil",LOWER(M234))),"OIL","UNKNOWN")))))))</f>
        <v/>
      </c>
      <c r="R234" s="12">
        <f>IF(C234="","",C234)</f>
        <v/>
      </c>
      <c r="S234" s="12">
        <f>IF(R234="","",R234+IF(O234&lt;&gt;"",O234,IF(H234="",0,H234)))</f>
        <v/>
      </c>
      <c r="T234" s="12">
        <f>IF(R234="","",MAX(Settings!$B$3,Settings!$B$4*IF(O234&lt;&gt;"",O234,IF(H234="",0,H234))))</f>
        <v/>
      </c>
      <c r="U234" s="11">
        <f>IF(AND(C234&lt;&gt;"",M234&lt;&gt;"",OR(H234&lt;&gt;"",O234&lt;&gt;"")),"COMPLETE",IF(OR(C234&lt;&gt;"",M234&lt;&gt;""),"PARTIAL","MISSING"))</f>
        <v/>
      </c>
      <c r="V234" s="11">
        <f>IF(Q234="UNKNOWN","Check fluid description",IF(AND(R234&lt;&gt;"",S234&lt;&gt;""),"Ready for contact screening","Needs TVD + thickness"))</f>
        <v/>
      </c>
    </row>
    <row r="235">
      <c r="A235" s="9" t="n"/>
      <c r="B235" s="9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9" t="n"/>
      <c r="N235" s="9" t="n"/>
      <c r="O235" s="10" t="n"/>
      <c r="P235" s="9" t="n"/>
      <c r="Q235" s="11">
        <f>IF(P235&lt;&gt;"",P235,IF(M235="","UNKNOWN",IF(AND(ISNUMBER(SEARCH("gas",LOWER(M235))),ISNUMBER(SEARCH("water",LOWER(M235)))),"GAS_WATER",IF(AND(ISNUMBER(SEARCH("oil",LOWER(M235))),ISNUMBER(SEARCH("water",LOWER(M235)))),"OIL_WATER",IF(ISNUMBER(SEARCH("gas",LOWER(M235))),"GAS",IF(ISNUMBER(SEARCH("water",LOWER(M235))),"WATER",IF(ISNUMBER(SEARCH("oil",LOWER(M235))),"OIL","UNKNOWN")))))))</f>
        <v/>
      </c>
      <c r="R235" s="12">
        <f>IF(C235="","",C235)</f>
        <v/>
      </c>
      <c r="S235" s="12">
        <f>IF(R235="","",R235+IF(O235&lt;&gt;"",O235,IF(H235="",0,H235)))</f>
        <v/>
      </c>
      <c r="T235" s="12">
        <f>IF(R235="","",MAX(Settings!$B$3,Settings!$B$4*IF(O235&lt;&gt;"",O235,IF(H235="",0,H235))))</f>
        <v/>
      </c>
      <c r="U235" s="11">
        <f>IF(AND(C235&lt;&gt;"",M235&lt;&gt;"",OR(H235&lt;&gt;"",O235&lt;&gt;"")),"COMPLETE",IF(OR(C235&lt;&gt;"",M235&lt;&gt;""),"PARTIAL","MISSING"))</f>
        <v/>
      </c>
      <c r="V235" s="11">
        <f>IF(Q235="UNKNOWN","Check fluid description",IF(AND(R235&lt;&gt;"",S235&lt;&gt;""),"Ready for contact screening","Needs TVD + thickness"))</f>
        <v/>
      </c>
    </row>
    <row r="236">
      <c r="A236" s="9" t="n"/>
      <c r="B236" s="9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9" t="n"/>
      <c r="N236" s="9" t="n"/>
      <c r="O236" s="10" t="n"/>
      <c r="P236" s="9" t="n"/>
      <c r="Q236" s="11">
        <f>IF(P236&lt;&gt;"",P236,IF(M236="","UNKNOWN",IF(AND(ISNUMBER(SEARCH("gas",LOWER(M236))),ISNUMBER(SEARCH("water",LOWER(M236)))),"GAS_WATER",IF(AND(ISNUMBER(SEARCH("oil",LOWER(M236))),ISNUMBER(SEARCH("water",LOWER(M236)))),"OIL_WATER",IF(ISNUMBER(SEARCH("gas",LOWER(M236))),"GAS",IF(ISNUMBER(SEARCH("water",LOWER(M236))),"WATER",IF(ISNUMBER(SEARCH("oil",LOWER(M236))),"OIL","UNKNOWN")))))))</f>
        <v/>
      </c>
      <c r="R236" s="12">
        <f>IF(C236="","",C236)</f>
        <v/>
      </c>
      <c r="S236" s="12">
        <f>IF(R236="","",R236+IF(O236&lt;&gt;"",O236,IF(H236="",0,H236)))</f>
        <v/>
      </c>
      <c r="T236" s="12">
        <f>IF(R236="","",MAX(Settings!$B$3,Settings!$B$4*IF(O236&lt;&gt;"",O236,IF(H236="",0,H236))))</f>
        <v/>
      </c>
      <c r="U236" s="11">
        <f>IF(AND(C236&lt;&gt;"",M236&lt;&gt;"",OR(H236&lt;&gt;"",O236&lt;&gt;"")),"COMPLETE",IF(OR(C236&lt;&gt;"",M236&lt;&gt;""),"PARTIAL","MISSING"))</f>
        <v/>
      </c>
      <c r="V236" s="11">
        <f>IF(Q236="UNKNOWN","Check fluid description",IF(AND(R236&lt;&gt;"",S236&lt;&gt;""),"Ready for contact screening","Needs TVD + thickness"))</f>
        <v/>
      </c>
    </row>
    <row r="237">
      <c r="A237" s="9" t="n"/>
      <c r="B237" s="9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9" t="n"/>
      <c r="N237" s="9" t="n"/>
      <c r="O237" s="10" t="n"/>
      <c r="P237" s="9" t="n"/>
      <c r="Q237" s="11">
        <f>IF(P237&lt;&gt;"",P237,IF(M237="","UNKNOWN",IF(AND(ISNUMBER(SEARCH("gas",LOWER(M237))),ISNUMBER(SEARCH("water",LOWER(M237)))),"GAS_WATER",IF(AND(ISNUMBER(SEARCH("oil",LOWER(M237))),ISNUMBER(SEARCH("water",LOWER(M237)))),"OIL_WATER",IF(ISNUMBER(SEARCH("gas",LOWER(M237))),"GAS",IF(ISNUMBER(SEARCH("water",LOWER(M237))),"WATER",IF(ISNUMBER(SEARCH("oil",LOWER(M237))),"OIL","UNKNOWN")))))))</f>
        <v/>
      </c>
      <c r="R237" s="12">
        <f>IF(C237="","",C237)</f>
        <v/>
      </c>
      <c r="S237" s="12">
        <f>IF(R237="","",R237+IF(O237&lt;&gt;"",O237,IF(H237="",0,H237)))</f>
        <v/>
      </c>
      <c r="T237" s="12">
        <f>IF(R237="","",MAX(Settings!$B$3,Settings!$B$4*IF(O237&lt;&gt;"",O237,IF(H237="",0,H237))))</f>
        <v/>
      </c>
      <c r="U237" s="11">
        <f>IF(AND(C237&lt;&gt;"",M237&lt;&gt;"",OR(H237&lt;&gt;"",O237&lt;&gt;"")),"COMPLETE",IF(OR(C237&lt;&gt;"",M237&lt;&gt;""),"PARTIAL","MISSING"))</f>
        <v/>
      </c>
      <c r="V237" s="11">
        <f>IF(Q237="UNKNOWN","Check fluid description",IF(AND(R237&lt;&gt;"",S237&lt;&gt;""),"Ready for contact screening","Needs TVD + thickness"))</f>
        <v/>
      </c>
    </row>
    <row r="238">
      <c r="A238" s="9" t="n"/>
      <c r="B238" s="9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9" t="n"/>
      <c r="N238" s="9" t="n"/>
      <c r="O238" s="10" t="n"/>
      <c r="P238" s="9" t="n"/>
      <c r="Q238" s="11">
        <f>IF(P238&lt;&gt;"",P238,IF(M238="","UNKNOWN",IF(AND(ISNUMBER(SEARCH("gas",LOWER(M238))),ISNUMBER(SEARCH("water",LOWER(M238)))),"GAS_WATER",IF(AND(ISNUMBER(SEARCH("oil",LOWER(M238))),ISNUMBER(SEARCH("water",LOWER(M238)))),"OIL_WATER",IF(ISNUMBER(SEARCH("gas",LOWER(M238))),"GAS",IF(ISNUMBER(SEARCH("water",LOWER(M238))),"WATER",IF(ISNUMBER(SEARCH("oil",LOWER(M238))),"OIL","UNKNOWN")))))))</f>
        <v/>
      </c>
      <c r="R238" s="12">
        <f>IF(C238="","",C238)</f>
        <v/>
      </c>
      <c r="S238" s="12">
        <f>IF(R238="","",R238+IF(O238&lt;&gt;"",O238,IF(H238="",0,H238)))</f>
        <v/>
      </c>
      <c r="T238" s="12">
        <f>IF(R238="","",MAX(Settings!$B$3,Settings!$B$4*IF(O238&lt;&gt;"",O238,IF(H238="",0,H238))))</f>
        <v/>
      </c>
      <c r="U238" s="11">
        <f>IF(AND(C238&lt;&gt;"",M238&lt;&gt;"",OR(H238&lt;&gt;"",O238&lt;&gt;"")),"COMPLETE",IF(OR(C238&lt;&gt;"",M238&lt;&gt;""),"PARTIAL","MISSING"))</f>
        <v/>
      </c>
      <c r="V238" s="11">
        <f>IF(Q238="UNKNOWN","Check fluid description",IF(AND(R238&lt;&gt;"",S238&lt;&gt;""),"Ready for contact screening","Needs TVD + thickness"))</f>
        <v/>
      </c>
    </row>
    <row r="239">
      <c r="A239" s="9" t="n"/>
      <c r="B239" s="9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9" t="n"/>
      <c r="N239" s="9" t="n"/>
      <c r="O239" s="10" t="n"/>
      <c r="P239" s="9" t="n"/>
      <c r="Q239" s="11">
        <f>IF(P239&lt;&gt;"",P239,IF(M239="","UNKNOWN",IF(AND(ISNUMBER(SEARCH("gas",LOWER(M239))),ISNUMBER(SEARCH("water",LOWER(M239)))),"GAS_WATER",IF(AND(ISNUMBER(SEARCH("oil",LOWER(M239))),ISNUMBER(SEARCH("water",LOWER(M239)))),"OIL_WATER",IF(ISNUMBER(SEARCH("gas",LOWER(M239))),"GAS",IF(ISNUMBER(SEARCH("water",LOWER(M239))),"WATER",IF(ISNUMBER(SEARCH("oil",LOWER(M239))),"OIL","UNKNOWN")))))))</f>
        <v/>
      </c>
      <c r="R239" s="12">
        <f>IF(C239="","",C239)</f>
        <v/>
      </c>
      <c r="S239" s="12">
        <f>IF(R239="","",R239+IF(O239&lt;&gt;"",O239,IF(H239="",0,H239)))</f>
        <v/>
      </c>
      <c r="T239" s="12">
        <f>IF(R239="","",MAX(Settings!$B$3,Settings!$B$4*IF(O239&lt;&gt;"",O239,IF(H239="",0,H239))))</f>
        <v/>
      </c>
      <c r="U239" s="11">
        <f>IF(AND(C239&lt;&gt;"",M239&lt;&gt;"",OR(H239&lt;&gt;"",O239&lt;&gt;"")),"COMPLETE",IF(OR(C239&lt;&gt;"",M239&lt;&gt;""),"PARTIAL","MISSING"))</f>
        <v/>
      </c>
      <c r="V239" s="11">
        <f>IF(Q239="UNKNOWN","Check fluid description",IF(AND(R239&lt;&gt;"",S239&lt;&gt;""),"Ready for contact screening","Needs TVD + thickness"))</f>
        <v/>
      </c>
    </row>
    <row r="240">
      <c r="A240" s="9" t="n"/>
      <c r="B240" s="9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9" t="n"/>
      <c r="N240" s="9" t="n"/>
      <c r="O240" s="10" t="n"/>
      <c r="P240" s="9" t="n"/>
      <c r="Q240" s="11">
        <f>IF(P240&lt;&gt;"",P240,IF(M240="","UNKNOWN",IF(AND(ISNUMBER(SEARCH("gas",LOWER(M240))),ISNUMBER(SEARCH("water",LOWER(M240)))),"GAS_WATER",IF(AND(ISNUMBER(SEARCH("oil",LOWER(M240))),ISNUMBER(SEARCH("water",LOWER(M240)))),"OIL_WATER",IF(ISNUMBER(SEARCH("gas",LOWER(M240))),"GAS",IF(ISNUMBER(SEARCH("water",LOWER(M240))),"WATER",IF(ISNUMBER(SEARCH("oil",LOWER(M240))),"OIL","UNKNOWN")))))))</f>
        <v/>
      </c>
      <c r="R240" s="12">
        <f>IF(C240="","",C240)</f>
        <v/>
      </c>
      <c r="S240" s="12">
        <f>IF(R240="","",R240+IF(O240&lt;&gt;"",O240,IF(H240="",0,H240)))</f>
        <v/>
      </c>
      <c r="T240" s="12">
        <f>IF(R240="","",MAX(Settings!$B$3,Settings!$B$4*IF(O240&lt;&gt;"",O240,IF(H240="",0,H240))))</f>
        <v/>
      </c>
      <c r="U240" s="11">
        <f>IF(AND(C240&lt;&gt;"",M240&lt;&gt;"",OR(H240&lt;&gt;"",O240&lt;&gt;"")),"COMPLETE",IF(OR(C240&lt;&gt;"",M240&lt;&gt;""),"PARTIAL","MISSING"))</f>
        <v/>
      </c>
      <c r="V240" s="11">
        <f>IF(Q240="UNKNOWN","Check fluid description",IF(AND(R240&lt;&gt;"",S240&lt;&gt;""),"Ready for contact screening","Needs TVD + thickness"))</f>
        <v/>
      </c>
    </row>
    <row r="241">
      <c r="A241" s="9" t="n"/>
      <c r="B241" s="9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9" t="n"/>
      <c r="N241" s="9" t="n"/>
      <c r="O241" s="10" t="n"/>
      <c r="P241" s="9" t="n"/>
      <c r="Q241" s="11">
        <f>IF(P241&lt;&gt;"",P241,IF(M241="","UNKNOWN",IF(AND(ISNUMBER(SEARCH("gas",LOWER(M241))),ISNUMBER(SEARCH("water",LOWER(M241)))),"GAS_WATER",IF(AND(ISNUMBER(SEARCH("oil",LOWER(M241))),ISNUMBER(SEARCH("water",LOWER(M241)))),"OIL_WATER",IF(ISNUMBER(SEARCH("gas",LOWER(M241))),"GAS",IF(ISNUMBER(SEARCH("water",LOWER(M241))),"WATER",IF(ISNUMBER(SEARCH("oil",LOWER(M241))),"OIL","UNKNOWN")))))))</f>
        <v/>
      </c>
      <c r="R241" s="12">
        <f>IF(C241="","",C241)</f>
        <v/>
      </c>
      <c r="S241" s="12">
        <f>IF(R241="","",R241+IF(O241&lt;&gt;"",O241,IF(H241="",0,H241)))</f>
        <v/>
      </c>
      <c r="T241" s="12">
        <f>IF(R241="","",MAX(Settings!$B$3,Settings!$B$4*IF(O241&lt;&gt;"",O241,IF(H241="",0,H241))))</f>
        <v/>
      </c>
      <c r="U241" s="11">
        <f>IF(AND(C241&lt;&gt;"",M241&lt;&gt;"",OR(H241&lt;&gt;"",O241&lt;&gt;"")),"COMPLETE",IF(OR(C241&lt;&gt;"",M241&lt;&gt;""),"PARTIAL","MISSING"))</f>
        <v/>
      </c>
      <c r="V241" s="11">
        <f>IF(Q241="UNKNOWN","Check fluid description",IF(AND(R241&lt;&gt;"",S241&lt;&gt;""),"Ready for contact screening","Needs TVD + thickness"))</f>
        <v/>
      </c>
    </row>
    <row r="242">
      <c r="A242" s="9" t="n"/>
      <c r="B242" s="9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9" t="n"/>
      <c r="N242" s="9" t="n"/>
      <c r="O242" s="10" t="n"/>
      <c r="P242" s="9" t="n"/>
      <c r="Q242" s="11">
        <f>IF(P242&lt;&gt;"",P242,IF(M242="","UNKNOWN",IF(AND(ISNUMBER(SEARCH("gas",LOWER(M242))),ISNUMBER(SEARCH("water",LOWER(M242)))),"GAS_WATER",IF(AND(ISNUMBER(SEARCH("oil",LOWER(M242))),ISNUMBER(SEARCH("water",LOWER(M242)))),"OIL_WATER",IF(ISNUMBER(SEARCH("gas",LOWER(M242))),"GAS",IF(ISNUMBER(SEARCH("water",LOWER(M242))),"WATER",IF(ISNUMBER(SEARCH("oil",LOWER(M242))),"OIL","UNKNOWN")))))))</f>
        <v/>
      </c>
      <c r="R242" s="12">
        <f>IF(C242="","",C242)</f>
        <v/>
      </c>
      <c r="S242" s="12">
        <f>IF(R242="","",R242+IF(O242&lt;&gt;"",O242,IF(H242="",0,H242)))</f>
        <v/>
      </c>
      <c r="T242" s="12">
        <f>IF(R242="","",MAX(Settings!$B$3,Settings!$B$4*IF(O242&lt;&gt;"",O242,IF(H242="",0,H242))))</f>
        <v/>
      </c>
      <c r="U242" s="11">
        <f>IF(AND(C242&lt;&gt;"",M242&lt;&gt;"",OR(H242&lt;&gt;"",O242&lt;&gt;"")),"COMPLETE",IF(OR(C242&lt;&gt;"",M242&lt;&gt;""),"PARTIAL","MISSING"))</f>
        <v/>
      </c>
      <c r="V242" s="11">
        <f>IF(Q242="UNKNOWN","Check fluid description",IF(AND(R242&lt;&gt;"",S242&lt;&gt;""),"Ready for contact screening","Needs TVD + thickness"))</f>
        <v/>
      </c>
    </row>
    <row r="243">
      <c r="A243" s="9" t="n"/>
      <c r="B243" s="9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9" t="n"/>
      <c r="N243" s="9" t="n"/>
      <c r="O243" s="10" t="n"/>
      <c r="P243" s="9" t="n"/>
      <c r="Q243" s="11">
        <f>IF(P243&lt;&gt;"",P243,IF(M243="","UNKNOWN",IF(AND(ISNUMBER(SEARCH("gas",LOWER(M243))),ISNUMBER(SEARCH("water",LOWER(M243)))),"GAS_WATER",IF(AND(ISNUMBER(SEARCH("oil",LOWER(M243))),ISNUMBER(SEARCH("water",LOWER(M243)))),"OIL_WATER",IF(ISNUMBER(SEARCH("gas",LOWER(M243))),"GAS",IF(ISNUMBER(SEARCH("water",LOWER(M243))),"WATER",IF(ISNUMBER(SEARCH("oil",LOWER(M243))),"OIL","UNKNOWN")))))))</f>
        <v/>
      </c>
      <c r="R243" s="12">
        <f>IF(C243="","",C243)</f>
        <v/>
      </c>
      <c r="S243" s="12">
        <f>IF(R243="","",R243+IF(O243&lt;&gt;"",O243,IF(H243="",0,H243)))</f>
        <v/>
      </c>
      <c r="T243" s="12">
        <f>IF(R243="","",MAX(Settings!$B$3,Settings!$B$4*IF(O243&lt;&gt;"",O243,IF(H243="",0,H243))))</f>
        <v/>
      </c>
      <c r="U243" s="11">
        <f>IF(AND(C243&lt;&gt;"",M243&lt;&gt;"",OR(H243&lt;&gt;"",O243&lt;&gt;"")),"COMPLETE",IF(OR(C243&lt;&gt;"",M243&lt;&gt;""),"PARTIAL","MISSING"))</f>
        <v/>
      </c>
      <c r="V243" s="11">
        <f>IF(Q243="UNKNOWN","Check fluid description",IF(AND(R243&lt;&gt;"",S243&lt;&gt;""),"Ready for contact screening","Needs TVD + thickness"))</f>
        <v/>
      </c>
    </row>
    <row r="244">
      <c r="A244" s="9" t="n"/>
      <c r="B244" s="9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9" t="n"/>
      <c r="N244" s="9" t="n"/>
      <c r="O244" s="10" t="n"/>
      <c r="P244" s="9" t="n"/>
      <c r="Q244" s="11">
        <f>IF(P244&lt;&gt;"",P244,IF(M244="","UNKNOWN",IF(AND(ISNUMBER(SEARCH("gas",LOWER(M244))),ISNUMBER(SEARCH("water",LOWER(M244)))),"GAS_WATER",IF(AND(ISNUMBER(SEARCH("oil",LOWER(M244))),ISNUMBER(SEARCH("water",LOWER(M244)))),"OIL_WATER",IF(ISNUMBER(SEARCH("gas",LOWER(M244))),"GAS",IF(ISNUMBER(SEARCH("water",LOWER(M244))),"WATER",IF(ISNUMBER(SEARCH("oil",LOWER(M244))),"OIL","UNKNOWN")))))))</f>
        <v/>
      </c>
      <c r="R244" s="12">
        <f>IF(C244="","",C244)</f>
        <v/>
      </c>
      <c r="S244" s="12">
        <f>IF(R244="","",R244+IF(O244&lt;&gt;"",O244,IF(H244="",0,H244)))</f>
        <v/>
      </c>
      <c r="T244" s="12">
        <f>IF(R244="","",MAX(Settings!$B$3,Settings!$B$4*IF(O244&lt;&gt;"",O244,IF(H244="",0,H244))))</f>
        <v/>
      </c>
      <c r="U244" s="11">
        <f>IF(AND(C244&lt;&gt;"",M244&lt;&gt;"",OR(H244&lt;&gt;"",O244&lt;&gt;"")),"COMPLETE",IF(OR(C244&lt;&gt;"",M244&lt;&gt;""),"PARTIAL","MISSING"))</f>
        <v/>
      </c>
      <c r="V244" s="11">
        <f>IF(Q244="UNKNOWN","Check fluid description",IF(AND(R244&lt;&gt;"",S244&lt;&gt;""),"Ready for contact screening","Needs TVD + thickness"))</f>
        <v/>
      </c>
    </row>
    <row r="245">
      <c r="A245" s="9" t="n"/>
      <c r="B245" s="9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9" t="n"/>
      <c r="N245" s="9" t="n"/>
      <c r="O245" s="10" t="n"/>
      <c r="P245" s="9" t="n"/>
      <c r="Q245" s="11">
        <f>IF(P245&lt;&gt;"",P245,IF(M245="","UNKNOWN",IF(AND(ISNUMBER(SEARCH("gas",LOWER(M245))),ISNUMBER(SEARCH("water",LOWER(M245)))),"GAS_WATER",IF(AND(ISNUMBER(SEARCH("oil",LOWER(M245))),ISNUMBER(SEARCH("water",LOWER(M245)))),"OIL_WATER",IF(ISNUMBER(SEARCH("gas",LOWER(M245))),"GAS",IF(ISNUMBER(SEARCH("water",LOWER(M245))),"WATER",IF(ISNUMBER(SEARCH("oil",LOWER(M245))),"OIL","UNKNOWN")))))))</f>
        <v/>
      </c>
      <c r="R245" s="12">
        <f>IF(C245="","",C245)</f>
        <v/>
      </c>
      <c r="S245" s="12">
        <f>IF(R245="","",R245+IF(O245&lt;&gt;"",O245,IF(H245="",0,H245)))</f>
        <v/>
      </c>
      <c r="T245" s="12">
        <f>IF(R245="","",MAX(Settings!$B$3,Settings!$B$4*IF(O245&lt;&gt;"",O245,IF(H245="",0,H245))))</f>
        <v/>
      </c>
      <c r="U245" s="11">
        <f>IF(AND(C245&lt;&gt;"",M245&lt;&gt;"",OR(H245&lt;&gt;"",O245&lt;&gt;"")),"COMPLETE",IF(OR(C245&lt;&gt;"",M245&lt;&gt;""),"PARTIAL","MISSING"))</f>
        <v/>
      </c>
      <c r="V245" s="11">
        <f>IF(Q245="UNKNOWN","Check fluid description",IF(AND(R245&lt;&gt;"",S245&lt;&gt;""),"Ready for contact screening","Needs TVD + thickness"))</f>
        <v/>
      </c>
    </row>
    <row r="246">
      <c r="A246" s="9" t="n"/>
      <c r="B246" s="9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9" t="n"/>
      <c r="N246" s="9" t="n"/>
      <c r="O246" s="10" t="n"/>
      <c r="P246" s="9" t="n"/>
      <c r="Q246" s="11">
        <f>IF(P246&lt;&gt;"",P246,IF(M246="","UNKNOWN",IF(AND(ISNUMBER(SEARCH("gas",LOWER(M246))),ISNUMBER(SEARCH("water",LOWER(M246)))),"GAS_WATER",IF(AND(ISNUMBER(SEARCH("oil",LOWER(M246))),ISNUMBER(SEARCH("water",LOWER(M246)))),"OIL_WATER",IF(ISNUMBER(SEARCH("gas",LOWER(M246))),"GAS",IF(ISNUMBER(SEARCH("water",LOWER(M246))),"WATER",IF(ISNUMBER(SEARCH("oil",LOWER(M246))),"OIL","UNKNOWN")))))))</f>
        <v/>
      </c>
      <c r="R246" s="12">
        <f>IF(C246="","",C246)</f>
        <v/>
      </c>
      <c r="S246" s="12">
        <f>IF(R246="","",R246+IF(O246&lt;&gt;"",O246,IF(H246="",0,H246)))</f>
        <v/>
      </c>
      <c r="T246" s="12">
        <f>IF(R246="","",MAX(Settings!$B$3,Settings!$B$4*IF(O246&lt;&gt;"",O246,IF(H246="",0,H246))))</f>
        <v/>
      </c>
      <c r="U246" s="11">
        <f>IF(AND(C246&lt;&gt;"",M246&lt;&gt;"",OR(H246&lt;&gt;"",O246&lt;&gt;"")),"COMPLETE",IF(OR(C246&lt;&gt;"",M246&lt;&gt;""),"PARTIAL","MISSING"))</f>
        <v/>
      </c>
      <c r="V246" s="11">
        <f>IF(Q246="UNKNOWN","Check fluid description",IF(AND(R246&lt;&gt;"",S246&lt;&gt;""),"Ready for contact screening","Needs TVD + thickness"))</f>
        <v/>
      </c>
    </row>
    <row r="247">
      <c r="A247" s="9" t="n"/>
      <c r="B247" s="9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9" t="n"/>
      <c r="N247" s="9" t="n"/>
      <c r="O247" s="10" t="n"/>
      <c r="P247" s="9" t="n"/>
      <c r="Q247" s="11">
        <f>IF(P247&lt;&gt;"",P247,IF(M247="","UNKNOWN",IF(AND(ISNUMBER(SEARCH("gas",LOWER(M247))),ISNUMBER(SEARCH("water",LOWER(M247)))),"GAS_WATER",IF(AND(ISNUMBER(SEARCH("oil",LOWER(M247))),ISNUMBER(SEARCH("water",LOWER(M247)))),"OIL_WATER",IF(ISNUMBER(SEARCH("gas",LOWER(M247))),"GAS",IF(ISNUMBER(SEARCH("water",LOWER(M247))),"WATER",IF(ISNUMBER(SEARCH("oil",LOWER(M247))),"OIL","UNKNOWN")))))))</f>
        <v/>
      </c>
      <c r="R247" s="12">
        <f>IF(C247="","",C247)</f>
        <v/>
      </c>
      <c r="S247" s="12">
        <f>IF(R247="","",R247+IF(O247&lt;&gt;"",O247,IF(H247="",0,H247)))</f>
        <v/>
      </c>
      <c r="T247" s="12">
        <f>IF(R247="","",MAX(Settings!$B$3,Settings!$B$4*IF(O247&lt;&gt;"",O247,IF(H247="",0,H247))))</f>
        <v/>
      </c>
      <c r="U247" s="11">
        <f>IF(AND(C247&lt;&gt;"",M247&lt;&gt;"",OR(H247&lt;&gt;"",O247&lt;&gt;"")),"COMPLETE",IF(OR(C247&lt;&gt;"",M247&lt;&gt;""),"PARTIAL","MISSING"))</f>
        <v/>
      </c>
      <c r="V247" s="11">
        <f>IF(Q247="UNKNOWN","Check fluid description",IF(AND(R247&lt;&gt;"",S247&lt;&gt;""),"Ready for contact screening","Needs TVD + thickness"))</f>
        <v/>
      </c>
    </row>
    <row r="248">
      <c r="A248" s="9" t="n"/>
      <c r="B248" s="9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9" t="n"/>
      <c r="N248" s="9" t="n"/>
      <c r="O248" s="10" t="n"/>
      <c r="P248" s="9" t="n"/>
      <c r="Q248" s="11">
        <f>IF(P248&lt;&gt;"",P248,IF(M248="","UNKNOWN",IF(AND(ISNUMBER(SEARCH("gas",LOWER(M248))),ISNUMBER(SEARCH("water",LOWER(M248)))),"GAS_WATER",IF(AND(ISNUMBER(SEARCH("oil",LOWER(M248))),ISNUMBER(SEARCH("water",LOWER(M248)))),"OIL_WATER",IF(ISNUMBER(SEARCH("gas",LOWER(M248))),"GAS",IF(ISNUMBER(SEARCH("water",LOWER(M248))),"WATER",IF(ISNUMBER(SEARCH("oil",LOWER(M248))),"OIL","UNKNOWN")))))))</f>
        <v/>
      </c>
      <c r="R248" s="12">
        <f>IF(C248="","",C248)</f>
        <v/>
      </c>
      <c r="S248" s="12">
        <f>IF(R248="","",R248+IF(O248&lt;&gt;"",O248,IF(H248="",0,H248)))</f>
        <v/>
      </c>
      <c r="T248" s="12">
        <f>IF(R248="","",MAX(Settings!$B$3,Settings!$B$4*IF(O248&lt;&gt;"",O248,IF(H248="",0,H248))))</f>
        <v/>
      </c>
      <c r="U248" s="11">
        <f>IF(AND(C248&lt;&gt;"",M248&lt;&gt;"",OR(H248&lt;&gt;"",O248&lt;&gt;"")),"COMPLETE",IF(OR(C248&lt;&gt;"",M248&lt;&gt;""),"PARTIAL","MISSING"))</f>
        <v/>
      </c>
      <c r="V248" s="11">
        <f>IF(Q248="UNKNOWN","Check fluid description",IF(AND(R248&lt;&gt;"",S248&lt;&gt;""),"Ready for contact screening","Needs TVD + thickness"))</f>
        <v/>
      </c>
    </row>
    <row r="249">
      <c r="A249" s="9" t="n"/>
      <c r="B249" s="9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9" t="n"/>
      <c r="N249" s="9" t="n"/>
      <c r="O249" s="10" t="n"/>
      <c r="P249" s="9" t="n"/>
      <c r="Q249" s="11">
        <f>IF(P249&lt;&gt;"",P249,IF(M249="","UNKNOWN",IF(AND(ISNUMBER(SEARCH("gas",LOWER(M249))),ISNUMBER(SEARCH("water",LOWER(M249)))),"GAS_WATER",IF(AND(ISNUMBER(SEARCH("oil",LOWER(M249))),ISNUMBER(SEARCH("water",LOWER(M249)))),"OIL_WATER",IF(ISNUMBER(SEARCH("gas",LOWER(M249))),"GAS",IF(ISNUMBER(SEARCH("water",LOWER(M249))),"WATER",IF(ISNUMBER(SEARCH("oil",LOWER(M249))),"OIL","UNKNOWN")))))))</f>
        <v/>
      </c>
      <c r="R249" s="12">
        <f>IF(C249="","",C249)</f>
        <v/>
      </c>
      <c r="S249" s="12">
        <f>IF(R249="","",R249+IF(O249&lt;&gt;"",O249,IF(H249="",0,H249)))</f>
        <v/>
      </c>
      <c r="T249" s="12">
        <f>IF(R249="","",MAX(Settings!$B$3,Settings!$B$4*IF(O249&lt;&gt;"",O249,IF(H249="",0,H249))))</f>
        <v/>
      </c>
      <c r="U249" s="11">
        <f>IF(AND(C249&lt;&gt;"",M249&lt;&gt;"",OR(H249&lt;&gt;"",O249&lt;&gt;"")),"COMPLETE",IF(OR(C249&lt;&gt;"",M249&lt;&gt;""),"PARTIAL","MISSING"))</f>
        <v/>
      </c>
      <c r="V249" s="11">
        <f>IF(Q249="UNKNOWN","Check fluid description",IF(AND(R249&lt;&gt;"",S249&lt;&gt;""),"Ready for contact screening","Needs TVD + thickness"))</f>
        <v/>
      </c>
    </row>
    <row r="250">
      <c r="A250" s="9" t="n"/>
      <c r="B250" s="9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9" t="n"/>
      <c r="N250" s="9" t="n"/>
      <c r="O250" s="10" t="n"/>
      <c r="P250" s="9" t="n"/>
      <c r="Q250" s="11">
        <f>IF(P250&lt;&gt;"",P250,IF(M250="","UNKNOWN",IF(AND(ISNUMBER(SEARCH("gas",LOWER(M250))),ISNUMBER(SEARCH("water",LOWER(M250)))),"GAS_WATER",IF(AND(ISNUMBER(SEARCH("oil",LOWER(M250))),ISNUMBER(SEARCH("water",LOWER(M250)))),"OIL_WATER",IF(ISNUMBER(SEARCH("gas",LOWER(M250))),"GAS",IF(ISNUMBER(SEARCH("water",LOWER(M250))),"WATER",IF(ISNUMBER(SEARCH("oil",LOWER(M250))),"OIL","UNKNOWN")))))))</f>
        <v/>
      </c>
      <c r="R250" s="12">
        <f>IF(C250="","",C250)</f>
        <v/>
      </c>
      <c r="S250" s="12">
        <f>IF(R250="","",R250+IF(O250&lt;&gt;"",O250,IF(H250="",0,H250)))</f>
        <v/>
      </c>
      <c r="T250" s="12">
        <f>IF(R250="","",MAX(Settings!$B$3,Settings!$B$4*IF(O250&lt;&gt;"",O250,IF(H250="",0,H250))))</f>
        <v/>
      </c>
      <c r="U250" s="11">
        <f>IF(AND(C250&lt;&gt;"",M250&lt;&gt;"",OR(H250&lt;&gt;"",O250&lt;&gt;"")),"COMPLETE",IF(OR(C250&lt;&gt;"",M250&lt;&gt;""),"PARTIAL","MISSING"))</f>
        <v/>
      </c>
      <c r="V250" s="11">
        <f>IF(Q250="UNKNOWN","Check fluid description",IF(AND(R250&lt;&gt;"",S250&lt;&gt;""),"Ready for contact screening","Needs TVD + thickness"))</f>
        <v/>
      </c>
    </row>
    <row r="251">
      <c r="A251" s="9" t="n"/>
      <c r="B251" s="9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9" t="n"/>
      <c r="N251" s="9" t="n"/>
      <c r="O251" s="10" t="n"/>
      <c r="P251" s="9" t="n"/>
      <c r="Q251" s="11">
        <f>IF(P251&lt;&gt;"",P251,IF(M251="","UNKNOWN",IF(AND(ISNUMBER(SEARCH("gas",LOWER(M251))),ISNUMBER(SEARCH("water",LOWER(M251)))),"GAS_WATER",IF(AND(ISNUMBER(SEARCH("oil",LOWER(M251))),ISNUMBER(SEARCH("water",LOWER(M251)))),"OIL_WATER",IF(ISNUMBER(SEARCH("gas",LOWER(M251))),"GAS",IF(ISNUMBER(SEARCH("water",LOWER(M251))),"WATER",IF(ISNUMBER(SEARCH("oil",LOWER(M251))),"OIL","UNKNOWN")))))))</f>
        <v/>
      </c>
      <c r="R251" s="12">
        <f>IF(C251="","",C251)</f>
        <v/>
      </c>
      <c r="S251" s="12">
        <f>IF(R251="","",R251+IF(O251&lt;&gt;"",O251,IF(H251="",0,H251)))</f>
        <v/>
      </c>
      <c r="T251" s="12">
        <f>IF(R251="","",MAX(Settings!$B$3,Settings!$B$4*IF(O251&lt;&gt;"",O251,IF(H251="",0,H251))))</f>
        <v/>
      </c>
      <c r="U251" s="11">
        <f>IF(AND(C251&lt;&gt;"",M251&lt;&gt;"",OR(H251&lt;&gt;"",O251&lt;&gt;"")),"COMPLETE",IF(OR(C251&lt;&gt;"",M251&lt;&gt;""),"PARTIAL","MISSING"))</f>
        <v/>
      </c>
      <c r="V251" s="11">
        <f>IF(Q251="UNKNOWN","Check fluid description",IF(AND(R251&lt;&gt;"",S251&lt;&gt;""),"Ready for contact screening","Needs TVD + thickness"))</f>
        <v/>
      </c>
    </row>
    <row r="252">
      <c r="A252" s="9" t="n"/>
      <c r="B252" s="9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9" t="n"/>
      <c r="N252" s="9" t="n"/>
      <c r="O252" s="10" t="n"/>
      <c r="P252" s="9" t="n"/>
      <c r="Q252" s="11">
        <f>IF(P252&lt;&gt;"",P252,IF(M252="","UNKNOWN",IF(AND(ISNUMBER(SEARCH("gas",LOWER(M252))),ISNUMBER(SEARCH("water",LOWER(M252)))),"GAS_WATER",IF(AND(ISNUMBER(SEARCH("oil",LOWER(M252))),ISNUMBER(SEARCH("water",LOWER(M252)))),"OIL_WATER",IF(ISNUMBER(SEARCH("gas",LOWER(M252))),"GAS",IF(ISNUMBER(SEARCH("water",LOWER(M252))),"WATER",IF(ISNUMBER(SEARCH("oil",LOWER(M252))),"OIL","UNKNOWN")))))))</f>
        <v/>
      </c>
      <c r="R252" s="12">
        <f>IF(C252="","",C252)</f>
        <v/>
      </c>
      <c r="S252" s="12">
        <f>IF(R252="","",R252+IF(O252&lt;&gt;"",O252,IF(H252="",0,H252)))</f>
        <v/>
      </c>
      <c r="T252" s="12">
        <f>IF(R252="","",MAX(Settings!$B$3,Settings!$B$4*IF(O252&lt;&gt;"",O252,IF(H252="",0,H252))))</f>
        <v/>
      </c>
      <c r="U252" s="11">
        <f>IF(AND(C252&lt;&gt;"",M252&lt;&gt;"",OR(H252&lt;&gt;"",O252&lt;&gt;"")),"COMPLETE",IF(OR(C252&lt;&gt;"",M252&lt;&gt;""),"PARTIAL","MISSING"))</f>
        <v/>
      </c>
      <c r="V252" s="11">
        <f>IF(Q252="UNKNOWN","Check fluid description",IF(AND(R252&lt;&gt;"",S252&lt;&gt;""),"Ready for contact screening","Needs TVD + thickness"))</f>
        <v/>
      </c>
    </row>
    <row r="253">
      <c r="A253" s="9" t="n"/>
      <c r="B253" s="9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9" t="n"/>
      <c r="N253" s="9" t="n"/>
      <c r="O253" s="10" t="n"/>
      <c r="P253" s="9" t="n"/>
      <c r="Q253" s="11">
        <f>IF(P253&lt;&gt;"",P253,IF(M253="","UNKNOWN",IF(AND(ISNUMBER(SEARCH("gas",LOWER(M253))),ISNUMBER(SEARCH("water",LOWER(M253)))),"GAS_WATER",IF(AND(ISNUMBER(SEARCH("oil",LOWER(M253))),ISNUMBER(SEARCH("water",LOWER(M253)))),"OIL_WATER",IF(ISNUMBER(SEARCH("gas",LOWER(M253))),"GAS",IF(ISNUMBER(SEARCH("water",LOWER(M253))),"WATER",IF(ISNUMBER(SEARCH("oil",LOWER(M253))),"OIL","UNKNOWN")))))))</f>
        <v/>
      </c>
      <c r="R253" s="12">
        <f>IF(C253="","",C253)</f>
        <v/>
      </c>
      <c r="S253" s="12">
        <f>IF(R253="","",R253+IF(O253&lt;&gt;"",O253,IF(H253="",0,H253)))</f>
        <v/>
      </c>
      <c r="T253" s="12">
        <f>IF(R253="","",MAX(Settings!$B$3,Settings!$B$4*IF(O253&lt;&gt;"",O253,IF(H253="",0,H253))))</f>
        <v/>
      </c>
      <c r="U253" s="11">
        <f>IF(AND(C253&lt;&gt;"",M253&lt;&gt;"",OR(H253&lt;&gt;"",O253&lt;&gt;"")),"COMPLETE",IF(OR(C253&lt;&gt;"",M253&lt;&gt;""),"PARTIAL","MISSING"))</f>
        <v/>
      </c>
      <c r="V253" s="11">
        <f>IF(Q253="UNKNOWN","Check fluid description",IF(AND(R253&lt;&gt;"",S253&lt;&gt;""),"Ready for contact screening","Needs TVD + thickness"))</f>
        <v/>
      </c>
    </row>
    <row r="254">
      <c r="A254" s="9" t="n"/>
      <c r="B254" s="9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9" t="n"/>
      <c r="N254" s="9" t="n"/>
      <c r="O254" s="10" t="n"/>
      <c r="P254" s="9" t="n"/>
      <c r="Q254" s="11">
        <f>IF(P254&lt;&gt;"",P254,IF(M254="","UNKNOWN",IF(AND(ISNUMBER(SEARCH("gas",LOWER(M254))),ISNUMBER(SEARCH("water",LOWER(M254)))),"GAS_WATER",IF(AND(ISNUMBER(SEARCH("oil",LOWER(M254))),ISNUMBER(SEARCH("water",LOWER(M254)))),"OIL_WATER",IF(ISNUMBER(SEARCH("gas",LOWER(M254))),"GAS",IF(ISNUMBER(SEARCH("water",LOWER(M254))),"WATER",IF(ISNUMBER(SEARCH("oil",LOWER(M254))),"OIL","UNKNOWN")))))))</f>
        <v/>
      </c>
      <c r="R254" s="12">
        <f>IF(C254="","",C254)</f>
        <v/>
      </c>
      <c r="S254" s="12">
        <f>IF(R254="","",R254+IF(O254&lt;&gt;"",O254,IF(H254="",0,H254)))</f>
        <v/>
      </c>
      <c r="T254" s="12">
        <f>IF(R254="","",MAX(Settings!$B$3,Settings!$B$4*IF(O254&lt;&gt;"",O254,IF(H254="",0,H254))))</f>
        <v/>
      </c>
      <c r="U254" s="11">
        <f>IF(AND(C254&lt;&gt;"",M254&lt;&gt;"",OR(H254&lt;&gt;"",O254&lt;&gt;"")),"COMPLETE",IF(OR(C254&lt;&gt;"",M254&lt;&gt;""),"PARTIAL","MISSING"))</f>
        <v/>
      </c>
      <c r="V254" s="11">
        <f>IF(Q254="UNKNOWN","Check fluid description",IF(AND(R254&lt;&gt;"",S254&lt;&gt;""),"Ready for contact screening","Needs TVD + thickness"))</f>
        <v/>
      </c>
    </row>
    <row r="255">
      <c r="A255" s="9" t="n"/>
      <c r="B255" s="9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9" t="n"/>
      <c r="N255" s="9" t="n"/>
      <c r="O255" s="10" t="n"/>
      <c r="P255" s="9" t="n"/>
      <c r="Q255" s="11">
        <f>IF(P255&lt;&gt;"",P255,IF(M255="","UNKNOWN",IF(AND(ISNUMBER(SEARCH("gas",LOWER(M255))),ISNUMBER(SEARCH("water",LOWER(M255)))),"GAS_WATER",IF(AND(ISNUMBER(SEARCH("oil",LOWER(M255))),ISNUMBER(SEARCH("water",LOWER(M255)))),"OIL_WATER",IF(ISNUMBER(SEARCH("gas",LOWER(M255))),"GAS",IF(ISNUMBER(SEARCH("water",LOWER(M255))),"WATER",IF(ISNUMBER(SEARCH("oil",LOWER(M255))),"OIL","UNKNOWN")))))))</f>
        <v/>
      </c>
      <c r="R255" s="12">
        <f>IF(C255="","",C255)</f>
        <v/>
      </c>
      <c r="S255" s="12">
        <f>IF(R255="","",R255+IF(O255&lt;&gt;"",O255,IF(H255="",0,H255)))</f>
        <v/>
      </c>
      <c r="T255" s="12">
        <f>IF(R255="","",MAX(Settings!$B$3,Settings!$B$4*IF(O255&lt;&gt;"",O255,IF(H255="",0,H255))))</f>
        <v/>
      </c>
      <c r="U255" s="11">
        <f>IF(AND(C255&lt;&gt;"",M255&lt;&gt;"",OR(H255&lt;&gt;"",O255&lt;&gt;"")),"COMPLETE",IF(OR(C255&lt;&gt;"",M255&lt;&gt;""),"PARTIAL","MISSING"))</f>
        <v/>
      </c>
      <c r="V255" s="11">
        <f>IF(Q255="UNKNOWN","Check fluid description",IF(AND(R255&lt;&gt;"",S255&lt;&gt;""),"Ready for contact screening","Needs TVD + thickness"))</f>
        <v/>
      </c>
    </row>
    <row r="256">
      <c r="A256" s="9" t="n"/>
      <c r="B256" s="9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9" t="n"/>
      <c r="N256" s="9" t="n"/>
      <c r="O256" s="10" t="n"/>
      <c r="P256" s="9" t="n"/>
      <c r="Q256" s="11">
        <f>IF(P256&lt;&gt;"",P256,IF(M256="","UNKNOWN",IF(AND(ISNUMBER(SEARCH("gas",LOWER(M256))),ISNUMBER(SEARCH("water",LOWER(M256)))),"GAS_WATER",IF(AND(ISNUMBER(SEARCH("oil",LOWER(M256))),ISNUMBER(SEARCH("water",LOWER(M256)))),"OIL_WATER",IF(ISNUMBER(SEARCH("gas",LOWER(M256))),"GAS",IF(ISNUMBER(SEARCH("water",LOWER(M256))),"WATER",IF(ISNUMBER(SEARCH("oil",LOWER(M256))),"OIL","UNKNOWN")))))))</f>
        <v/>
      </c>
      <c r="R256" s="12">
        <f>IF(C256="","",C256)</f>
        <v/>
      </c>
      <c r="S256" s="12">
        <f>IF(R256="","",R256+IF(O256&lt;&gt;"",O256,IF(H256="",0,H256)))</f>
        <v/>
      </c>
      <c r="T256" s="12">
        <f>IF(R256="","",MAX(Settings!$B$3,Settings!$B$4*IF(O256&lt;&gt;"",O256,IF(H256="",0,H256))))</f>
        <v/>
      </c>
      <c r="U256" s="11">
        <f>IF(AND(C256&lt;&gt;"",M256&lt;&gt;"",OR(H256&lt;&gt;"",O256&lt;&gt;"")),"COMPLETE",IF(OR(C256&lt;&gt;"",M256&lt;&gt;""),"PARTIAL","MISSING"))</f>
        <v/>
      </c>
      <c r="V256" s="11">
        <f>IF(Q256="UNKNOWN","Check fluid description",IF(AND(R256&lt;&gt;"",S256&lt;&gt;""),"Ready for contact screening","Needs TVD + thickness"))</f>
        <v/>
      </c>
    </row>
    <row r="257">
      <c r="A257" s="9" t="n"/>
      <c r="B257" s="9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9" t="n"/>
      <c r="N257" s="9" t="n"/>
      <c r="O257" s="10" t="n"/>
      <c r="P257" s="9" t="n"/>
      <c r="Q257" s="11">
        <f>IF(P257&lt;&gt;"",P257,IF(M257="","UNKNOWN",IF(AND(ISNUMBER(SEARCH("gas",LOWER(M257))),ISNUMBER(SEARCH("water",LOWER(M257)))),"GAS_WATER",IF(AND(ISNUMBER(SEARCH("oil",LOWER(M257))),ISNUMBER(SEARCH("water",LOWER(M257)))),"OIL_WATER",IF(ISNUMBER(SEARCH("gas",LOWER(M257))),"GAS",IF(ISNUMBER(SEARCH("water",LOWER(M257))),"WATER",IF(ISNUMBER(SEARCH("oil",LOWER(M257))),"OIL","UNKNOWN")))))))</f>
        <v/>
      </c>
      <c r="R257" s="12">
        <f>IF(C257="","",C257)</f>
        <v/>
      </c>
      <c r="S257" s="12">
        <f>IF(R257="","",R257+IF(O257&lt;&gt;"",O257,IF(H257="",0,H257)))</f>
        <v/>
      </c>
      <c r="T257" s="12">
        <f>IF(R257="","",MAX(Settings!$B$3,Settings!$B$4*IF(O257&lt;&gt;"",O257,IF(H257="",0,H257))))</f>
        <v/>
      </c>
      <c r="U257" s="11">
        <f>IF(AND(C257&lt;&gt;"",M257&lt;&gt;"",OR(H257&lt;&gt;"",O257&lt;&gt;"")),"COMPLETE",IF(OR(C257&lt;&gt;"",M257&lt;&gt;""),"PARTIAL","MISSING"))</f>
        <v/>
      </c>
      <c r="V257" s="11">
        <f>IF(Q257="UNKNOWN","Check fluid description",IF(AND(R257&lt;&gt;"",S257&lt;&gt;""),"Ready for contact screening","Needs TVD + thickness"))</f>
        <v/>
      </c>
    </row>
    <row r="258">
      <c r="A258" s="9" t="n"/>
      <c r="B258" s="9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9" t="n"/>
      <c r="N258" s="9" t="n"/>
      <c r="O258" s="10" t="n"/>
      <c r="P258" s="9" t="n"/>
      <c r="Q258" s="11">
        <f>IF(P258&lt;&gt;"",P258,IF(M258="","UNKNOWN",IF(AND(ISNUMBER(SEARCH("gas",LOWER(M258))),ISNUMBER(SEARCH("water",LOWER(M258)))),"GAS_WATER",IF(AND(ISNUMBER(SEARCH("oil",LOWER(M258))),ISNUMBER(SEARCH("water",LOWER(M258)))),"OIL_WATER",IF(ISNUMBER(SEARCH("gas",LOWER(M258))),"GAS",IF(ISNUMBER(SEARCH("water",LOWER(M258))),"WATER",IF(ISNUMBER(SEARCH("oil",LOWER(M258))),"OIL","UNKNOWN")))))))</f>
        <v/>
      </c>
      <c r="R258" s="12">
        <f>IF(C258="","",C258)</f>
        <v/>
      </c>
      <c r="S258" s="12">
        <f>IF(R258="","",R258+IF(O258&lt;&gt;"",O258,IF(H258="",0,H258)))</f>
        <v/>
      </c>
      <c r="T258" s="12">
        <f>IF(R258="","",MAX(Settings!$B$3,Settings!$B$4*IF(O258&lt;&gt;"",O258,IF(H258="",0,H258))))</f>
        <v/>
      </c>
      <c r="U258" s="11">
        <f>IF(AND(C258&lt;&gt;"",M258&lt;&gt;"",OR(H258&lt;&gt;"",O258&lt;&gt;"")),"COMPLETE",IF(OR(C258&lt;&gt;"",M258&lt;&gt;""),"PARTIAL","MISSING"))</f>
        <v/>
      </c>
      <c r="V258" s="11">
        <f>IF(Q258="UNKNOWN","Check fluid description",IF(AND(R258&lt;&gt;"",S258&lt;&gt;""),"Ready for contact screening","Needs TVD + thickness"))</f>
        <v/>
      </c>
    </row>
    <row r="259">
      <c r="A259" s="9" t="n"/>
      <c r="B259" s="9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9" t="n"/>
      <c r="N259" s="9" t="n"/>
      <c r="O259" s="10" t="n"/>
      <c r="P259" s="9" t="n"/>
      <c r="Q259" s="11">
        <f>IF(P259&lt;&gt;"",P259,IF(M259="","UNKNOWN",IF(AND(ISNUMBER(SEARCH("gas",LOWER(M259))),ISNUMBER(SEARCH("water",LOWER(M259)))),"GAS_WATER",IF(AND(ISNUMBER(SEARCH("oil",LOWER(M259))),ISNUMBER(SEARCH("water",LOWER(M259)))),"OIL_WATER",IF(ISNUMBER(SEARCH("gas",LOWER(M259))),"GAS",IF(ISNUMBER(SEARCH("water",LOWER(M259))),"WATER",IF(ISNUMBER(SEARCH("oil",LOWER(M259))),"OIL","UNKNOWN")))))))</f>
        <v/>
      </c>
      <c r="R259" s="12">
        <f>IF(C259="","",C259)</f>
        <v/>
      </c>
      <c r="S259" s="12">
        <f>IF(R259="","",R259+IF(O259&lt;&gt;"",O259,IF(H259="",0,H259)))</f>
        <v/>
      </c>
      <c r="T259" s="12">
        <f>IF(R259="","",MAX(Settings!$B$3,Settings!$B$4*IF(O259&lt;&gt;"",O259,IF(H259="",0,H259))))</f>
        <v/>
      </c>
      <c r="U259" s="11">
        <f>IF(AND(C259&lt;&gt;"",M259&lt;&gt;"",OR(H259&lt;&gt;"",O259&lt;&gt;"")),"COMPLETE",IF(OR(C259&lt;&gt;"",M259&lt;&gt;""),"PARTIAL","MISSING"))</f>
        <v/>
      </c>
      <c r="V259" s="11">
        <f>IF(Q259="UNKNOWN","Check fluid description",IF(AND(R259&lt;&gt;"",S259&lt;&gt;""),"Ready for contact screening","Needs TVD + thickness"))</f>
        <v/>
      </c>
    </row>
    <row r="260">
      <c r="A260" s="9" t="n"/>
      <c r="B260" s="9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9" t="n"/>
      <c r="N260" s="9" t="n"/>
      <c r="O260" s="10" t="n"/>
      <c r="P260" s="9" t="n"/>
      <c r="Q260" s="11">
        <f>IF(P260&lt;&gt;"",P260,IF(M260="","UNKNOWN",IF(AND(ISNUMBER(SEARCH("gas",LOWER(M260))),ISNUMBER(SEARCH("water",LOWER(M260)))),"GAS_WATER",IF(AND(ISNUMBER(SEARCH("oil",LOWER(M260))),ISNUMBER(SEARCH("water",LOWER(M260)))),"OIL_WATER",IF(ISNUMBER(SEARCH("gas",LOWER(M260))),"GAS",IF(ISNUMBER(SEARCH("water",LOWER(M260))),"WATER",IF(ISNUMBER(SEARCH("oil",LOWER(M260))),"OIL","UNKNOWN")))))))</f>
        <v/>
      </c>
      <c r="R260" s="12">
        <f>IF(C260="","",C260)</f>
        <v/>
      </c>
      <c r="S260" s="12">
        <f>IF(R260="","",R260+IF(O260&lt;&gt;"",O260,IF(H260="",0,H260)))</f>
        <v/>
      </c>
      <c r="T260" s="12">
        <f>IF(R260="","",MAX(Settings!$B$3,Settings!$B$4*IF(O260&lt;&gt;"",O260,IF(H260="",0,H260))))</f>
        <v/>
      </c>
      <c r="U260" s="11">
        <f>IF(AND(C260&lt;&gt;"",M260&lt;&gt;"",OR(H260&lt;&gt;"",O260&lt;&gt;"")),"COMPLETE",IF(OR(C260&lt;&gt;"",M260&lt;&gt;""),"PARTIAL","MISSING"))</f>
        <v/>
      </c>
      <c r="V260" s="11">
        <f>IF(Q260="UNKNOWN","Check fluid description",IF(AND(R260&lt;&gt;"",S260&lt;&gt;""),"Ready for contact screening","Needs TVD + thickness"))</f>
        <v/>
      </c>
    </row>
    <row r="261">
      <c r="A261" s="9" t="n"/>
      <c r="B261" s="9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9" t="n"/>
      <c r="N261" s="9" t="n"/>
      <c r="O261" s="10" t="n"/>
      <c r="P261" s="9" t="n"/>
      <c r="Q261" s="11">
        <f>IF(P261&lt;&gt;"",P261,IF(M261="","UNKNOWN",IF(AND(ISNUMBER(SEARCH("gas",LOWER(M261))),ISNUMBER(SEARCH("water",LOWER(M261)))),"GAS_WATER",IF(AND(ISNUMBER(SEARCH("oil",LOWER(M261))),ISNUMBER(SEARCH("water",LOWER(M261)))),"OIL_WATER",IF(ISNUMBER(SEARCH("gas",LOWER(M261))),"GAS",IF(ISNUMBER(SEARCH("water",LOWER(M261))),"WATER",IF(ISNUMBER(SEARCH("oil",LOWER(M261))),"OIL","UNKNOWN")))))))</f>
        <v/>
      </c>
      <c r="R261" s="12">
        <f>IF(C261="","",C261)</f>
        <v/>
      </c>
      <c r="S261" s="12">
        <f>IF(R261="","",R261+IF(O261&lt;&gt;"",O261,IF(H261="",0,H261)))</f>
        <v/>
      </c>
      <c r="T261" s="12">
        <f>IF(R261="","",MAX(Settings!$B$3,Settings!$B$4*IF(O261&lt;&gt;"",O261,IF(H261="",0,H261))))</f>
        <v/>
      </c>
      <c r="U261" s="11">
        <f>IF(AND(C261&lt;&gt;"",M261&lt;&gt;"",OR(H261&lt;&gt;"",O261&lt;&gt;"")),"COMPLETE",IF(OR(C261&lt;&gt;"",M261&lt;&gt;""),"PARTIAL","MISSING"))</f>
        <v/>
      </c>
      <c r="V261" s="11">
        <f>IF(Q261="UNKNOWN","Check fluid description",IF(AND(R261&lt;&gt;"",S261&lt;&gt;""),"Ready for contact screening","Needs TVD + thickness"))</f>
        <v/>
      </c>
    </row>
    <row r="262">
      <c r="A262" s="9" t="n"/>
      <c r="B262" s="9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9" t="n"/>
      <c r="N262" s="9" t="n"/>
      <c r="O262" s="10" t="n"/>
      <c r="P262" s="9" t="n"/>
      <c r="Q262" s="11">
        <f>IF(P262&lt;&gt;"",P262,IF(M262="","UNKNOWN",IF(AND(ISNUMBER(SEARCH("gas",LOWER(M262))),ISNUMBER(SEARCH("water",LOWER(M262)))),"GAS_WATER",IF(AND(ISNUMBER(SEARCH("oil",LOWER(M262))),ISNUMBER(SEARCH("water",LOWER(M262)))),"OIL_WATER",IF(ISNUMBER(SEARCH("gas",LOWER(M262))),"GAS",IF(ISNUMBER(SEARCH("water",LOWER(M262))),"WATER",IF(ISNUMBER(SEARCH("oil",LOWER(M262))),"OIL","UNKNOWN")))))))</f>
        <v/>
      </c>
      <c r="R262" s="12">
        <f>IF(C262="","",C262)</f>
        <v/>
      </c>
      <c r="S262" s="12">
        <f>IF(R262="","",R262+IF(O262&lt;&gt;"",O262,IF(H262="",0,H262)))</f>
        <v/>
      </c>
      <c r="T262" s="12">
        <f>IF(R262="","",MAX(Settings!$B$3,Settings!$B$4*IF(O262&lt;&gt;"",O262,IF(H262="",0,H262))))</f>
        <v/>
      </c>
      <c r="U262" s="11">
        <f>IF(AND(C262&lt;&gt;"",M262&lt;&gt;"",OR(H262&lt;&gt;"",O262&lt;&gt;"")),"COMPLETE",IF(OR(C262&lt;&gt;"",M262&lt;&gt;""),"PARTIAL","MISSING"))</f>
        <v/>
      </c>
      <c r="V262" s="11">
        <f>IF(Q262="UNKNOWN","Check fluid description",IF(AND(R262&lt;&gt;"",S262&lt;&gt;""),"Ready for contact screening","Needs TVD + thickness"))</f>
        <v/>
      </c>
    </row>
    <row r="263">
      <c r="A263" s="9" t="n"/>
      <c r="B263" s="9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9" t="n"/>
      <c r="N263" s="9" t="n"/>
      <c r="O263" s="10" t="n"/>
      <c r="P263" s="9" t="n"/>
      <c r="Q263" s="11">
        <f>IF(P263&lt;&gt;"",P263,IF(M263="","UNKNOWN",IF(AND(ISNUMBER(SEARCH("gas",LOWER(M263))),ISNUMBER(SEARCH("water",LOWER(M263)))),"GAS_WATER",IF(AND(ISNUMBER(SEARCH("oil",LOWER(M263))),ISNUMBER(SEARCH("water",LOWER(M263)))),"OIL_WATER",IF(ISNUMBER(SEARCH("gas",LOWER(M263))),"GAS",IF(ISNUMBER(SEARCH("water",LOWER(M263))),"WATER",IF(ISNUMBER(SEARCH("oil",LOWER(M263))),"OIL","UNKNOWN")))))))</f>
        <v/>
      </c>
      <c r="R263" s="12">
        <f>IF(C263="","",C263)</f>
        <v/>
      </c>
      <c r="S263" s="12">
        <f>IF(R263="","",R263+IF(O263&lt;&gt;"",O263,IF(H263="",0,H263)))</f>
        <v/>
      </c>
      <c r="T263" s="12">
        <f>IF(R263="","",MAX(Settings!$B$3,Settings!$B$4*IF(O263&lt;&gt;"",O263,IF(H263="",0,H263))))</f>
        <v/>
      </c>
      <c r="U263" s="11">
        <f>IF(AND(C263&lt;&gt;"",M263&lt;&gt;"",OR(H263&lt;&gt;"",O263&lt;&gt;"")),"COMPLETE",IF(OR(C263&lt;&gt;"",M263&lt;&gt;""),"PARTIAL","MISSING"))</f>
        <v/>
      </c>
      <c r="V263" s="11">
        <f>IF(Q263="UNKNOWN","Check fluid description",IF(AND(R263&lt;&gt;"",S263&lt;&gt;""),"Ready for contact screening","Needs TVD + thickness"))</f>
        <v/>
      </c>
    </row>
    <row r="264">
      <c r="A264" s="9" t="n"/>
      <c r="B264" s="9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9" t="n"/>
      <c r="N264" s="9" t="n"/>
      <c r="O264" s="10" t="n"/>
      <c r="P264" s="9" t="n"/>
      <c r="Q264" s="11">
        <f>IF(P264&lt;&gt;"",P264,IF(M264="","UNKNOWN",IF(AND(ISNUMBER(SEARCH("gas",LOWER(M264))),ISNUMBER(SEARCH("water",LOWER(M264)))),"GAS_WATER",IF(AND(ISNUMBER(SEARCH("oil",LOWER(M264))),ISNUMBER(SEARCH("water",LOWER(M264)))),"OIL_WATER",IF(ISNUMBER(SEARCH("gas",LOWER(M264))),"GAS",IF(ISNUMBER(SEARCH("water",LOWER(M264))),"WATER",IF(ISNUMBER(SEARCH("oil",LOWER(M264))),"OIL","UNKNOWN")))))))</f>
        <v/>
      </c>
      <c r="R264" s="12">
        <f>IF(C264="","",C264)</f>
        <v/>
      </c>
      <c r="S264" s="12">
        <f>IF(R264="","",R264+IF(O264&lt;&gt;"",O264,IF(H264="",0,H264)))</f>
        <v/>
      </c>
      <c r="T264" s="12">
        <f>IF(R264="","",MAX(Settings!$B$3,Settings!$B$4*IF(O264&lt;&gt;"",O264,IF(H264="",0,H264))))</f>
        <v/>
      </c>
      <c r="U264" s="11">
        <f>IF(AND(C264&lt;&gt;"",M264&lt;&gt;"",OR(H264&lt;&gt;"",O264&lt;&gt;"")),"COMPLETE",IF(OR(C264&lt;&gt;"",M264&lt;&gt;""),"PARTIAL","MISSING"))</f>
        <v/>
      </c>
      <c r="V264" s="11">
        <f>IF(Q264="UNKNOWN","Check fluid description",IF(AND(R264&lt;&gt;"",S264&lt;&gt;""),"Ready for contact screening","Needs TVD + thickness"))</f>
        <v/>
      </c>
    </row>
    <row r="265">
      <c r="A265" s="9" t="n"/>
      <c r="B265" s="9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9" t="n"/>
      <c r="N265" s="9" t="n"/>
      <c r="O265" s="10" t="n"/>
      <c r="P265" s="9" t="n"/>
      <c r="Q265" s="11">
        <f>IF(P265&lt;&gt;"",P265,IF(M265="","UNKNOWN",IF(AND(ISNUMBER(SEARCH("gas",LOWER(M265))),ISNUMBER(SEARCH("water",LOWER(M265)))),"GAS_WATER",IF(AND(ISNUMBER(SEARCH("oil",LOWER(M265))),ISNUMBER(SEARCH("water",LOWER(M265)))),"OIL_WATER",IF(ISNUMBER(SEARCH("gas",LOWER(M265))),"GAS",IF(ISNUMBER(SEARCH("water",LOWER(M265))),"WATER",IF(ISNUMBER(SEARCH("oil",LOWER(M265))),"OIL","UNKNOWN")))))))</f>
        <v/>
      </c>
      <c r="R265" s="12">
        <f>IF(C265="","",C265)</f>
        <v/>
      </c>
      <c r="S265" s="12">
        <f>IF(R265="","",R265+IF(O265&lt;&gt;"",O265,IF(H265="",0,H265)))</f>
        <v/>
      </c>
      <c r="T265" s="12">
        <f>IF(R265="","",MAX(Settings!$B$3,Settings!$B$4*IF(O265&lt;&gt;"",O265,IF(H265="",0,H265))))</f>
        <v/>
      </c>
      <c r="U265" s="11">
        <f>IF(AND(C265&lt;&gt;"",M265&lt;&gt;"",OR(H265&lt;&gt;"",O265&lt;&gt;"")),"COMPLETE",IF(OR(C265&lt;&gt;"",M265&lt;&gt;""),"PARTIAL","MISSING"))</f>
        <v/>
      </c>
      <c r="V265" s="11">
        <f>IF(Q265="UNKNOWN","Check fluid description",IF(AND(R265&lt;&gt;"",S265&lt;&gt;""),"Ready for contact screening","Needs TVD + thickness"))</f>
        <v/>
      </c>
    </row>
    <row r="266">
      <c r="A266" s="9" t="n"/>
      <c r="B266" s="9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9" t="n"/>
      <c r="N266" s="9" t="n"/>
      <c r="O266" s="10" t="n"/>
      <c r="P266" s="9" t="n"/>
      <c r="Q266" s="11">
        <f>IF(P266&lt;&gt;"",P266,IF(M266="","UNKNOWN",IF(AND(ISNUMBER(SEARCH("gas",LOWER(M266))),ISNUMBER(SEARCH("water",LOWER(M266)))),"GAS_WATER",IF(AND(ISNUMBER(SEARCH("oil",LOWER(M266))),ISNUMBER(SEARCH("water",LOWER(M266)))),"OIL_WATER",IF(ISNUMBER(SEARCH("gas",LOWER(M266))),"GAS",IF(ISNUMBER(SEARCH("water",LOWER(M266))),"WATER",IF(ISNUMBER(SEARCH("oil",LOWER(M266))),"OIL","UNKNOWN")))))))</f>
        <v/>
      </c>
      <c r="R266" s="12">
        <f>IF(C266="","",C266)</f>
        <v/>
      </c>
      <c r="S266" s="12">
        <f>IF(R266="","",R266+IF(O266&lt;&gt;"",O266,IF(H266="",0,H266)))</f>
        <v/>
      </c>
      <c r="T266" s="12">
        <f>IF(R266="","",MAX(Settings!$B$3,Settings!$B$4*IF(O266&lt;&gt;"",O266,IF(H266="",0,H266))))</f>
        <v/>
      </c>
      <c r="U266" s="11">
        <f>IF(AND(C266&lt;&gt;"",M266&lt;&gt;"",OR(H266&lt;&gt;"",O266&lt;&gt;"")),"COMPLETE",IF(OR(C266&lt;&gt;"",M266&lt;&gt;""),"PARTIAL","MISSING"))</f>
        <v/>
      </c>
      <c r="V266" s="11">
        <f>IF(Q266="UNKNOWN","Check fluid description",IF(AND(R266&lt;&gt;"",S266&lt;&gt;""),"Ready for contact screening","Needs TVD + thickness"))</f>
        <v/>
      </c>
    </row>
    <row r="267">
      <c r="A267" s="9" t="n"/>
      <c r="B267" s="9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9" t="n"/>
      <c r="N267" s="9" t="n"/>
      <c r="O267" s="10" t="n"/>
      <c r="P267" s="9" t="n"/>
      <c r="Q267" s="11">
        <f>IF(P267&lt;&gt;"",P267,IF(M267="","UNKNOWN",IF(AND(ISNUMBER(SEARCH("gas",LOWER(M267))),ISNUMBER(SEARCH("water",LOWER(M267)))),"GAS_WATER",IF(AND(ISNUMBER(SEARCH("oil",LOWER(M267))),ISNUMBER(SEARCH("water",LOWER(M267)))),"OIL_WATER",IF(ISNUMBER(SEARCH("gas",LOWER(M267))),"GAS",IF(ISNUMBER(SEARCH("water",LOWER(M267))),"WATER",IF(ISNUMBER(SEARCH("oil",LOWER(M267))),"OIL","UNKNOWN")))))))</f>
        <v/>
      </c>
      <c r="R267" s="12">
        <f>IF(C267="","",C267)</f>
        <v/>
      </c>
      <c r="S267" s="12">
        <f>IF(R267="","",R267+IF(O267&lt;&gt;"",O267,IF(H267="",0,H267)))</f>
        <v/>
      </c>
      <c r="T267" s="12">
        <f>IF(R267="","",MAX(Settings!$B$3,Settings!$B$4*IF(O267&lt;&gt;"",O267,IF(H267="",0,H267))))</f>
        <v/>
      </c>
      <c r="U267" s="11">
        <f>IF(AND(C267&lt;&gt;"",M267&lt;&gt;"",OR(H267&lt;&gt;"",O267&lt;&gt;"")),"COMPLETE",IF(OR(C267&lt;&gt;"",M267&lt;&gt;""),"PARTIAL","MISSING"))</f>
        <v/>
      </c>
      <c r="V267" s="11">
        <f>IF(Q267="UNKNOWN","Check fluid description",IF(AND(R267&lt;&gt;"",S267&lt;&gt;""),"Ready for contact screening","Needs TVD + thickness"))</f>
        <v/>
      </c>
    </row>
    <row r="268">
      <c r="A268" s="9" t="n"/>
      <c r="B268" s="9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9" t="n"/>
      <c r="N268" s="9" t="n"/>
      <c r="O268" s="10" t="n"/>
      <c r="P268" s="9" t="n"/>
      <c r="Q268" s="11">
        <f>IF(P268&lt;&gt;"",P268,IF(M268="","UNKNOWN",IF(AND(ISNUMBER(SEARCH("gas",LOWER(M268))),ISNUMBER(SEARCH("water",LOWER(M268)))),"GAS_WATER",IF(AND(ISNUMBER(SEARCH("oil",LOWER(M268))),ISNUMBER(SEARCH("water",LOWER(M268)))),"OIL_WATER",IF(ISNUMBER(SEARCH("gas",LOWER(M268))),"GAS",IF(ISNUMBER(SEARCH("water",LOWER(M268))),"WATER",IF(ISNUMBER(SEARCH("oil",LOWER(M268))),"OIL","UNKNOWN")))))))</f>
        <v/>
      </c>
      <c r="R268" s="12">
        <f>IF(C268="","",C268)</f>
        <v/>
      </c>
      <c r="S268" s="12">
        <f>IF(R268="","",R268+IF(O268&lt;&gt;"",O268,IF(H268="",0,H268)))</f>
        <v/>
      </c>
      <c r="T268" s="12">
        <f>IF(R268="","",MAX(Settings!$B$3,Settings!$B$4*IF(O268&lt;&gt;"",O268,IF(H268="",0,H268))))</f>
        <v/>
      </c>
      <c r="U268" s="11">
        <f>IF(AND(C268&lt;&gt;"",M268&lt;&gt;"",OR(H268&lt;&gt;"",O268&lt;&gt;"")),"COMPLETE",IF(OR(C268&lt;&gt;"",M268&lt;&gt;""),"PARTIAL","MISSING"))</f>
        <v/>
      </c>
      <c r="V268" s="11">
        <f>IF(Q268="UNKNOWN","Check fluid description",IF(AND(R268&lt;&gt;"",S268&lt;&gt;""),"Ready for contact screening","Needs TVD + thickness"))</f>
        <v/>
      </c>
    </row>
    <row r="269">
      <c r="A269" s="9" t="n"/>
      <c r="B269" s="9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9" t="n"/>
      <c r="N269" s="9" t="n"/>
      <c r="O269" s="10" t="n"/>
      <c r="P269" s="9" t="n"/>
      <c r="Q269" s="11">
        <f>IF(P269&lt;&gt;"",P269,IF(M269="","UNKNOWN",IF(AND(ISNUMBER(SEARCH("gas",LOWER(M269))),ISNUMBER(SEARCH("water",LOWER(M269)))),"GAS_WATER",IF(AND(ISNUMBER(SEARCH("oil",LOWER(M269))),ISNUMBER(SEARCH("water",LOWER(M269)))),"OIL_WATER",IF(ISNUMBER(SEARCH("gas",LOWER(M269))),"GAS",IF(ISNUMBER(SEARCH("water",LOWER(M269))),"WATER",IF(ISNUMBER(SEARCH("oil",LOWER(M269))),"OIL","UNKNOWN")))))))</f>
        <v/>
      </c>
      <c r="R269" s="12">
        <f>IF(C269="","",C269)</f>
        <v/>
      </c>
      <c r="S269" s="12">
        <f>IF(R269="","",R269+IF(O269&lt;&gt;"",O269,IF(H269="",0,H269)))</f>
        <v/>
      </c>
      <c r="T269" s="12">
        <f>IF(R269="","",MAX(Settings!$B$3,Settings!$B$4*IF(O269&lt;&gt;"",O269,IF(H269="",0,H269))))</f>
        <v/>
      </c>
      <c r="U269" s="11">
        <f>IF(AND(C269&lt;&gt;"",M269&lt;&gt;"",OR(H269&lt;&gt;"",O269&lt;&gt;"")),"COMPLETE",IF(OR(C269&lt;&gt;"",M269&lt;&gt;""),"PARTIAL","MISSING"))</f>
        <v/>
      </c>
      <c r="V269" s="11">
        <f>IF(Q269="UNKNOWN","Check fluid description",IF(AND(R269&lt;&gt;"",S269&lt;&gt;""),"Ready for contact screening","Needs TVD + thickness"))</f>
        <v/>
      </c>
    </row>
    <row r="270">
      <c r="A270" s="9" t="n"/>
      <c r="B270" s="9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9" t="n"/>
      <c r="N270" s="9" t="n"/>
      <c r="O270" s="10" t="n"/>
      <c r="P270" s="9" t="n"/>
      <c r="Q270" s="11">
        <f>IF(P270&lt;&gt;"",P270,IF(M270="","UNKNOWN",IF(AND(ISNUMBER(SEARCH("gas",LOWER(M270))),ISNUMBER(SEARCH("water",LOWER(M270)))),"GAS_WATER",IF(AND(ISNUMBER(SEARCH("oil",LOWER(M270))),ISNUMBER(SEARCH("water",LOWER(M270)))),"OIL_WATER",IF(ISNUMBER(SEARCH("gas",LOWER(M270))),"GAS",IF(ISNUMBER(SEARCH("water",LOWER(M270))),"WATER",IF(ISNUMBER(SEARCH("oil",LOWER(M270))),"OIL","UNKNOWN")))))))</f>
        <v/>
      </c>
      <c r="R270" s="12">
        <f>IF(C270="","",C270)</f>
        <v/>
      </c>
      <c r="S270" s="12">
        <f>IF(R270="","",R270+IF(O270&lt;&gt;"",O270,IF(H270="",0,H270)))</f>
        <v/>
      </c>
      <c r="T270" s="12">
        <f>IF(R270="","",MAX(Settings!$B$3,Settings!$B$4*IF(O270&lt;&gt;"",O270,IF(H270="",0,H270))))</f>
        <v/>
      </c>
      <c r="U270" s="11">
        <f>IF(AND(C270&lt;&gt;"",M270&lt;&gt;"",OR(H270&lt;&gt;"",O270&lt;&gt;"")),"COMPLETE",IF(OR(C270&lt;&gt;"",M270&lt;&gt;""),"PARTIAL","MISSING"))</f>
        <v/>
      </c>
      <c r="V270" s="11">
        <f>IF(Q270="UNKNOWN","Check fluid description",IF(AND(R270&lt;&gt;"",S270&lt;&gt;""),"Ready for contact screening","Needs TVD + thickness"))</f>
        <v/>
      </c>
    </row>
    <row r="271">
      <c r="A271" s="9" t="n"/>
      <c r="B271" s="9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9" t="n"/>
      <c r="N271" s="9" t="n"/>
      <c r="O271" s="10" t="n"/>
      <c r="P271" s="9" t="n"/>
      <c r="Q271" s="11">
        <f>IF(P271&lt;&gt;"",P271,IF(M271="","UNKNOWN",IF(AND(ISNUMBER(SEARCH("gas",LOWER(M271))),ISNUMBER(SEARCH("water",LOWER(M271)))),"GAS_WATER",IF(AND(ISNUMBER(SEARCH("oil",LOWER(M271))),ISNUMBER(SEARCH("water",LOWER(M271)))),"OIL_WATER",IF(ISNUMBER(SEARCH("gas",LOWER(M271))),"GAS",IF(ISNUMBER(SEARCH("water",LOWER(M271))),"WATER",IF(ISNUMBER(SEARCH("oil",LOWER(M271))),"OIL","UNKNOWN")))))))</f>
        <v/>
      </c>
      <c r="R271" s="12">
        <f>IF(C271="","",C271)</f>
        <v/>
      </c>
      <c r="S271" s="12">
        <f>IF(R271="","",R271+IF(O271&lt;&gt;"",O271,IF(H271="",0,H271)))</f>
        <v/>
      </c>
      <c r="T271" s="12">
        <f>IF(R271="","",MAX(Settings!$B$3,Settings!$B$4*IF(O271&lt;&gt;"",O271,IF(H271="",0,H271))))</f>
        <v/>
      </c>
      <c r="U271" s="11">
        <f>IF(AND(C271&lt;&gt;"",M271&lt;&gt;"",OR(H271&lt;&gt;"",O271&lt;&gt;"")),"COMPLETE",IF(OR(C271&lt;&gt;"",M271&lt;&gt;""),"PARTIAL","MISSING"))</f>
        <v/>
      </c>
      <c r="V271" s="11">
        <f>IF(Q271="UNKNOWN","Check fluid description",IF(AND(R271&lt;&gt;"",S271&lt;&gt;""),"Ready for contact screening","Needs TVD + thickness"))</f>
        <v/>
      </c>
    </row>
    <row r="272">
      <c r="A272" s="9" t="n"/>
      <c r="B272" s="9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9" t="n"/>
      <c r="N272" s="9" t="n"/>
      <c r="O272" s="10" t="n"/>
      <c r="P272" s="9" t="n"/>
      <c r="Q272" s="11">
        <f>IF(P272&lt;&gt;"",P272,IF(M272="","UNKNOWN",IF(AND(ISNUMBER(SEARCH("gas",LOWER(M272))),ISNUMBER(SEARCH("water",LOWER(M272)))),"GAS_WATER",IF(AND(ISNUMBER(SEARCH("oil",LOWER(M272))),ISNUMBER(SEARCH("water",LOWER(M272)))),"OIL_WATER",IF(ISNUMBER(SEARCH("gas",LOWER(M272))),"GAS",IF(ISNUMBER(SEARCH("water",LOWER(M272))),"WATER",IF(ISNUMBER(SEARCH("oil",LOWER(M272))),"OIL","UNKNOWN")))))))</f>
        <v/>
      </c>
      <c r="R272" s="12">
        <f>IF(C272="","",C272)</f>
        <v/>
      </c>
      <c r="S272" s="12">
        <f>IF(R272="","",R272+IF(O272&lt;&gt;"",O272,IF(H272="",0,H272)))</f>
        <v/>
      </c>
      <c r="T272" s="12">
        <f>IF(R272="","",MAX(Settings!$B$3,Settings!$B$4*IF(O272&lt;&gt;"",O272,IF(H272="",0,H272))))</f>
        <v/>
      </c>
      <c r="U272" s="11">
        <f>IF(AND(C272&lt;&gt;"",M272&lt;&gt;"",OR(H272&lt;&gt;"",O272&lt;&gt;"")),"COMPLETE",IF(OR(C272&lt;&gt;"",M272&lt;&gt;""),"PARTIAL","MISSING"))</f>
        <v/>
      </c>
      <c r="V272" s="11">
        <f>IF(Q272="UNKNOWN","Check fluid description",IF(AND(R272&lt;&gt;"",S272&lt;&gt;""),"Ready for contact screening","Needs TVD + thickness"))</f>
        <v/>
      </c>
    </row>
    <row r="273">
      <c r="A273" s="9" t="n"/>
      <c r="B273" s="9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9" t="n"/>
      <c r="N273" s="9" t="n"/>
      <c r="O273" s="10" t="n"/>
      <c r="P273" s="9" t="n"/>
      <c r="Q273" s="11">
        <f>IF(P273&lt;&gt;"",P273,IF(M273="","UNKNOWN",IF(AND(ISNUMBER(SEARCH("gas",LOWER(M273))),ISNUMBER(SEARCH("water",LOWER(M273)))),"GAS_WATER",IF(AND(ISNUMBER(SEARCH("oil",LOWER(M273))),ISNUMBER(SEARCH("water",LOWER(M273)))),"OIL_WATER",IF(ISNUMBER(SEARCH("gas",LOWER(M273))),"GAS",IF(ISNUMBER(SEARCH("water",LOWER(M273))),"WATER",IF(ISNUMBER(SEARCH("oil",LOWER(M273))),"OIL","UNKNOWN")))))))</f>
        <v/>
      </c>
      <c r="R273" s="12">
        <f>IF(C273="","",C273)</f>
        <v/>
      </c>
      <c r="S273" s="12">
        <f>IF(R273="","",R273+IF(O273&lt;&gt;"",O273,IF(H273="",0,H273)))</f>
        <v/>
      </c>
      <c r="T273" s="12">
        <f>IF(R273="","",MAX(Settings!$B$3,Settings!$B$4*IF(O273&lt;&gt;"",O273,IF(H273="",0,H273))))</f>
        <v/>
      </c>
      <c r="U273" s="11">
        <f>IF(AND(C273&lt;&gt;"",M273&lt;&gt;"",OR(H273&lt;&gt;"",O273&lt;&gt;"")),"COMPLETE",IF(OR(C273&lt;&gt;"",M273&lt;&gt;""),"PARTIAL","MISSING"))</f>
        <v/>
      </c>
      <c r="V273" s="11">
        <f>IF(Q273="UNKNOWN","Check fluid description",IF(AND(R273&lt;&gt;"",S273&lt;&gt;""),"Ready for contact screening","Needs TVD + thickness"))</f>
        <v/>
      </c>
    </row>
    <row r="274">
      <c r="A274" s="9" t="n"/>
      <c r="B274" s="9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9" t="n"/>
      <c r="N274" s="9" t="n"/>
      <c r="O274" s="10" t="n"/>
      <c r="P274" s="9" t="n"/>
      <c r="Q274" s="11">
        <f>IF(P274&lt;&gt;"",P274,IF(M274="","UNKNOWN",IF(AND(ISNUMBER(SEARCH("gas",LOWER(M274))),ISNUMBER(SEARCH("water",LOWER(M274)))),"GAS_WATER",IF(AND(ISNUMBER(SEARCH("oil",LOWER(M274))),ISNUMBER(SEARCH("water",LOWER(M274)))),"OIL_WATER",IF(ISNUMBER(SEARCH("gas",LOWER(M274))),"GAS",IF(ISNUMBER(SEARCH("water",LOWER(M274))),"WATER",IF(ISNUMBER(SEARCH("oil",LOWER(M274))),"OIL","UNKNOWN")))))))</f>
        <v/>
      </c>
      <c r="R274" s="12">
        <f>IF(C274="","",C274)</f>
        <v/>
      </c>
      <c r="S274" s="12">
        <f>IF(R274="","",R274+IF(O274&lt;&gt;"",O274,IF(H274="",0,H274)))</f>
        <v/>
      </c>
      <c r="T274" s="12">
        <f>IF(R274="","",MAX(Settings!$B$3,Settings!$B$4*IF(O274&lt;&gt;"",O274,IF(H274="",0,H274))))</f>
        <v/>
      </c>
      <c r="U274" s="11">
        <f>IF(AND(C274&lt;&gt;"",M274&lt;&gt;"",OR(H274&lt;&gt;"",O274&lt;&gt;"")),"COMPLETE",IF(OR(C274&lt;&gt;"",M274&lt;&gt;""),"PARTIAL","MISSING"))</f>
        <v/>
      </c>
      <c r="V274" s="11">
        <f>IF(Q274="UNKNOWN","Check fluid description",IF(AND(R274&lt;&gt;"",S274&lt;&gt;""),"Ready for contact screening","Needs TVD + thickness"))</f>
        <v/>
      </c>
    </row>
    <row r="275">
      <c r="A275" s="9" t="n"/>
      <c r="B275" s="9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9" t="n"/>
      <c r="N275" s="9" t="n"/>
      <c r="O275" s="10" t="n"/>
      <c r="P275" s="9" t="n"/>
      <c r="Q275" s="11">
        <f>IF(P275&lt;&gt;"",P275,IF(M275="","UNKNOWN",IF(AND(ISNUMBER(SEARCH("gas",LOWER(M275))),ISNUMBER(SEARCH("water",LOWER(M275)))),"GAS_WATER",IF(AND(ISNUMBER(SEARCH("oil",LOWER(M275))),ISNUMBER(SEARCH("water",LOWER(M275)))),"OIL_WATER",IF(ISNUMBER(SEARCH("gas",LOWER(M275))),"GAS",IF(ISNUMBER(SEARCH("water",LOWER(M275))),"WATER",IF(ISNUMBER(SEARCH("oil",LOWER(M275))),"OIL","UNKNOWN")))))))</f>
        <v/>
      </c>
      <c r="R275" s="12">
        <f>IF(C275="","",C275)</f>
        <v/>
      </c>
      <c r="S275" s="12">
        <f>IF(R275="","",R275+IF(O275&lt;&gt;"",O275,IF(H275="",0,H275)))</f>
        <v/>
      </c>
      <c r="T275" s="12">
        <f>IF(R275="","",MAX(Settings!$B$3,Settings!$B$4*IF(O275&lt;&gt;"",O275,IF(H275="",0,H275))))</f>
        <v/>
      </c>
      <c r="U275" s="11">
        <f>IF(AND(C275&lt;&gt;"",M275&lt;&gt;"",OR(H275&lt;&gt;"",O275&lt;&gt;"")),"COMPLETE",IF(OR(C275&lt;&gt;"",M275&lt;&gt;""),"PARTIAL","MISSING"))</f>
        <v/>
      </c>
      <c r="V275" s="11">
        <f>IF(Q275="UNKNOWN","Check fluid description",IF(AND(R275&lt;&gt;"",S275&lt;&gt;""),"Ready for contact screening","Needs TVD + thickness"))</f>
        <v/>
      </c>
    </row>
    <row r="276">
      <c r="A276" s="9" t="n"/>
      <c r="B276" s="9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9" t="n"/>
      <c r="N276" s="9" t="n"/>
      <c r="O276" s="10" t="n"/>
      <c r="P276" s="9" t="n"/>
      <c r="Q276" s="11">
        <f>IF(P276&lt;&gt;"",P276,IF(M276="","UNKNOWN",IF(AND(ISNUMBER(SEARCH("gas",LOWER(M276))),ISNUMBER(SEARCH("water",LOWER(M276)))),"GAS_WATER",IF(AND(ISNUMBER(SEARCH("oil",LOWER(M276))),ISNUMBER(SEARCH("water",LOWER(M276)))),"OIL_WATER",IF(ISNUMBER(SEARCH("gas",LOWER(M276))),"GAS",IF(ISNUMBER(SEARCH("water",LOWER(M276))),"WATER",IF(ISNUMBER(SEARCH("oil",LOWER(M276))),"OIL","UNKNOWN")))))))</f>
        <v/>
      </c>
      <c r="R276" s="12">
        <f>IF(C276="","",C276)</f>
        <v/>
      </c>
      <c r="S276" s="12">
        <f>IF(R276="","",R276+IF(O276&lt;&gt;"",O276,IF(H276="",0,H276)))</f>
        <v/>
      </c>
      <c r="T276" s="12">
        <f>IF(R276="","",MAX(Settings!$B$3,Settings!$B$4*IF(O276&lt;&gt;"",O276,IF(H276="",0,H276))))</f>
        <v/>
      </c>
      <c r="U276" s="11">
        <f>IF(AND(C276&lt;&gt;"",M276&lt;&gt;"",OR(H276&lt;&gt;"",O276&lt;&gt;"")),"COMPLETE",IF(OR(C276&lt;&gt;"",M276&lt;&gt;""),"PARTIAL","MISSING"))</f>
        <v/>
      </c>
      <c r="V276" s="11">
        <f>IF(Q276="UNKNOWN","Check fluid description",IF(AND(R276&lt;&gt;"",S276&lt;&gt;""),"Ready for contact screening","Needs TVD + thickness"))</f>
        <v/>
      </c>
    </row>
    <row r="277">
      <c r="A277" s="9" t="n"/>
      <c r="B277" s="9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9" t="n"/>
      <c r="N277" s="9" t="n"/>
      <c r="O277" s="10" t="n"/>
      <c r="P277" s="9" t="n"/>
      <c r="Q277" s="11">
        <f>IF(P277&lt;&gt;"",P277,IF(M277="","UNKNOWN",IF(AND(ISNUMBER(SEARCH("gas",LOWER(M277))),ISNUMBER(SEARCH("water",LOWER(M277)))),"GAS_WATER",IF(AND(ISNUMBER(SEARCH("oil",LOWER(M277))),ISNUMBER(SEARCH("water",LOWER(M277)))),"OIL_WATER",IF(ISNUMBER(SEARCH("gas",LOWER(M277))),"GAS",IF(ISNUMBER(SEARCH("water",LOWER(M277))),"WATER",IF(ISNUMBER(SEARCH("oil",LOWER(M277))),"OIL","UNKNOWN")))))))</f>
        <v/>
      </c>
      <c r="R277" s="12">
        <f>IF(C277="","",C277)</f>
        <v/>
      </c>
      <c r="S277" s="12">
        <f>IF(R277="","",R277+IF(O277&lt;&gt;"",O277,IF(H277="",0,H277)))</f>
        <v/>
      </c>
      <c r="T277" s="12">
        <f>IF(R277="","",MAX(Settings!$B$3,Settings!$B$4*IF(O277&lt;&gt;"",O277,IF(H277="",0,H277))))</f>
        <v/>
      </c>
      <c r="U277" s="11">
        <f>IF(AND(C277&lt;&gt;"",M277&lt;&gt;"",OR(H277&lt;&gt;"",O277&lt;&gt;"")),"COMPLETE",IF(OR(C277&lt;&gt;"",M277&lt;&gt;""),"PARTIAL","MISSING"))</f>
        <v/>
      </c>
      <c r="V277" s="11">
        <f>IF(Q277="UNKNOWN","Check fluid description",IF(AND(R277&lt;&gt;"",S277&lt;&gt;""),"Ready for contact screening","Needs TVD + thickness"))</f>
        <v/>
      </c>
    </row>
    <row r="278">
      <c r="A278" s="9" t="n"/>
      <c r="B278" s="9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9" t="n"/>
      <c r="N278" s="9" t="n"/>
      <c r="O278" s="10" t="n"/>
      <c r="P278" s="9" t="n"/>
      <c r="Q278" s="11">
        <f>IF(P278&lt;&gt;"",P278,IF(M278="","UNKNOWN",IF(AND(ISNUMBER(SEARCH("gas",LOWER(M278))),ISNUMBER(SEARCH("water",LOWER(M278)))),"GAS_WATER",IF(AND(ISNUMBER(SEARCH("oil",LOWER(M278))),ISNUMBER(SEARCH("water",LOWER(M278)))),"OIL_WATER",IF(ISNUMBER(SEARCH("gas",LOWER(M278))),"GAS",IF(ISNUMBER(SEARCH("water",LOWER(M278))),"WATER",IF(ISNUMBER(SEARCH("oil",LOWER(M278))),"OIL","UNKNOWN")))))))</f>
        <v/>
      </c>
      <c r="R278" s="12">
        <f>IF(C278="","",C278)</f>
        <v/>
      </c>
      <c r="S278" s="12">
        <f>IF(R278="","",R278+IF(O278&lt;&gt;"",O278,IF(H278="",0,H278)))</f>
        <v/>
      </c>
      <c r="T278" s="12">
        <f>IF(R278="","",MAX(Settings!$B$3,Settings!$B$4*IF(O278&lt;&gt;"",O278,IF(H278="",0,H278))))</f>
        <v/>
      </c>
      <c r="U278" s="11">
        <f>IF(AND(C278&lt;&gt;"",M278&lt;&gt;"",OR(H278&lt;&gt;"",O278&lt;&gt;"")),"COMPLETE",IF(OR(C278&lt;&gt;"",M278&lt;&gt;""),"PARTIAL","MISSING"))</f>
        <v/>
      </c>
      <c r="V278" s="11">
        <f>IF(Q278="UNKNOWN","Check fluid description",IF(AND(R278&lt;&gt;"",S278&lt;&gt;""),"Ready for contact screening","Needs TVD + thickness"))</f>
        <v/>
      </c>
    </row>
    <row r="279">
      <c r="A279" s="9" t="n"/>
      <c r="B279" s="9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9" t="n"/>
      <c r="N279" s="9" t="n"/>
      <c r="O279" s="10" t="n"/>
      <c r="P279" s="9" t="n"/>
      <c r="Q279" s="11">
        <f>IF(P279&lt;&gt;"",P279,IF(M279="","UNKNOWN",IF(AND(ISNUMBER(SEARCH("gas",LOWER(M279))),ISNUMBER(SEARCH("water",LOWER(M279)))),"GAS_WATER",IF(AND(ISNUMBER(SEARCH("oil",LOWER(M279))),ISNUMBER(SEARCH("water",LOWER(M279)))),"OIL_WATER",IF(ISNUMBER(SEARCH("gas",LOWER(M279))),"GAS",IF(ISNUMBER(SEARCH("water",LOWER(M279))),"WATER",IF(ISNUMBER(SEARCH("oil",LOWER(M279))),"OIL","UNKNOWN")))))))</f>
        <v/>
      </c>
      <c r="R279" s="12">
        <f>IF(C279="","",C279)</f>
        <v/>
      </c>
      <c r="S279" s="12">
        <f>IF(R279="","",R279+IF(O279&lt;&gt;"",O279,IF(H279="",0,H279)))</f>
        <v/>
      </c>
      <c r="T279" s="12">
        <f>IF(R279="","",MAX(Settings!$B$3,Settings!$B$4*IF(O279&lt;&gt;"",O279,IF(H279="",0,H279))))</f>
        <v/>
      </c>
      <c r="U279" s="11">
        <f>IF(AND(C279&lt;&gt;"",M279&lt;&gt;"",OR(H279&lt;&gt;"",O279&lt;&gt;"")),"COMPLETE",IF(OR(C279&lt;&gt;"",M279&lt;&gt;""),"PARTIAL","MISSING"))</f>
        <v/>
      </c>
      <c r="V279" s="11">
        <f>IF(Q279="UNKNOWN","Check fluid description",IF(AND(R279&lt;&gt;"",S279&lt;&gt;""),"Ready for contact screening","Needs TVD + thickness"))</f>
        <v/>
      </c>
    </row>
    <row r="280">
      <c r="A280" s="9" t="n"/>
      <c r="B280" s="9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9" t="n"/>
      <c r="N280" s="9" t="n"/>
      <c r="O280" s="10" t="n"/>
      <c r="P280" s="9" t="n"/>
      <c r="Q280" s="11">
        <f>IF(P280&lt;&gt;"",P280,IF(M280="","UNKNOWN",IF(AND(ISNUMBER(SEARCH("gas",LOWER(M280))),ISNUMBER(SEARCH("water",LOWER(M280)))),"GAS_WATER",IF(AND(ISNUMBER(SEARCH("oil",LOWER(M280))),ISNUMBER(SEARCH("water",LOWER(M280)))),"OIL_WATER",IF(ISNUMBER(SEARCH("gas",LOWER(M280))),"GAS",IF(ISNUMBER(SEARCH("water",LOWER(M280))),"WATER",IF(ISNUMBER(SEARCH("oil",LOWER(M280))),"OIL","UNKNOWN")))))))</f>
        <v/>
      </c>
      <c r="R280" s="12">
        <f>IF(C280="","",C280)</f>
        <v/>
      </c>
      <c r="S280" s="12">
        <f>IF(R280="","",R280+IF(O280&lt;&gt;"",O280,IF(H280="",0,H280)))</f>
        <v/>
      </c>
      <c r="T280" s="12">
        <f>IF(R280="","",MAX(Settings!$B$3,Settings!$B$4*IF(O280&lt;&gt;"",O280,IF(H280="",0,H280))))</f>
        <v/>
      </c>
      <c r="U280" s="11">
        <f>IF(AND(C280&lt;&gt;"",M280&lt;&gt;"",OR(H280&lt;&gt;"",O280&lt;&gt;"")),"COMPLETE",IF(OR(C280&lt;&gt;"",M280&lt;&gt;""),"PARTIAL","MISSING"))</f>
        <v/>
      </c>
      <c r="V280" s="11">
        <f>IF(Q280="UNKNOWN","Check fluid description",IF(AND(R280&lt;&gt;"",S280&lt;&gt;""),"Ready for contact screening","Needs TVD + thickness"))</f>
        <v/>
      </c>
    </row>
    <row r="281">
      <c r="A281" s="9" t="n"/>
      <c r="B281" s="9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9" t="n"/>
      <c r="N281" s="9" t="n"/>
      <c r="O281" s="10" t="n"/>
      <c r="P281" s="9" t="n"/>
      <c r="Q281" s="11">
        <f>IF(P281&lt;&gt;"",P281,IF(M281="","UNKNOWN",IF(AND(ISNUMBER(SEARCH("gas",LOWER(M281))),ISNUMBER(SEARCH("water",LOWER(M281)))),"GAS_WATER",IF(AND(ISNUMBER(SEARCH("oil",LOWER(M281))),ISNUMBER(SEARCH("water",LOWER(M281)))),"OIL_WATER",IF(ISNUMBER(SEARCH("gas",LOWER(M281))),"GAS",IF(ISNUMBER(SEARCH("water",LOWER(M281))),"WATER",IF(ISNUMBER(SEARCH("oil",LOWER(M281))),"OIL","UNKNOWN")))))))</f>
        <v/>
      </c>
      <c r="R281" s="12">
        <f>IF(C281="","",C281)</f>
        <v/>
      </c>
      <c r="S281" s="12">
        <f>IF(R281="","",R281+IF(O281&lt;&gt;"",O281,IF(H281="",0,H281)))</f>
        <v/>
      </c>
      <c r="T281" s="12">
        <f>IF(R281="","",MAX(Settings!$B$3,Settings!$B$4*IF(O281&lt;&gt;"",O281,IF(H281="",0,H281))))</f>
        <v/>
      </c>
      <c r="U281" s="11">
        <f>IF(AND(C281&lt;&gt;"",M281&lt;&gt;"",OR(H281&lt;&gt;"",O281&lt;&gt;"")),"COMPLETE",IF(OR(C281&lt;&gt;"",M281&lt;&gt;""),"PARTIAL","MISSING"))</f>
        <v/>
      </c>
      <c r="V281" s="11">
        <f>IF(Q281="UNKNOWN","Check fluid description",IF(AND(R281&lt;&gt;"",S281&lt;&gt;""),"Ready for contact screening","Needs TVD + thickness"))</f>
        <v/>
      </c>
    </row>
    <row r="282">
      <c r="A282" s="9" t="n"/>
      <c r="B282" s="9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9" t="n"/>
      <c r="N282" s="9" t="n"/>
      <c r="O282" s="10" t="n"/>
      <c r="P282" s="9" t="n"/>
      <c r="Q282" s="11">
        <f>IF(P282&lt;&gt;"",P282,IF(M282="","UNKNOWN",IF(AND(ISNUMBER(SEARCH("gas",LOWER(M282))),ISNUMBER(SEARCH("water",LOWER(M282)))),"GAS_WATER",IF(AND(ISNUMBER(SEARCH("oil",LOWER(M282))),ISNUMBER(SEARCH("water",LOWER(M282)))),"OIL_WATER",IF(ISNUMBER(SEARCH("gas",LOWER(M282))),"GAS",IF(ISNUMBER(SEARCH("water",LOWER(M282))),"WATER",IF(ISNUMBER(SEARCH("oil",LOWER(M282))),"OIL","UNKNOWN")))))))</f>
        <v/>
      </c>
      <c r="R282" s="12">
        <f>IF(C282="","",C282)</f>
        <v/>
      </c>
      <c r="S282" s="12">
        <f>IF(R282="","",R282+IF(O282&lt;&gt;"",O282,IF(H282="",0,H282)))</f>
        <v/>
      </c>
      <c r="T282" s="12">
        <f>IF(R282="","",MAX(Settings!$B$3,Settings!$B$4*IF(O282&lt;&gt;"",O282,IF(H282="",0,H282))))</f>
        <v/>
      </c>
      <c r="U282" s="11">
        <f>IF(AND(C282&lt;&gt;"",M282&lt;&gt;"",OR(H282&lt;&gt;"",O282&lt;&gt;"")),"COMPLETE",IF(OR(C282&lt;&gt;"",M282&lt;&gt;""),"PARTIAL","MISSING"))</f>
        <v/>
      </c>
      <c r="V282" s="11">
        <f>IF(Q282="UNKNOWN","Check fluid description",IF(AND(R282&lt;&gt;"",S282&lt;&gt;""),"Ready for contact screening","Needs TVD + thickness"))</f>
        <v/>
      </c>
    </row>
    <row r="283">
      <c r="A283" s="9" t="n"/>
      <c r="B283" s="9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9" t="n"/>
      <c r="N283" s="9" t="n"/>
      <c r="O283" s="10" t="n"/>
      <c r="P283" s="9" t="n"/>
      <c r="Q283" s="11">
        <f>IF(P283&lt;&gt;"",P283,IF(M283="","UNKNOWN",IF(AND(ISNUMBER(SEARCH("gas",LOWER(M283))),ISNUMBER(SEARCH("water",LOWER(M283)))),"GAS_WATER",IF(AND(ISNUMBER(SEARCH("oil",LOWER(M283))),ISNUMBER(SEARCH("water",LOWER(M283)))),"OIL_WATER",IF(ISNUMBER(SEARCH("gas",LOWER(M283))),"GAS",IF(ISNUMBER(SEARCH("water",LOWER(M283))),"WATER",IF(ISNUMBER(SEARCH("oil",LOWER(M283))),"OIL","UNKNOWN")))))))</f>
        <v/>
      </c>
      <c r="R283" s="12">
        <f>IF(C283="","",C283)</f>
        <v/>
      </c>
      <c r="S283" s="12">
        <f>IF(R283="","",R283+IF(O283&lt;&gt;"",O283,IF(H283="",0,H283)))</f>
        <v/>
      </c>
      <c r="T283" s="12">
        <f>IF(R283="","",MAX(Settings!$B$3,Settings!$B$4*IF(O283&lt;&gt;"",O283,IF(H283="",0,H283))))</f>
        <v/>
      </c>
      <c r="U283" s="11">
        <f>IF(AND(C283&lt;&gt;"",M283&lt;&gt;"",OR(H283&lt;&gt;"",O283&lt;&gt;"")),"COMPLETE",IF(OR(C283&lt;&gt;"",M283&lt;&gt;""),"PARTIAL","MISSING"))</f>
        <v/>
      </c>
      <c r="V283" s="11">
        <f>IF(Q283="UNKNOWN","Check fluid description",IF(AND(R283&lt;&gt;"",S283&lt;&gt;""),"Ready for contact screening","Needs TVD + thickness"))</f>
        <v/>
      </c>
    </row>
    <row r="284">
      <c r="A284" s="9" t="n"/>
      <c r="B284" s="9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9" t="n"/>
      <c r="N284" s="9" t="n"/>
      <c r="O284" s="10" t="n"/>
      <c r="P284" s="9" t="n"/>
      <c r="Q284" s="11">
        <f>IF(P284&lt;&gt;"",P284,IF(M284="","UNKNOWN",IF(AND(ISNUMBER(SEARCH("gas",LOWER(M284))),ISNUMBER(SEARCH("water",LOWER(M284)))),"GAS_WATER",IF(AND(ISNUMBER(SEARCH("oil",LOWER(M284))),ISNUMBER(SEARCH("water",LOWER(M284)))),"OIL_WATER",IF(ISNUMBER(SEARCH("gas",LOWER(M284))),"GAS",IF(ISNUMBER(SEARCH("water",LOWER(M284))),"WATER",IF(ISNUMBER(SEARCH("oil",LOWER(M284))),"OIL","UNKNOWN")))))))</f>
        <v/>
      </c>
      <c r="R284" s="12">
        <f>IF(C284="","",C284)</f>
        <v/>
      </c>
      <c r="S284" s="12">
        <f>IF(R284="","",R284+IF(O284&lt;&gt;"",O284,IF(H284="",0,H284)))</f>
        <v/>
      </c>
      <c r="T284" s="12">
        <f>IF(R284="","",MAX(Settings!$B$3,Settings!$B$4*IF(O284&lt;&gt;"",O284,IF(H284="",0,H284))))</f>
        <v/>
      </c>
      <c r="U284" s="11">
        <f>IF(AND(C284&lt;&gt;"",M284&lt;&gt;"",OR(H284&lt;&gt;"",O284&lt;&gt;"")),"COMPLETE",IF(OR(C284&lt;&gt;"",M284&lt;&gt;""),"PARTIAL","MISSING"))</f>
        <v/>
      </c>
      <c r="V284" s="11">
        <f>IF(Q284="UNKNOWN","Check fluid description",IF(AND(R284&lt;&gt;"",S284&lt;&gt;""),"Ready for contact screening","Needs TVD + thickness"))</f>
        <v/>
      </c>
    </row>
    <row r="285">
      <c r="A285" s="9" t="n"/>
      <c r="B285" s="9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9" t="n"/>
      <c r="N285" s="9" t="n"/>
      <c r="O285" s="10" t="n"/>
      <c r="P285" s="9" t="n"/>
      <c r="Q285" s="11">
        <f>IF(P285&lt;&gt;"",P285,IF(M285="","UNKNOWN",IF(AND(ISNUMBER(SEARCH("gas",LOWER(M285))),ISNUMBER(SEARCH("water",LOWER(M285)))),"GAS_WATER",IF(AND(ISNUMBER(SEARCH("oil",LOWER(M285))),ISNUMBER(SEARCH("water",LOWER(M285)))),"OIL_WATER",IF(ISNUMBER(SEARCH("gas",LOWER(M285))),"GAS",IF(ISNUMBER(SEARCH("water",LOWER(M285))),"WATER",IF(ISNUMBER(SEARCH("oil",LOWER(M285))),"OIL","UNKNOWN")))))))</f>
        <v/>
      </c>
      <c r="R285" s="12">
        <f>IF(C285="","",C285)</f>
        <v/>
      </c>
      <c r="S285" s="12">
        <f>IF(R285="","",R285+IF(O285&lt;&gt;"",O285,IF(H285="",0,H285)))</f>
        <v/>
      </c>
      <c r="T285" s="12">
        <f>IF(R285="","",MAX(Settings!$B$3,Settings!$B$4*IF(O285&lt;&gt;"",O285,IF(H285="",0,H285))))</f>
        <v/>
      </c>
      <c r="U285" s="11">
        <f>IF(AND(C285&lt;&gt;"",M285&lt;&gt;"",OR(H285&lt;&gt;"",O285&lt;&gt;"")),"COMPLETE",IF(OR(C285&lt;&gt;"",M285&lt;&gt;""),"PARTIAL","MISSING"))</f>
        <v/>
      </c>
      <c r="V285" s="11">
        <f>IF(Q285="UNKNOWN","Check fluid description",IF(AND(R285&lt;&gt;"",S285&lt;&gt;""),"Ready for contact screening","Needs TVD + thickness"))</f>
        <v/>
      </c>
    </row>
    <row r="286">
      <c r="A286" s="9" t="n"/>
      <c r="B286" s="9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9" t="n"/>
      <c r="N286" s="9" t="n"/>
      <c r="O286" s="10" t="n"/>
      <c r="P286" s="9" t="n"/>
      <c r="Q286" s="11">
        <f>IF(P286&lt;&gt;"",P286,IF(M286="","UNKNOWN",IF(AND(ISNUMBER(SEARCH("gas",LOWER(M286))),ISNUMBER(SEARCH("water",LOWER(M286)))),"GAS_WATER",IF(AND(ISNUMBER(SEARCH("oil",LOWER(M286))),ISNUMBER(SEARCH("water",LOWER(M286)))),"OIL_WATER",IF(ISNUMBER(SEARCH("gas",LOWER(M286))),"GAS",IF(ISNUMBER(SEARCH("water",LOWER(M286))),"WATER",IF(ISNUMBER(SEARCH("oil",LOWER(M286))),"OIL","UNKNOWN")))))))</f>
        <v/>
      </c>
      <c r="R286" s="12">
        <f>IF(C286="","",C286)</f>
        <v/>
      </c>
      <c r="S286" s="12">
        <f>IF(R286="","",R286+IF(O286&lt;&gt;"",O286,IF(H286="",0,H286)))</f>
        <v/>
      </c>
      <c r="T286" s="12">
        <f>IF(R286="","",MAX(Settings!$B$3,Settings!$B$4*IF(O286&lt;&gt;"",O286,IF(H286="",0,H286))))</f>
        <v/>
      </c>
      <c r="U286" s="11">
        <f>IF(AND(C286&lt;&gt;"",M286&lt;&gt;"",OR(H286&lt;&gt;"",O286&lt;&gt;"")),"COMPLETE",IF(OR(C286&lt;&gt;"",M286&lt;&gt;""),"PARTIAL","MISSING"))</f>
        <v/>
      </c>
      <c r="V286" s="11">
        <f>IF(Q286="UNKNOWN","Check fluid description",IF(AND(R286&lt;&gt;"",S286&lt;&gt;""),"Ready for contact screening","Needs TVD + thickness"))</f>
        <v/>
      </c>
    </row>
    <row r="287">
      <c r="A287" s="9" t="n"/>
      <c r="B287" s="9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9" t="n"/>
      <c r="N287" s="9" t="n"/>
      <c r="O287" s="10" t="n"/>
      <c r="P287" s="9" t="n"/>
      <c r="Q287" s="11">
        <f>IF(P287&lt;&gt;"",P287,IF(M287="","UNKNOWN",IF(AND(ISNUMBER(SEARCH("gas",LOWER(M287))),ISNUMBER(SEARCH("water",LOWER(M287)))),"GAS_WATER",IF(AND(ISNUMBER(SEARCH("oil",LOWER(M287))),ISNUMBER(SEARCH("water",LOWER(M287)))),"OIL_WATER",IF(ISNUMBER(SEARCH("gas",LOWER(M287))),"GAS",IF(ISNUMBER(SEARCH("water",LOWER(M287))),"WATER",IF(ISNUMBER(SEARCH("oil",LOWER(M287))),"OIL","UNKNOWN")))))))</f>
        <v/>
      </c>
      <c r="R287" s="12">
        <f>IF(C287="","",C287)</f>
        <v/>
      </c>
      <c r="S287" s="12">
        <f>IF(R287="","",R287+IF(O287&lt;&gt;"",O287,IF(H287="",0,H287)))</f>
        <v/>
      </c>
      <c r="T287" s="12">
        <f>IF(R287="","",MAX(Settings!$B$3,Settings!$B$4*IF(O287&lt;&gt;"",O287,IF(H287="",0,H287))))</f>
        <v/>
      </c>
      <c r="U287" s="11">
        <f>IF(AND(C287&lt;&gt;"",M287&lt;&gt;"",OR(H287&lt;&gt;"",O287&lt;&gt;"")),"COMPLETE",IF(OR(C287&lt;&gt;"",M287&lt;&gt;""),"PARTIAL","MISSING"))</f>
        <v/>
      </c>
      <c r="V287" s="11">
        <f>IF(Q287="UNKNOWN","Check fluid description",IF(AND(R287&lt;&gt;"",S287&lt;&gt;""),"Ready for contact screening","Needs TVD + thickness"))</f>
        <v/>
      </c>
    </row>
    <row r="288">
      <c r="A288" s="9" t="n"/>
      <c r="B288" s="9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9" t="n"/>
      <c r="N288" s="9" t="n"/>
      <c r="O288" s="10" t="n"/>
      <c r="P288" s="9" t="n"/>
      <c r="Q288" s="11">
        <f>IF(P288&lt;&gt;"",P288,IF(M288="","UNKNOWN",IF(AND(ISNUMBER(SEARCH("gas",LOWER(M288))),ISNUMBER(SEARCH("water",LOWER(M288)))),"GAS_WATER",IF(AND(ISNUMBER(SEARCH("oil",LOWER(M288))),ISNUMBER(SEARCH("water",LOWER(M288)))),"OIL_WATER",IF(ISNUMBER(SEARCH("gas",LOWER(M288))),"GAS",IF(ISNUMBER(SEARCH("water",LOWER(M288))),"WATER",IF(ISNUMBER(SEARCH("oil",LOWER(M288))),"OIL","UNKNOWN")))))))</f>
        <v/>
      </c>
      <c r="R288" s="12">
        <f>IF(C288="","",C288)</f>
        <v/>
      </c>
      <c r="S288" s="12">
        <f>IF(R288="","",R288+IF(O288&lt;&gt;"",O288,IF(H288="",0,H288)))</f>
        <v/>
      </c>
      <c r="T288" s="12">
        <f>IF(R288="","",MAX(Settings!$B$3,Settings!$B$4*IF(O288&lt;&gt;"",O288,IF(H288="",0,H288))))</f>
        <v/>
      </c>
      <c r="U288" s="11">
        <f>IF(AND(C288&lt;&gt;"",M288&lt;&gt;"",OR(H288&lt;&gt;"",O288&lt;&gt;"")),"COMPLETE",IF(OR(C288&lt;&gt;"",M288&lt;&gt;""),"PARTIAL","MISSING"))</f>
        <v/>
      </c>
      <c r="V288" s="11">
        <f>IF(Q288="UNKNOWN","Check fluid description",IF(AND(R288&lt;&gt;"",S288&lt;&gt;""),"Ready for contact screening","Needs TVD + thickness"))</f>
        <v/>
      </c>
    </row>
    <row r="289">
      <c r="A289" s="9" t="n"/>
      <c r="B289" s="9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9" t="n"/>
      <c r="N289" s="9" t="n"/>
      <c r="O289" s="10" t="n"/>
      <c r="P289" s="9" t="n"/>
      <c r="Q289" s="11">
        <f>IF(P289&lt;&gt;"",P289,IF(M289="","UNKNOWN",IF(AND(ISNUMBER(SEARCH("gas",LOWER(M289))),ISNUMBER(SEARCH("water",LOWER(M289)))),"GAS_WATER",IF(AND(ISNUMBER(SEARCH("oil",LOWER(M289))),ISNUMBER(SEARCH("water",LOWER(M289)))),"OIL_WATER",IF(ISNUMBER(SEARCH("gas",LOWER(M289))),"GAS",IF(ISNUMBER(SEARCH("water",LOWER(M289))),"WATER",IF(ISNUMBER(SEARCH("oil",LOWER(M289))),"OIL","UNKNOWN")))))))</f>
        <v/>
      </c>
      <c r="R289" s="12">
        <f>IF(C289="","",C289)</f>
        <v/>
      </c>
      <c r="S289" s="12">
        <f>IF(R289="","",R289+IF(O289&lt;&gt;"",O289,IF(H289="",0,H289)))</f>
        <v/>
      </c>
      <c r="T289" s="12">
        <f>IF(R289="","",MAX(Settings!$B$3,Settings!$B$4*IF(O289&lt;&gt;"",O289,IF(H289="",0,H289))))</f>
        <v/>
      </c>
      <c r="U289" s="11">
        <f>IF(AND(C289&lt;&gt;"",M289&lt;&gt;"",OR(H289&lt;&gt;"",O289&lt;&gt;"")),"COMPLETE",IF(OR(C289&lt;&gt;"",M289&lt;&gt;""),"PARTIAL","MISSING"))</f>
        <v/>
      </c>
      <c r="V289" s="11">
        <f>IF(Q289="UNKNOWN","Check fluid description",IF(AND(R289&lt;&gt;"",S289&lt;&gt;""),"Ready for contact screening","Needs TVD + thickness"))</f>
        <v/>
      </c>
    </row>
    <row r="290">
      <c r="A290" s="9" t="n"/>
      <c r="B290" s="9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9" t="n"/>
      <c r="N290" s="9" t="n"/>
      <c r="O290" s="10" t="n"/>
      <c r="P290" s="9" t="n"/>
      <c r="Q290" s="11">
        <f>IF(P290&lt;&gt;"",P290,IF(M290="","UNKNOWN",IF(AND(ISNUMBER(SEARCH("gas",LOWER(M290))),ISNUMBER(SEARCH("water",LOWER(M290)))),"GAS_WATER",IF(AND(ISNUMBER(SEARCH("oil",LOWER(M290))),ISNUMBER(SEARCH("water",LOWER(M290)))),"OIL_WATER",IF(ISNUMBER(SEARCH("gas",LOWER(M290))),"GAS",IF(ISNUMBER(SEARCH("water",LOWER(M290))),"WATER",IF(ISNUMBER(SEARCH("oil",LOWER(M290))),"OIL","UNKNOWN")))))))</f>
        <v/>
      </c>
      <c r="R290" s="12">
        <f>IF(C290="","",C290)</f>
        <v/>
      </c>
      <c r="S290" s="12">
        <f>IF(R290="","",R290+IF(O290&lt;&gt;"",O290,IF(H290="",0,H290)))</f>
        <v/>
      </c>
      <c r="T290" s="12">
        <f>IF(R290="","",MAX(Settings!$B$3,Settings!$B$4*IF(O290&lt;&gt;"",O290,IF(H290="",0,H290))))</f>
        <v/>
      </c>
      <c r="U290" s="11">
        <f>IF(AND(C290&lt;&gt;"",M290&lt;&gt;"",OR(H290&lt;&gt;"",O290&lt;&gt;"")),"COMPLETE",IF(OR(C290&lt;&gt;"",M290&lt;&gt;""),"PARTIAL","MISSING"))</f>
        <v/>
      </c>
      <c r="V290" s="11">
        <f>IF(Q290="UNKNOWN","Check fluid description",IF(AND(R290&lt;&gt;"",S290&lt;&gt;""),"Ready for contact screening","Needs TVD + thickness"))</f>
        <v/>
      </c>
    </row>
    <row r="291">
      <c r="A291" s="9" t="n"/>
      <c r="B291" s="9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9" t="n"/>
      <c r="N291" s="9" t="n"/>
      <c r="O291" s="10" t="n"/>
      <c r="P291" s="9" t="n"/>
      <c r="Q291" s="11">
        <f>IF(P291&lt;&gt;"",P291,IF(M291="","UNKNOWN",IF(AND(ISNUMBER(SEARCH("gas",LOWER(M291))),ISNUMBER(SEARCH("water",LOWER(M291)))),"GAS_WATER",IF(AND(ISNUMBER(SEARCH("oil",LOWER(M291))),ISNUMBER(SEARCH("water",LOWER(M291)))),"OIL_WATER",IF(ISNUMBER(SEARCH("gas",LOWER(M291))),"GAS",IF(ISNUMBER(SEARCH("water",LOWER(M291))),"WATER",IF(ISNUMBER(SEARCH("oil",LOWER(M291))),"OIL","UNKNOWN")))))))</f>
        <v/>
      </c>
      <c r="R291" s="12">
        <f>IF(C291="","",C291)</f>
        <v/>
      </c>
      <c r="S291" s="12">
        <f>IF(R291="","",R291+IF(O291&lt;&gt;"",O291,IF(H291="",0,H291)))</f>
        <v/>
      </c>
      <c r="T291" s="12">
        <f>IF(R291="","",MAX(Settings!$B$3,Settings!$B$4*IF(O291&lt;&gt;"",O291,IF(H291="",0,H291))))</f>
        <v/>
      </c>
      <c r="U291" s="11">
        <f>IF(AND(C291&lt;&gt;"",M291&lt;&gt;"",OR(H291&lt;&gt;"",O291&lt;&gt;"")),"COMPLETE",IF(OR(C291&lt;&gt;"",M291&lt;&gt;""),"PARTIAL","MISSING"))</f>
        <v/>
      </c>
      <c r="V291" s="11">
        <f>IF(Q291="UNKNOWN","Check fluid description",IF(AND(R291&lt;&gt;"",S291&lt;&gt;""),"Ready for contact screening","Needs TVD + thickness"))</f>
        <v/>
      </c>
    </row>
    <row r="292">
      <c r="A292" s="9" t="n"/>
      <c r="B292" s="9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9" t="n"/>
      <c r="N292" s="9" t="n"/>
      <c r="O292" s="10" t="n"/>
      <c r="P292" s="9" t="n"/>
      <c r="Q292" s="11">
        <f>IF(P292&lt;&gt;"",P292,IF(M292="","UNKNOWN",IF(AND(ISNUMBER(SEARCH("gas",LOWER(M292))),ISNUMBER(SEARCH("water",LOWER(M292)))),"GAS_WATER",IF(AND(ISNUMBER(SEARCH("oil",LOWER(M292))),ISNUMBER(SEARCH("water",LOWER(M292)))),"OIL_WATER",IF(ISNUMBER(SEARCH("gas",LOWER(M292))),"GAS",IF(ISNUMBER(SEARCH("water",LOWER(M292))),"WATER",IF(ISNUMBER(SEARCH("oil",LOWER(M292))),"OIL","UNKNOWN")))))))</f>
        <v/>
      </c>
      <c r="R292" s="12">
        <f>IF(C292="","",C292)</f>
        <v/>
      </c>
      <c r="S292" s="12">
        <f>IF(R292="","",R292+IF(O292&lt;&gt;"",O292,IF(H292="",0,H292)))</f>
        <v/>
      </c>
      <c r="T292" s="12">
        <f>IF(R292="","",MAX(Settings!$B$3,Settings!$B$4*IF(O292&lt;&gt;"",O292,IF(H292="",0,H292))))</f>
        <v/>
      </c>
      <c r="U292" s="11">
        <f>IF(AND(C292&lt;&gt;"",M292&lt;&gt;"",OR(H292&lt;&gt;"",O292&lt;&gt;"")),"COMPLETE",IF(OR(C292&lt;&gt;"",M292&lt;&gt;""),"PARTIAL","MISSING"))</f>
        <v/>
      </c>
      <c r="V292" s="11">
        <f>IF(Q292="UNKNOWN","Check fluid description",IF(AND(R292&lt;&gt;"",S292&lt;&gt;""),"Ready for contact screening","Needs TVD + thickness"))</f>
        <v/>
      </c>
    </row>
    <row r="293">
      <c r="A293" s="9" t="n"/>
      <c r="B293" s="9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9" t="n"/>
      <c r="N293" s="9" t="n"/>
      <c r="O293" s="10" t="n"/>
      <c r="P293" s="9" t="n"/>
      <c r="Q293" s="11">
        <f>IF(P293&lt;&gt;"",P293,IF(M293="","UNKNOWN",IF(AND(ISNUMBER(SEARCH("gas",LOWER(M293))),ISNUMBER(SEARCH("water",LOWER(M293)))),"GAS_WATER",IF(AND(ISNUMBER(SEARCH("oil",LOWER(M293))),ISNUMBER(SEARCH("water",LOWER(M293)))),"OIL_WATER",IF(ISNUMBER(SEARCH("gas",LOWER(M293))),"GAS",IF(ISNUMBER(SEARCH("water",LOWER(M293))),"WATER",IF(ISNUMBER(SEARCH("oil",LOWER(M293))),"OIL","UNKNOWN")))))))</f>
        <v/>
      </c>
      <c r="R293" s="12">
        <f>IF(C293="","",C293)</f>
        <v/>
      </c>
      <c r="S293" s="12">
        <f>IF(R293="","",R293+IF(O293&lt;&gt;"",O293,IF(H293="",0,H293)))</f>
        <v/>
      </c>
      <c r="T293" s="12">
        <f>IF(R293="","",MAX(Settings!$B$3,Settings!$B$4*IF(O293&lt;&gt;"",O293,IF(H293="",0,H293))))</f>
        <v/>
      </c>
      <c r="U293" s="11">
        <f>IF(AND(C293&lt;&gt;"",M293&lt;&gt;"",OR(H293&lt;&gt;"",O293&lt;&gt;"")),"COMPLETE",IF(OR(C293&lt;&gt;"",M293&lt;&gt;""),"PARTIAL","MISSING"))</f>
        <v/>
      </c>
      <c r="V293" s="11">
        <f>IF(Q293="UNKNOWN","Check fluid description",IF(AND(R293&lt;&gt;"",S293&lt;&gt;""),"Ready for contact screening","Needs TVD + thickness"))</f>
        <v/>
      </c>
    </row>
    <row r="294">
      <c r="A294" s="9" t="n"/>
      <c r="B294" s="9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9" t="n"/>
      <c r="N294" s="9" t="n"/>
      <c r="O294" s="10" t="n"/>
      <c r="P294" s="9" t="n"/>
      <c r="Q294" s="11">
        <f>IF(P294&lt;&gt;"",P294,IF(M294="","UNKNOWN",IF(AND(ISNUMBER(SEARCH("gas",LOWER(M294))),ISNUMBER(SEARCH("water",LOWER(M294)))),"GAS_WATER",IF(AND(ISNUMBER(SEARCH("oil",LOWER(M294))),ISNUMBER(SEARCH("water",LOWER(M294)))),"OIL_WATER",IF(ISNUMBER(SEARCH("gas",LOWER(M294))),"GAS",IF(ISNUMBER(SEARCH("water",LOWER(M294))),"WATER",IF(ISNUMBER(SEARCH("oil",LOWER(M294))),"OIL","UNKNOWN")))))))</f>
        <v/>
      </c>
      <c r="R294" s="12">
        <f>IF(C294="","",C294)</f>
        <v/>
      </c>
      <c r="S294" s="12">
        <f>IF(R294="","",R294+IF(O294&lt;&gt;"",O294,IF(H294="",0,H294)))</f>
        <v/>
      </c>
      <c r="T294" s="12">
        <f>IF(R294="","",MAX(Settings!$B$3,Settings!$B$4*IF(O294&lt;&gt;"",O294,IF(H294="",0,H294))))</f>
        <v/>
      </c>
      <c r="U294" s="11">
        <f>IF(AND(C294&lt;&gt;"",M294&lt;&gt;"",OR(H294&lt;&gt;"",O294&lt;&gt;"")),"COMPLETE",IF(OR(C294&lt;&gt;"",M294&lt;&gt;""),"PARTIAL","MISSING"))</f>
        <v/>
      </c>
      <c r="V294" s="11">
        <f>IF(Q294="UNKNOWN","Check fluid description",IF(AND(R294&lt;&gt;"",S294&lt;&gt;""),"Ready for contact screening","Needs TVD + thickness"))</f>
        <v/>
      </c>
    </row>
    <row r="295">
      <c r="A295" s="9" t="n"/>
      <c r="B295" s="9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9" t="n"/>
      <c r="N295" s="9" t="n"/>
      <c r="O295" s="10" t="n"/>
      <c r="P295" s="9" t="n"/>
      <c r="Q295" s="11">
        <f>IF(P295&lt;&gt;"",P295,IF(M295="","UNKNOWN",IF(AND(ISNUMBER(SEARCH("gas",LOWER(M295))),ISNUMBER(SEARCH("water",LOWER(M295)))),"GAS_WATER",IF(AND(ISNUMBER(SEARCH("oil",LOWER(M295))),ISNUMBER(SEARCH("water",LOWER(M295)))),"OIL_WATER",IF(ISNUMBER(SEARCH("gas",LOWER(M295))),"GAS",IF(ISNUMBER(SEARCH("water",LOWER(M295))),"WATER",IF(ISNUMBER(SEARCH("oil",LOWER(M295))),"OIL","UNKNOWN")))))))</f>
        <v/>
      </c>
      <c r="R295" s="12">
        <f>IF(C295="","",C295)</f>
        <v/>
      </c>
      <c r="S295" s="12">
        <f>IF(R295="","",R295+IF(O295&lt;&gt;"",O295,IF(H295="",0,H295)))</f>
        <v/>
      </c>
      <c r="T295" s="12">
        <f>IF(R295="","",MAX(Settings!$B$3,Settings!$B$4*IF(O295&lt;&gt;"",O295,IF(H295="",0,H295))))</f>
        <v/>
      </c>
      <c r="U295" s="11">
        <f>IF(AND(C295&lt;&gt;"",M295&lt;&gt;"",OR(H295&lt;&gt;"",O295&lt;&gt;"")),"COMPLETE",IF(OR(C295&lt;&gt;"",M295&lt;&gt;""),"PARTIAL","MISSING"))</f>
        <v/>
      </c>
      <c r="V295" s="11">
        <f>IF(Q295="UNKNOWN","Check fluid description",IF(AND(R295&lt;&gt;"",S295&lt;&gt;""),"Ready for contact screening","Needs TVD + thickness"))</f>
        <v/>
      </c>
    </row>
    <row r="296">
      <c r="A296" s="9" t="n"/>
      <c r="B296" s="9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9" t="n"/>
      <c r="N296" s="9" t="n"/>
      <c r="O296" s="10" t="n"/>
      <c r="P296" s="9" t="n"/>
      <c r="Q296" s="11">
        <f>IF(P296&lt;&gt;"",P296,IF(M296="","UNKNOWN",IF(AND(ISNUMBER(SEARCH("gas",LOWER(M296))),ISNUMBER(SEARCH("water",LOWER(M296)))),"GAS_WATER",IF(AND(ISNUMBER(SEARCH("oil",LOWER(M296))),ISNUMBER(SEARCH("water",LOWER(M296)))),"OIL_WATER",IF(ISNUMBER(SEARCH("gas",LOWER(M296))),"GAS",IF(ISNUMBER(SEARCH("water",LOWER(M296))),"WATER",IF(ISNUMBER(SEARCH("oil",LOWER(M296))),"OIL","UNKNOWN")))))))</f>
        <v/>
      </c>
      <c r="R296" s="12">
        <f>IF(C296="","",C296)</f>
        <v/>
      </c>
      <c r="S296" s="12">
        <f>IF(R296="","",R296+IF(O296&lt;&gt;"",O296,IF(H296="",0,H296)))</f>
        <v/>
      </c>
      <c r="T296" s="12">
        <f>IF(R296="","",MAX(Settings!$B$3,Settings!$B$4*IF(O296&lt;&gt;"",O296,IF(H296="",0,H296))))</f>
        <v/>
      </c>
      <c r="U296" s="11">
        <f>IF(AND(C296&lt;&gt;"",M296&lt;&gt;"",OR(H296&lt;&gt;"",O296&lt;&gt;"")),"COMPLETE",IF(OR(C296&lt;&gt;"",M296&lt;&gt;""),"PARTIAL","MISSING"))</f>
        <v/>
      </c>
      <c r="V296" s="11">
        <f>IF(Q296="UNKNOWN","Check fluid description",IF(AND(R296&lt;&gt;"",S296&lt;&gt;""),"Ready for contact screening","Needs TVD + thickness"))</f>
        <v/>
      </c>
    </row>
    <row r="297">
      <c r="A297" s="9" t="n"/>
      <c r="B297" s="9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9" t="n"/>
      <c r="N297" s="9" t="n"/>
      <c r="O297" s="10" t="n"/>
      <c r="P297" s="9" t="n"/>
      <c r="Q297" s="11">
        <f>IF(P297&lt;&gt;"",P297,IF(M297="","UNKNOWN",IF(AND(ISNUMBER(SEARCH("gas",LOWER(M297))),ISNUMBER(SEARCH("water",LOWER(M297)))),"GAS_WATER",IF(AND(ISNUMBER(SEARCH("oil",LOWER(M297))),ISNUMBER(SEARCH("water",LOWER(M297)))),"OIL_WATER",IF(ISNUMBER(SEARCH("gas",LOWER(M297))),"GAS",IF(ISNUMBER(SEARCH("water",LOWER(M297))),"WATER",IF(ISNUMBER(SEARCH("oil",LOWER(M297))),"OIL","UNKNOWN")))))))</f>
        <v/>
      </c>
      <c r="R297" s="12">
        <f>IF(C297="","",C297)</f>
        <v/>
      </c>
      <c r="S297" s="12">
        <f>IF(R297="","",R297+IF(O297&lt;&gt;"",O297,IF(H297="",0,H297)))</f>
        <v/>
      </c>
      <c r="T297" s="12">
        <f>IF(R297="","",MAX(Settings!$B$3,Settings!$B$4*IF(O297&lt;&gt;"",O297,IF(H297="",0,H297))))</f>
        <v/>
      </c>
      <c r="U297" s="11">
        <f>IF(AND(C297&lt;&gt;"",M297&lt;&gt;"",OR(H297&lt;&gt;"",O297&lt;&gt;"")),"COMPLETE",IF(OR(C297&lt;&gt;"",M297&lt;&gt;""),"PARTIAL","MISSING"))</f>
        <v/>
      </c>
      <c r="V297" s="11">
        <f>IF(Q297="UNKNOWN","Check fluid description",IF(AND(R297&lt;&gt;"",S297&lt;&gt;""),"Ready for contact screening","Needs TVD + thickness"))</f>
        <v/>
      </c>
    </row>
    <row r="298">
      <c r="A298" s="9" t="n"/>
      <c r="B298" s="9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9" t="n"/>
      <c r="N298" s="9" t="n"/>
      <c r="O298" s="10" t="n"/>
      <c r="P298" s="9" t="n"/>
      <c r="Q298" s="11">
        <f>IF(P298&lt;&gt;"",P298,IF(M298="","UNKNOWN",IF(AND(ISNUMBER(SEARCH("gas",LOWER(M298))),ISNUMBER(SEARCH("water",LOWER(M298)))),"GAS_WATER",IF(AND(ISNUMBER(SEARCH("oil",LOWER(M298))),ISNUMBER(SEARCH("water",LOWER(M298)))),"OIL_WATER",IF(ISNUMBER(SEARCH("gas",LOWER(M298))),"GAS",IF(ISNUMBER(SEARCH("water",LOWER(M298))),"WATER",IF(ISNUMBER(SEARCH("oil",LOWER(M298))),"OIL","UNKNOWN")))))))</f>
        <v/>
      </c>
      <c r="R298" s="12">
        <f>IF(C298="","",C298)</f>
        <v/>
      </c>
      <c r="S298" s="12">
        <f>IF(R298="","",R298+IF(O298&lt;&gt;"",O298,IF(H298="",0,H298)))</f>
        <v/>
      </c>
      <c r="T298" s="12">
        <f>IF(R298="","",MAX(Settings!$B$3,Settings!$B$4*IF(O298&lt;&gt;"",O298,IF(H298="",0,H298))))</f>
        <v/>
      </c>
      <c r="U298" s="11">
        <f>IF(AND(C298&lt;&gt;"",M298&lt;&gt;"",OR(H298&lt;&gt;"",O298&lt;&gt;"")),"COMPLETE",IF(OR(C298&lt;&gt;"",M298&lt;&gt;""),"PARTIAL","MISSING"))</f>
        <v/>
      </c>
      <c r="V298" s="11">
        <f>IF(Q298="UNKNOWN","Check fluid description",IF(AND(R298&lt;&gt;"",S298&lt;&gt;""),"Ready for contact screening","Needs TVD + thickness"))</f>
        <v/>
      </c>
    </row>
    <row r="299">
      <c r="A299" s="9" t="n"/>
      <c r="B299" s="9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9" t="n"/>
      <c r="N299" s="9" t="n"/>
      <c r="O299" s="10" t="n"/>
      <c r="P299" s="9" t="n"/>
      <c r="Q299" s="11">
        <f>IF(P299&lt;&gt;"",P299,IF(M299="","UNKNOWN",IF(AND(ISNUMBER(SEARCH("gas",LOWER(M299))),ISNUMBER(SEARCH("water",LOWER(M299)))),"GAS_WATER",IF(AND(ISNUMBER(SEARCH("oil",LOWER(M299))),ISNUMBER(SEARCH("water",LOWER(M299)))),"OIL_WATER",IF(ISNUMBER(SEARCH("gas",LOWER(M299))),"GAS",IF(ISNUMBER(SEARCH("water",LOWER(M299))),"WATER",IF(ISNUMBER(SEARCH("oil",LOWER(M299))),"OIL","UNKNOWN")))))))</f>
        <v/>
      </c>
      <c r="R299" s="12">
        <f>IF(C299="","",C299)</f>
        <v/>
      </c>
      <c r="S299" s="12">
        <f>IF(R299="","",R299+IF(O299&lt;&gt;"",O299,IF(H299="",0,H299)))</f>
        <v/>
      </c>
      <c r="T299" s="12">
        <f>IF(R299="","",MAX(Settings!$B$3,Settings!$B$4*IF(O299&lt;&gt;"",O299,IF(H299="",0,H299))))</f>
        <v/>
      </c>
      <c r="U299" s="11">
        <f>IF(AND(C299&lt;&gt;"",M299&lt;&gt;"",OR(H299&lt;&gt;"",O299&lt;&gt;"")),"COMPLETE",IF(OR(C299&lt;&gt;"",M299&lt;&gt;""),"PARTIAL","MISSING"))</f>
        <v/>
      </c>
      <c r="V299" s="11">
        <f>IF(Q299="UNKNOWN","Check fluid description",IF(AND(R299&lt;&gt;"",S299&lt;&gt;""),"Ready for contact screening","Needs TVD + thickness"))</f>
        <v/>
      </c>
    </row>
    <row r="300">
      <c r="A300" s="9" t="n"/>
      <c r="B300" s="9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9" t="n"/>
      <c r="N300" s="9" t="n"/>
      <c r="O300" s="10" t="n"/>
      <c r="P300" s="9" t="n"/>
      <c r="Q300" s="11">
        <f>IF(P300&lt;&gt;"",P300,IF(M300="","UNKNOWN",IF(AND(ISNUMBER(SEARCH("gas",LOWER(M300))),ISNUMBER(SEARCH("water",LOWER(M300)))),"GAS_WATER",IF(AND(ISNUMBER(SEARCH("oil",LOWER(M300))),ISNUMBER(SEARCH("water",LOWER(M300)))),"OIL_WATER",IF(ISNUMBER(SEARCH("gas",LOWER(M300))),"GAS",IF(ISNUMBER(SEARCH("water",LOWER(M300))),"WATER",IF(ISNUMBER(SEARCH("oil",LOWER(M300))),"OIL","UNKNOWN")))))))</f>
        <v/>
      </c>
      <c r="R300" s="12">
        <f>IF(C300="","",C300)</f>
        <v/>
      </c>
      <c r="S300" s="12">
        <f>IF(R300="","",R300+IF(O300&lt;&gt;"",O300,IF(H300="",0,H300)))</f>
        <v/>
      </c>
      <c r="T300" s="12">
        <f>IF(R300="","",MAX(Settings!$B$3,Settings!$B$4*IF(O300&lt;&gt;"",O300,IF(H300="",0,H300))))</f>
        <v/>
      </c>
      <c r="U300" s="11">
        <f>IF(AND(C300&lt;&gt;"",M300&lt;&gt;"",OR(H300&lt;&gt;"",O300&lt;&gt;"")),"COMPLETE",IF(OR(C300&lt;&gt;"",M300&lt;&gt;""),"PARTIAL","MISSING"))</f>
        <v/>
      </c>
      <c r="V300" s="11">
        <f>IF(Q300="UNKNOWN","Check fluid description",IF(AND(R300&lt;&gt;"",S300&lt;&gt;""),"Ready for contact screening","Needs TVD + thickness"))</f>
        <v/>
      </c>
    </row>
    <row r="301">
      <c r="A301" s="9" t="n"/>
      <c r="B301" s="9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9" t="n"/>
      <c r="N301" s="9" t="n"/>
      <c r="O301" s="10" t="n"/>
      <c r="P301" s="9" t="n"/>
      <c r="Q301" s="11">
        <f>IF(P301&lt;&gt;"",P301,IF(M301="","UNKNOWN",IF(AND(ISNUMBER(SEARCH("gas",LOWER(M301))),ISNUMBER(SEARCH("water",LOWER(M301)))),"GAS_WATER",IF(AND(ISNUMBER(SEARCH("oil",LOWER(M301))),ISNUMBER(SEARCH("water",LOWER(M301)))),"OIL_WATER",IF(ISNUMBER(SEARCH("gas",LOWER(M301))),"GAS",IF(ISNUMBER(SEARCH("water",LOWER(M301))),"WATER",IF(ISNUMBER(SEARCH("oil",LOWER(M301))),"OIL","UNKNOWN")))))))</f>
        <v/>
      </c>
      <c r="R301" s="12">
        <f>IF(C301="","",C301)</f>
        <v/>
      </c>
      <c r="S301" s="12">
        <f>IF(R301="","",R301+IF(O301&lt;&gt;"",O301,IF(H301="",0,H301)))</f>
        <v/>
      </c>
      <c r="T301" s="12">
        <f>IF(R301="","",MAX(Settings!$B$3,Settings!$B$4*IF(O301&lt;&gt;"",O301,IF(H301="",0,H301))))</f>
        <v/>
      </c>
      <c r="U301" s="11">
        <f>IF(AND(C301&lt;&gt;"",M301&lt;&gt;"",OR(H301&lt;&gt;"",O301&lt;&gt;"")),"COMPLETE",IF(OR(C301&lt;&gt;"",M301&lt;&gt;""),"PARTIAL","MISSING"))</f>
        <v/>
      </c>
      <c r="V301" s="11">
        <f>IF(Q301="UNKNOWN","Check fluid description",IF(AND(R301&lt;&gt;"",S301&lt;&gt;""),"Ready for contact screening","Needs TVD + thickness"))</f>
        <v/>
      </c>
    </row>
    <row r="302">
      <c r="A302" s="9" t="n"/>
      <c r="B302" s="9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9" t="n"/>
      <c r="N302" s="9" t="n"/>
      <c r="O302" s="10" t="n"/>
      <c r="P302" s="9" t="n"/>
      <c r="Q302" s="11">
        <f>IF(P302&lt;&gt;"",P302,IF(M302="","UNKNOWN",IF(AND(ISNUMBER(SEARCH("gas",LOWER(M302))),ISNUMBER(SEARCH("water",LOWER(M302)))),"GAS_WATER",IF(AND(ISNUMBER(SEARCH("oil",LOWER(M302))),ISNUMBER(SEARCH("water",LOWER(M302)))),"OIL_WATER",IF(ISNUMBER(SEARCH("gas",LOWER(M302))),"GAS",IF(ISNUMBER(SEARCH("water",LOWER(M302))),"WATER",IF(ISNUMBER(SEARCH("oil",LOWER(M302))),"OIL","UNKNOWN")))))))</f>
        <v/>
      </c>
      <c r="R302" s="12">
        <f>IF(C302="","",C302)</f>
        <v/>
      </c>
      <c r="S302" s="12">
        <f>IF(R302="","",R302+IF(O302&lt;&gt;"",O302,IF(H302="",0,H302)))</f>
        <v/>
      </c>
      <c r="T302" s="12">
        <f>IF(R302="","",MAX(Settings!$B$3,Settings!$B$4*IF(O302&lt;&gt;"",O302,IF(H302="",0,H302))))</f>
        <v/>
      </c>
      <c r="U302" s="11">
        <f>IF(AND(C302&lt;&gt;"",M302&lt;&gt;"",OR(H302&lt;&gt;"",O302&lt;&gt;"")),"COMPLETE",IF(OR(C302&lt;&gt;"",M302&lt;&gt;""),"PARTIAL","MISSING"))</f>
        <v/>
      </c>
      <c r="V302" s="11">
        <f>IF(Q302="UNKNOWN","Check fluid description",IF(AND(R302&lt;&gt;"",S302&lt;&gt;""),"Ready for contact screening","Needs TVD + thickness"))</f>
        <v/>
      </c>
    </row>
    <row r="303">
      <c r="A303" s="9" t="n"/>
      <c r="B303" s="9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9" t="n"/>
      <c r="N303" s="9" t="n"/>
      <c r="O303" s="10" t="n"/>
      <c r="P303" s="9" t="n"/>
      <c r="Q303" s="11">
        <f>IF(P303&lt;&gt;"",P303,IF(M303="","UNKNOWN",IF(AND(ISNUMBER(SEARCH("gas",LOWER(M303))),ISNUMBER(SEARCH("water",LOWER(M303)))),"GAS_WATER",IF(AND(ISNUMBER(SEARCH("oil",LOWER(M303))),ISNUMBER(SEARCH("water",LOWER(M303)))),"OIL_WATER",IF(ISNUMBER(SEARCH("gas",LOWER(M303))),"GAS",IF(ISNUMBER(SEARCH("water",LOWER(M303))),"WATER",IF(ISNUMBER(SEARCH("oil",LOWER(M303))),"OIL","UNKNOWN")))))))</f>
        <v/>
      </c>
      <c r="R303" s="12">
        <f>IF(C303="","",C303)</f>
        <v/>
      </c>
      <c r="S303" s="12">
        <f>IF(R303="","",R303+IF(O303&lt;&gt;"",O303,IF(H303="",0,H303)))</f>
        <v/>
      </c>
      <c r="T303" s="12">
        <f>IF(R303="","",MAX(Settings!$B$3,Settings!$B$4*IF(O303&lt;&gt;"",O303,IF(H303="",0,H303))))</f>
        <v/>
      </c>
      <c r="U303" s="11">
        <f>IF(AND(C303&lt;&gt;"",M303&lt;&gt;"",OR(H303&lt;&gt;"",O303&lt;&gt;"")),"COMPLETE",IF(OR(C303&lt;&gt;"",M303&lt;&gt;""),"PARTIAL","MISSING"))</f>
        <v/>
      </c>
      <c r="V303" s="11">
        <f>IF(Q303="UNKNOWN","Check fluid description",IF(AND(R303&lt;&gt;"",S303&lt;&gt;""),"Ready for contact screening","Needs TVD + thickness"))</f>
        <v/>
      </c>
    </row>
    <row r="304">
      <c r="A304" s="9" t="n"/>
      <c r="B304" s="9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9" t="n"/>
      <c r="N304" s="9" t="n"/>
      <c r="O304" s="10" t="n"/>
      <c r="P304" s="9" t="n"/>
      <c r="Q304" s="11">
        <f>IF(P304&lt;&gt;"",P304,IF(M304="","UNKNOWN",IF(AND(ISNUMBER(SEARCH("gas",LOWER(M304))),ISNUMBER(SEARCH("water",LOWER(M304)))),"GAS_WATER",IF(AND(ISNUMBER(SEARCH("oil",LOWER(M304))),ISNUMBER(SEARCH("water",LOWER(M304)))),"OIL_WATER",IF(ISNUMBER(SEARCH("gas",LOWER(M304))),"GAS",IF(ISNUMBER(SEARCH("water",LOWER(M304))),"WATER",IF(ISNUMBER(SEARCH("oil",LOWER(M304))),"OIL","UNKNOWN")))))))</f>
        <v/>
      </c>
      <c r="R304" s="12">
        <f>IF(C304="","",C304)</f>
        <v/>
      </c>
      <c r="S304" s="12">
        <f>IF(R304="","",R304+IF(O304&lt;&gt;"",O304,IF(H304="",0,H304)))</f>
        <v/>
      </c>
      <c r="T304" s="12">
        <f>IF(R304="","",MAX(Settings!$B$3,Settings!$B$4*IF(O304&lt;&gt;"",O304,IF(H304="",0,H304))))</f>
        <v/>
      </c>
      <c r="U304" s="11">
        <f>IF(AND(C304&lt;&gt;"",M304&lt;&gt;"",OR(H304&lt;&gt;"",O304&lt;&gt;"")),"COMPLETE",IF(OR(C304&lt;&gt;"",M304&lt;&gt;""),"PARTIAL","MISSING"))</f>
        <v/>
      </c>
      <c r="V304" s="11">
        <f>IF(Q304="UNKNOWN","Check fluid description",IF(AND(R304&lt;&gt;"",S304&lt;&gt;""),"Ready for contact screening","Needs TVD + thickness"))</f>
        <v/>
      </c>
    </row>
    <row r="305">
      <c r="A305" s="9" t="n"/>
      <c r="B305" s="9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9" t="n"/>
      <c r="N305" s="9" t="n"/>
      <c r="O305" s="10" t="n"/>
      <c r="P305" s="9" t="n"/>
      <c r="Q305" s="11">
        <f>IF(P305&lt;&gt;"",P305,IF(M305="","UNKNOWN",IF(AND(ISNUMBER(SEARCH("gas",LOWER(M305))),ISNUMBER(SEARCH("water",LOWER(M305)))),"GAS_WATER",IF(AND(ISNUMBER(SEARCH("oil",LOWER(M305))),ISNUMBER(SEARCH("water",LOWER(M305)))),"OIL_WATER",IF(ISNUMBER(SEARCH("gas",LOWER(M305))),"GAS",IF(ISNUMBER(SEARCH("water",LOWER(M305))),"WATER",IF(ISNUMBER(SEARCH("oil",LOWER(M305))),"OIL","UNKNOWN")))))))</f>
        <v/>
      </c>
      <c r="R305" s="12">
        <f>IF(C305="","",C305)</f>
        <v/>
      </c>
      <c r="S305" s="12">
        <f>IF(R305="","",R305+IF(O305&lt;&gt;"",O305,IF(H305="",0,H305)))</f>
        <v/>
      </c>
      <c r="T305" s="12">
        <f>IF(R305="","",MAX(Settings!$B$3,Settings!$B$4*IF(O305&lt;&gt;"",O305,IF(H305="",0,H305))))</f>
        <v/>
      </c>
      <c r="U305" s="11">
        <f>IF(AND(C305&lt;&gt;"",M305&lt;&gt;"",OR(H305&lt;&gt;"",O305&lt;&gt;"")),"COMPLETE",IF(OR(C305&lt;&gt;"",M305&lt;&gt;""),"PARTIAL","MISSING"))</f>
        <v/>
      </c>
      <c r="V305" s="11">
        <f>IF(Q305="UNKNOWN","Check fluid description",IF(AND(R305&lt;&gt;"",S305&lt;&gt;""),"Ready for contact screening","Needs TVD + thickness"))</f>
        <v/>
      </c>
    </row>
    <row r="306">
      <c r="A306" s="9" t="n"/>
      <c r="B306" s="9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9" t="n"/>
      <c r="N306" s="9" t="n"/>
      <c r="O306" s="10" t="n"/>
      <c r="P306" s="9" t="n"/>
      <c r="Q306" s="11">
        <f>IF(P306&lt;&gt;"",P306,IF(M306="","UNKNOWN",IF(AND(ISNUMBER(SEARCH("gas",LOWER(M306))),ISNUMBER(SEARCH("water",LOWER(M306)))),"GAS_WATER",IF(AND(ISNUMBER(SEARCH("oil",LOWER(M306))),ISNUMBER(SEARCH("water",LOWER(M306)))),"OIL_WATER",IF(ISNUMBER(SEARCH("gas",LOWER(M306))),"GAS",IF(ISNUMBER(SEARCH("water",LOWER(M306))),"WATER",IF(ISNUMBER(SEARCH("oil",LOWER(M306))),"OIL","UNKNOWN")))))))</f>
        <v/>
      </c>
      <c r="R306" s="12">
        <f>IF(C306="","",C306)</f>
        <v/>
      </c>
      <c r="S306" s="12">
        <f>IF(R306="","",R306+IF(O306&lt;&gt;"",O306,IF(H306="",0,H306)))</f>
        <v/>
      </c>
      <c r="T306" s="12">
        <f>IF(R306="","",MAX(Settings!$B$3,Settings!$B$4*IF(O306&lt;&gt;"",O306,IF(H306="",0,H306))))</f>
        <v/>
      </c>
      <c r="U306" s="11">
        <f>IF(AND(C306&lt;&gt;"",M306&lt;&gt;"",OR(H306&lt;&gt;"",O306&lt;&gt;"")),"COMPLETE",IF(OR(C306&lt;&gt;"",M306&lt;&gt;""),"PARTIAL","MISSING"))</f>
        <v/>
      </c>
      <c r="V306" s="11">
        <f>IF(Q306="UNKNOWN","Check fluid description",IF(AND(R306&lt;&gt;"",S306&lt;&gt;""),"Ready for contact screening","Needs TVD + thickness"))</f>
        <v/>
      </c>
    </row>
    <row r="307">
      <c r="A307" s="9" t="n"/>
      <c r="B307" s="9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9" t="n"/>
      <c r="N307" s="9" t="n"/>
      <c r="O307" s="10" t="n"/>
      <c r="P307" s="9" t="n"/>
      <c r="Q307" s="11">
        <f>IF(P307&lt;&gt;"",P307,IF(M307="","UNKNOWN",IF(AND(ISNUMBER(SEARCH("gas",LOWER(M307))),ISNUMBER(SEARCH("water",LOWER(M307)))),"GAS_WATER",IF(AND(ISNUMBER(SEARCH("oil",LOWER(M307))),ISNUMBER(SEARCH("water",LOWER(M307)))),"OIL_WATER",IF(ISNUMBER(SEARCH("gas",LOWER(M307))),"GAS",IF(ISNUMBER(SEARCH("water",LOWER(M307))),"WATER",IF(ISNUMBER(SEARCH("oil",LOWER(M307))),"OIL","UNKNOWN")))))))</f>
        <v/>
      </c>
      <c r="R307" s="12">
        <f>IF(C307="","",C307)</f>
        <v/>
      </c>
      <c r="S307" s="12">
        <f>IF(R307="","",R307+IF(O307&lt;&gt;"",O307,IF(H307="",0,H307)))</f>
        <v/>
      </c>
      <c r="T307" s="12">
        <f>IF(R307="","",MAX(Settings!$B$3,Settings!$B$4*IF(O307&lt;&gt;"",O307,IF(H307="",0,H307))))</f>
        <v/>
      </c>
      <c r="U307" s="11">
        <f>IF(AND(C307&lt;&gt;"",M307&lt;&gt;"",OR(H307&lt;&gt;"",O307&lt;&gt;"")),"COMPLETE",IF(OR(C307&lt;&gt;"",M307&lt;&gt;""),"PARTIAL","MISSING"))</f>
        <v/>
      </c>
      <c r="V307" s="11">
        <f>IF(Q307="UNKNOWN","Check fluid description",IF(AND(R307&lt;&gt;"",S307&lt;&gt;""),"Ready for contact screening","Needs TVD + thickness"))</f>
        <v/>
      </c>
    </row>
    <row r="308">
      <c r="A308" s="9" t="n"/>
      <c r="B308" s="9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9" t="n"/>
      <c r="N308" s="9" t="n"/>
      <c r="O308" s="10" t="n"/>
      <c r="P308" s="9" t="n"/>
      <c r="Q308" s="11">
        <f>IF(P308&lt;&gt;"",P308,IF(M308="","UNKNOWN",IF(AND(ISNUMBER(SEARCH("gas",LOWER(M308))),ISNUMBER(SEARCH("water",LOWER(M308)))),"GAS_WATER",IF(AND(ISNUMBER(SEARCH("oil",LOWER(M308))),ISNUMBER(SEARCH("water",LOWER(M308)))),"OIL_WATER",IF(ISNUMBER(SEARCH("gas",LOWER(M308))),"GAS",IF(ISNUMBER(SEARCH("water",LOWER(M308))),"WATER",IF(ISNUMBER(SEARCH("oil",LOWER(M308))),"OIL","UNKNOWN")))))))</f>
        <v/>
      </c>
      <c r="R308" s="12">
        <f>IF(C308="","",C308)</f>
        <v/>
      </c>
      <c r="S308" s="12">
        <f>IF(R308="","",R308+IF(O308&lt;&gt;"",O308,IF(H308="",0,H308)))</f>
        <v/>
      </c>
      <c r="T308" s="12">
        <f>IF(R308="","",MAX(Settings!$B$3,Settings!$B$4*IF(O308&lt;&gt;"",O308,IF(H308="",0,H308))))</f>
        <v/>
      </c>
      <c r="U308" s="11">
        <f>IF(AND(C308&lt;&gt;"",M308&lt;&gt;"",OR(H308&lt;&gt;"",O308&lt;&gt;"")),"COMPLETE",IF(OR(C308&lt;&gt;"",M308&lt;&gt;""),"PARTIAL","MISSING"))</f>
        <v/>
      </c>
      <c r="V308" s="11">
        <f>IF(Q308="UNKNOWN","Check fluid description",IF(AND(R308&lt;&gt;"",S308&lt;&gt;""),"Ready for contact screening","Needs TVD + thickness"))</f>
        <v/>
      </c>
    </row>
    <row r="309">
      <c r="A309" s="9" t="n"/>
      <c r="B309" s="9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9" t="n"/>
      <c r="N309" s="9" t="n"/>
      <c r="O309" s="10" t="n"/>
      <c r="P309" s="9" t="n"/>
      <c r="Q309" s="11">
        <f>IF(P309&lt;&gt;"",P309,IF(M309="","UNKNOWN",IF(AND(ISNUMBER(SEARCH("gas",LOWER(M309))),ISNUMBER(SEARCH("water",LOWER(M309)))),"GAS_WATER",IF(AND(ISNUMBER(SEARCH("oil",LOWER(M309))),ISNUMBER(SEARCH("water",LOWER(M309)))),"OIL_WATER",IF(ISNUMBER(SEARCH("gas",LOWER(M309))),"GAS",IF(ISNUMBER(SEARCH("water",LOWER(M309))),"WATER",IF(ISNUMBER(SEARCH("oil",LOWER(M309))),"OIL","UNKNOWN")))))))</f>
        <v/>
      </c>
      <c r="R309" s="12">
        <f>IF(C309="","",C309)</f>
        <v/>
      </c>
      <c r="S309" s="12">
        <f>IF(R309="","",R309+IF(O309&lt;&gt;"",O309,IF(H309="",0,H309)))</f>
        <v/>
      </c>
      <c r="T309" s="12">
        <f>IF(R309="","",MAX(Settings!$B$3,Settings!$B$4*IF(O309&lt;&gt;"",O309,IF(H309="",0,H309))))</f>
        <v/>
      </c>
      <c r="U309" s="11">
        <f>IF(AND(C309&lt;&gt;"",M309&lt;&gt;"",OR(H309&lt;&gt;"",O309&lt;&gt;"")),"COMPLETE",IF(OR(C309&lt;&gt;"",M309&lt;&gt;""),"PARTIAL","MISSING"))</f>
        <v/>
      </c>
      <c r="V309" s="11">
        <f>IF(Q309="UNKNOWN","Check fluid description",IF(AND(R309&lt;&gt;"",S309&lt;&gt;""),"Ready for contact screening","Needs TVD + thickness"))</f>
        <v/>
      </c>
    </row>
    <row r="310">
      <c r="A310" s="9" t="n"/>
      <c r="B310" s="9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9" t="n"/>
      <c r="N310" s="9" t="n"/>
      <c r="O310" s="10" t="n"/>
      <c r="P310" s="9" t="n"/>
      <c r="Q310" s="11">
        <f>IF(P310&lt;&gt;"",P310,IF(M310="","UNKNOWN",IF(AND(ISNUMBER(SEARCH("gas",LOWER(M310))),ISNUMBER(SEARCH("water",LOWER(M310)))),"GAS_WATER",IF(AND(ISNUMBER(SEARCH("oil",LOWER(M310))),ISNUMBER(SEARCH("water",LOWER(M310)))),"OIL_WATER",IF(ISNUMBER(SEARCH("gas",LOWER(M310))),"GAS",IF(ISNUMBER(SEARCH("water",LOWER(M310))),"WATER",IF(ISNUMBER(SEARCH("oil",LOWER(M310))),"OIL","UNKNOWN")))))))</f>
        <v/>
      </c>
      <c r="R310" s="12">
        <f>IF(C310="","",C310)</f>
        <v/>
      </c>
      <c r="S310" s="12">
        <f>IF(R310="","",R310+IF(O310&lt;&gt;"",O310,IF(H310="",0,H310)))</f>
        <v/>
      </c>
      <c r="T310" s="12">
        <f>IF(R310="","",MAX(Settings!$B$3,Settings!$B$4*IF(O310&lt;&gt;"",O310,IF(H310="",0,H310))))</f>
        <v/>
      </c>
      <c r="U310" s="11">
        <f>IF(AND(C310&lt;&gt;"",M310&lt;&gt;"",OR(H310&lt;&gt;"",O310&lt;&gt;"")),"COMPLETE",IF(OR(C310&lt;&gt;"",M310&lt;&gt;""),"PARTIAL","MISSING"))</f>
        <v/>
      </c>
      <c r="V310" s="11">
        <f>IF(Q310="UNKNOWN","Check fluid description",IF(AND(R310&lt;&gt;"",S310&lt;&gt;""),"Ready for contact screening","Needs TVD + thickness"))</f>
        <v/>
      </c>
    </row>
    <row r="311">
      <c r="A311" s="9" t="n"/>
      <c r="B311" s="9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9" t="n"/>
      <c r="N311" s="9" t="n"/>
      <c r="O311" s="10" t="n"/>
      <c r="P311" s="9" t="n"/>
      <c r="Q311" s="11">
        <f>IF(P311&lt;&gt;"",P311,IF(M311="","UNKNOWN",IF(AND(ISNUMBER(SEARCH("gas",LOWER(M311))),ISNUMBER(SEARCH("water",LOWER(M311)))),"GAS_WATER",IF(AND(ISNUMBER(SEARCH("oil",LOWER(M311))),ISNUMBER(SEARCH("water",LOWER(M311)))),"OIL_WATER",IF(ISNUMBER(SEARCH("gas",LOWER(M311))),"GAS",IF(ISNUMBER(SEARCH("water",LOWER(M311))),"WATER",IF(ISNUMBER(SEARCH("oil",LOWER(M311))),"OIL","UNKNOWN")))))))</f>
        <v/>
      </c>
      <c r="R311" s="12">
        <f>IF(C311="","",C311)</f>
        <v/>
      </c>
      <c r="S311" s="12">
        <f>IF(R311="","",R311+IF(O311&lt;&gt;"",O311,IF(H311="",0,H311)))</f>
        <v/>
      </c>
      <c r="T311" s="12">
        <f>IF(R311="","",MAX(Settings!$B$3,Settings!$B$4*IF(O311&lt;&gt;"",O311,IF(H311="",0,H311))))</f>
        <v/>
      </c>
      <c r="U311" s="11">
        <f>IF(AND(C311&lt;&gt;"",M311&lt;&gt;"",OR(H311&lt;&gt;"",O311&lt;&gt;"")),"COMPLETE",IF(OR(C311&lt;&gt;"",M311&lt;&gt;""),"PARTIAL","MISSING"))</f>
        <v/>
      </c>
      <c r="V311" s="11">
        <f>IF(Q311="UNKNOWN","Check fluid description",IF(AND(R311&lt;&gt;"",S311&lt;&gt;""),"Ready for contact screening","Needs TVD + thickness"))</f>
        <v/>
      </c>
    </row>
    <row r="312">
      <c r="A312" s="9" t="n"/>
      <c r="B312" s="9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9" t="n"/>
      <c r="N312" s="9" t="n"/>
      <c r="O312" s="10" t="n"/>
      <c r="P312" s="9" t="n"/>
      <c r="Q312" s="11">
        <f>IF(P312&lt;&gt;"",P312,IF(M312="","UNKNOWN",IF(AND(ISNUMBER(SEARCH("gas",LOWER(M312))),ISNUMBER(SEARCH("water",LOWER(M312)))),"GAS_WATER",IF(AND(ISNUMBER(SEARCH("oil",LOWER(M312))),ISNUMBER(SEARCH("water",LOWER(M312)))),"OIL_WATER",IF(ISNUMBER(SEARCH("gas",LOWER(M312))),"GAS",IF(ISNUMBER(SEARCH("water",LOWER(M312))),"WATER",IF(ISNUMBER(SEARCH("oil",LOWER(M312))),"OIL","UNKNOWN")))))))</f>
        <v/>
      </c>
      <c r="R312" s="12">
        <f>IF(C312="","",C312)</f>
        <v/>
      </c>
      <c r="S312" s="12">
        <f>IF(R312="","",R312+IF(O312&lt;&gt;"",O312,IF(H312="",0,H312)))</f>
        <v/>
      </c>
      <c r="T312" s="12">
        <f>IF(R312="","",MAX(Settings!$B$3,Settings!$B$4*IF(O312&lt;&gt;"",O312,IF(H312="",0,H312))))</f>
        <v/>
      </c>
      <c r="U312" s="11">
        <f>IF(AND(C312&lt;&gt;"",M312&lt;&gt;"",OR(H312&lt;&gt;"",O312&lt;&gt;"")),"COMPLETE",IF(OR(C312&lt;&gt;"",M312&lt;&gt;""),"PARTIAL","MISSING"))</f>
        <v/>
      </c>
      <c r="V312" s="11">
        <f>IF(Q312="UNKNOWN","Check fluid description",IF(AND(R312&lt;&gt;"",S312&lt;&gt;""),"Ready for contact screening","Needs TVD + thickness"))</f>
        <v/>
      </c>
    </row>
    <row r="313">
      <c r="A313" s="9" t="n"/>
      <c r="B313" s="9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9" t="n"/>
      <c r="N313" s="9" t="n"/>
      <c r="O313" s="10" t="n"/>
      <c r="P313" s="9" t="n"/>
      <c r="Q313" s="11">
        <f>IF(P313&lt;&gt;"",P313,IF(M313="","UNKNOWN",IF(AND(ISNUMBER(SEARCH("gas",LOWER(M313))),ISNUMBER(SEARCH("water",LOWER(M313)))),"GAS_WATER",IF(AND(ISNUMBER(SEARCH("oil",LOWER(M313))),ISNUMBER(SEARCH("water",LOWER(M313)))),"OIL_WATER",IF(ISNUMBER(SEARCH("gas",LOWER(M313))),"GAS",IF(ISNUMBER(SEARCH("water",LOWER(M313))),"WATER",IF(ISNUMBER(SEARCH("oil",LOWER(M313))),"OIL","UNKNOWN")))))))</f>
        <v/>
      </c>
      <c r="R313" s="12">
        <f>IF(C313="","",C313)</f>
        <v/>
      </c>
      <c r="S313" s="12">
        <f>IF(R313="","",R313+IF(O313&lt;&gt;"",O313,IF(H313="",0,H313)))</f>
        <v/>
      </c>
      <c r="T313" s="12">
        <f>IF(R313="","",MAX(Settings!$B$3,Settings!$B$4*IF(O313&lt;&gt;"",O313,IF(H313="",0,H313))))</f>
        <v/>
      </c>
      <c r="U313" s="11">
        <f>IF(AND(C313&lt;&gt;"",M313&lt;&gt;"",OR(H313&lt;&gt;"",O313&lt;&gt;"")),"COMPLETE",IF(OR(C313&lt;&gt;"",M313&lt;&gt;""),"PARTIAL","MISSING"))</f>
        <v/>
      </c>
      <c r="V313" s="11">
        <f>IF(Q313="UNKNOWN","Check fluid description",IF(AND(R313&lt;&gt;"",S313&lt;&gt;""),"Ready for contact screening","Needs TVD + thickness"))</f>
        <v/>
      </c>
    </row>
    <row r="314">
      <c r="A314" s="9" t="n"/>
      <c r="B314" s="9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9" t="n"/>
      <c r="N314" s="9" t="n"/>
      <c r="O314" s="10" t="n"/>
      <c r="P314" s="9" t="n"/>
      <c r="Q314" s="11">
        <f>IF(P314&lt;&gt;"",P314,IF(M314="","UNKNOWN",IF(AND(ISNUMBER(SEARCH("gas",LOWER(M314))),ISNUMBER(SEARCH("water",LOWER(M314)))),"GAS_WATER",IF(AND(ISNUMBER(SEARCH("oil",LOWER(M314))),ISNUMBER(SEARCH("water",LOWER(M314)))),"OIL_WATER",IF(ISNUMBER(SEARCH("gas",LOWER(M314))),"GAS",IF(ISNUMBER(SEARCH("water",LOWER(M314))),"WATER",IF(ISNUMBER(SEARCH("oil",LOWER(M314))),"OIL","UNKNOWN")))))))</f>
        <v/>
      </c>
      <c r="R314" s="12">
        <f>IF(C314="","",C314)</f>
        <v/>
      </c>
      <c r="S314" s="12">
        <f>IF(R314="","",R314+IF(O314&lt;&gt;"",O314,IF(H314="",0,H314)))</f>
        <v/>
      </c>
      <c r="T314" s="12">
        <f>IF(R314="","",MAX(Settings!$B$3,Settings!$B$4*IF(O314&lt;&gt;"",O314,IF(H314="",0,H314))))</f>
        <v/>
      </c>
      <c r="U314" s="11">
        <f>IF(AND(C314&lt;&gt;"",M314&lt;&gt;"",OR(H314&lt;&gt;"",O314&lt;&gt;"")),"COMPLETE",IF(OR(C314&lt;&gt;"",M314&lt;&gt;""),"PARTIAL","MISSING"))</f>
        <v/>
      </c>
      <c r="V314" s="11">
        <f>IF(Q314="UNKNOWN","Check fluid description",IF(AND(R314&lt;&gt;"",S314&lt;&gt;""),"Ready for contact screening","Needs TVD + thickness"))</f>
        <v/>
      </c>
    </row>
    <row r="315">
      <c r="A315" s="9" t="n"/>
      <c r="B315" s="9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9" t="n"/>
      <c r="N315" s="9" t="n"/>
      <c r="O315" s="10" t="n"/>
      <c r="P315" s="9" t="n"/>
      <c r="Q315" s="11">
        <f>IF(P315&lt;&gt;"",P315,IF(M315="","UNKNOWN",IF(AND(ISNUMBER(SEARCH("gas",LOWER(M315))),ISNUMBER(SEARCH("water",LOWER(M315)))),"GAS_WATER",IF(AND(ISNUMBER(SEARCH("oil",LOWER(M315))),ISNUMBER(SEARCH("water",LOWER(M315)))),"OIL_WATER",IF(ISNUMBER(SEARCH("gas",LOWER(M315))),"GAS",IF(ISNUMBER(SEARCH("water",LOWER(M315))),"WATER",IF(ISNUMBER(SEARCH("oil",LOWER(M315))),"OIL","UNKNOWN")))))))</f>
        <v/>
      </c>
      <c r="R315" s="12">
        <f>IF(C315="","",C315)</f>
        <v/>
      </c>
      <c r="S315" s="12">
        <f>IF(R315="","",R315+IF(O315&lt;&gt;"",O315,IF(H315="",0,H315)))</f>
        <v/>
      </c>
      <c r="T315" s="12">
        <f>IF(R315="","",MAX(Settings!$B$3,Settings!$B$4*IF(O315&lt;&gt;"",O315,IF(H315="",0,H315))))</f>
        <v/>
      </c>
      <c r="U315" s="11">
        <f>IF(AND(C315&lt;&gt;"",M315&lt;&gt;"",OR(H315&lt;&gt;"",O315&lt;&gt;"")),"COMPLETE",IF(OR(C315&lt;&gt;"",M315&lt;&gt;""),"PARTIAL","MISSING"))</f>
        <v/>
      </c>
      <c r="V315" s="11">
        <f>IF(Q315="UNKNOWN","Check fluid description",IF(AND(R315&lt;&gt;"",S315&lt;&gt;""),"Ready for contact screening","Needs TVD + thickness"))</f>
        <v/>
      </c>
    </row>
    <row r="316">
      <c r="A316" s="9" t="n"/>
      <c r="B316" s="9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9" t="n"/>
      <c r="N316" s="9" t="n"/>
      <c r="O316" s="10" t="n"/>
      <c r="P316" s="9" t="n"/>
      <c r="Q316" s="11">
        <f>IF(P316&lt;&gt;"",P316,IF(M316="","UNKNOWN",IF(AND(ISNUMBER(SEARCH("gas",LOWER(M316))),ISNUMBER(SEARCH("water",LOWER(M316)))),"GAS_WATER",IF(AND(ISNUMBER(SEARCH("oil",LOWER(M316))),ISNUMBER(SEARCH("water",LOWER(M316)))),"OIL_WATER",IF(ISNUMBER(SEARCH("gas",LOWER(M316))),"GAS",IF(ISNUMBER(SEARCH("water",LOWER(M316))),"WATER",IF(ISNUMBER(SEARCH("oil",LOWER(M316))),"OIL","UNKNOWN")))))))</f>
        <v/>
      </c>
      <c r="R316" s="12">
        <f>IF(C316="","",C316)</f>
        <v/>
      </c>
      <c r="S316" s="12">
        <f>IF(R316="","",R316+IF(O316&lt;&gt;"",O316,IF(H316="",0,H316)))</f>
        <v/>
      </c>
      <c r="T316" s="12">
        <f>IF(R316="","",MAX(Settings!$B$3,Settings!$B$4*IF(O316&lt;&gt;"",O316,IF(H316="",0,H316))))</f>
        <v/>
      </c>
      <c r="U316" s="11">
        <f>IF(AND(C316&lt;&gt;"",M316&lt;&gt;"",OR(H316&lt;&gt;"",O316&lt;&gt;"")),"COMPLETE",IF(OR(C316&lt;&gt;"",M316&lt;&gt;""),"PARTIAL","MISSING"))</f>
        <v/>
      </c>
      <c r="V316" s="11">
        <f>IF(Q316="UNKNOWN","Check fluid description",IF(AND(R316&lt;&gt;"",S316&lt;&gt;""),"Ready for contact screening","Needs TVD + thickness"))</f>
        <v/>
      </c>
    </row>
    <row r="317">
      <c r="A317" s="9" t="n"/>
      <c r="B317" s="9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9" t="n"/>
      <c r="N317" s="9" t="n"/>
      <c r="O317" s="10" t="n"/>
      <c r="P317" s="9" t="n"/>
      <c r="Q317" s="11">
        <f>IF(P317&lt;&gt;"",P317,IF(M317="","UNKNOWN",IF(AND(ISNUMBER(SEARCH("gas",LOWER(M317))),ISNUMBER(SEARCH("water",LOWER(M317)))),"GAS_WATER",IF(AND(ISNUMBER(SEARCH("oil",LOWER(M317))),ISNUMBER(SEARCH("water",LOWER(M317)))),"OIL_WATER",IF(ISNUMBER(SEARCH("gas",LOWER(M317))),"GAS",IF(ISNUMBER(SEARCH("water",LOWER(M317))),"WATER",IF(ISNUMBER(SEARCH("oil",LOWER(M317))),"OIL","UNKNOWN")))))))</f>
        <v/>
      </c>
      <c r="R317" s="12">
        <f>IF(C317="","",C317)</f>
        <v/>
      </c>
      <c r="S317" s="12">
        <f>IF(R317="","",R317+IF(O317&lt;&gt;"",O317,IF(H317="",0,H317)))</f>
        <v/>
      </c>
      <c r="T317" s="12">
        <f>IF(R317="","",MAX(Settings!$B$3,Settings!$B$4*IF(O317&lt;&gt;"",O317,IF(H317="",0,H317))))</f>
        <v/>
      </c>
      <c r="U317" s="11">
        <f>IF(AND(C317&lt;&gt;"",M317&lt;&gt;"",OR(H317&lt;&gt;"",O317&lt;&gt;"")),"COMPLETE",IF(OR(C317&lt;&gt;"",M317&lt;&gt;""),"PARTIAL","MISSING"))</f>
        <v/>
      </c>
      <c r="V317" s="11">
        <f>IF(Q317="UNKNOWN","Check fluid description",IF(AND(R317&lt;&gt;"",S317&lt;&gt;""),"Ready for contact screening","Needs TVD + thickness"))</f>
        <v/>
      </c>
    </row>
    <row r="318">
      <c r="A318" s="9" t="n"/>
      <c r="B318" s="9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9" t="n"/>
      <c r="N318" s="9" t="n"/>
      <c r="O318" s="10" t="n"/>
      <c r="P318" s="9" t="n"/>
      <c r="Q318" s="11">
        <f>IF(P318&lt;&gt;"",P318,IF(M318="","UNKNOWN",IF(AND(ISNUMBER(SEARCH("gas",LOWER(M318))),ISNUMBER(SEARCH("water",LOWER(M318)))),"GAS_WATER",IF(AND(ISNUMBER(SEARCH("oil",LOWER(M318))),ISNUMBER(SEARCH("water",LOWER(M318)))),"OIL_WATER",IF(ISNUMBER(SEARCH("gas",LOWER(M318))),"GAS",IF(ISNUMBER(SEARCH("water",LOWER(M318))),"WATER",IF(ISNUMBER(SEARCH("oil",LOWER(M318))),"OIL","UNKNOWN")))))))</f>
        <v/>
      </c>
      <c r="R318" s="12">
        <f>IF(C318="","",C318)</f>
        <v/>
      </c>
      <c r="S318" s="12">
        <f>IF(R318="","",R318+IF(O318&lt;&gt;"",O318,IF(H318="",0,H318)))</f>
        <v/>
      </c>
      <c r="T318" s="12">
        <f>IF(R318="","",MAX(Settings!$B$3,Settings!$B$4*IF(O318&lt;&gt;"",O318,IF(H318="",0,H318))))</f>
        <v/>
      </c>
      <c r="U318" s="11">
        <f>IF(AND(C318&lt;&gt;"",M318&lt;&gt;"",OR(H318&lt;&gt;"",O318&lt;&gt;"")),"COMPLETE",IF(OR(C318&lt;&gt;"",M318&lt;&gt;""),"PARTIAL","MISSING"))</f>
        <v/>
      </c>
      <c r="V318" s="11">
        <f>IF(Q318="UNKNOWN","Check fluid description",IF(AND(R318&lt;&gt;"",S318&lt;&gt;""),"Ready for contact screening","Needs TVD + thickness"))</f>
        <v/>
      </c>
    </row>
    <row r="319">
      <c r="A319" s="9" t="n"/>
      <c r="B319" s="9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9" t="n"/>
      <c r="N319" s="9" t="n"/>
      <c r="O319" s="10" t="n"/>
      <c r="P319" s="9" t="n"/>
      <c r="Q319" s="11">
        <f>IF(P319&lt;&gt;"",P319,IF(M319="","UNKNOWN",IF(AND(ISNUMBER(SEARCH("gas",LOWER(M319))),ISNUMBER(SEARCH("water",LOWER(M319)))),"GAS_WATER",IF(AND(ISNUMBER(SEARCH("oil",LOWER(M319))),ISNUMBER(SEARCH("water",LOWER(M319)))),"OIL_WATER",IF(ISNUMBER(SEARCH("gas",LOWER(M319))),"GAS",IF(ISNUMBER(SEARCH("water",LOWER(M319))),"WATER",IF(ISNUMBER(SEARCH("oil",LOWER(M319))),"OIL","UNKNOWN")))))))</f>
        <v/>
      </c>
      <c r="R319" s="12">
        <f>IF(C319="","",C319)</f>
        <v/>
      </c>
      <c r="S319" s="12">
        <f>IF(R319="","",R319+IF(O319&lt;&gt;"",O319,IF(H319="",0,H319)))</f>
        <v/>
      </c>
      <c r="T319" s="12">
        <f>IF(R319="","",MAX(Settings!$B$3,Settings!$B$4*IF(O319&lt;&gt;"",O319,IF(H319="",0,H319))))</f>
        <v/>
      </c>
      <c r="U319" s="11">
        <f>IF(AND(C319&lt;&gt;"",M319&lt;&gt;"",OR(H319&lt;&gt;"",O319&lt;&gt;"")),"COMPLETE",IF(OR(C319&lt;&gt;"",M319&lt;&gt;""),"PARTIAL","MISSING"))</f>
        <v/>
      </c>
      <c r="V319" s="11">
        <f>IF(Q319="UNKNOWN","Check fluid description",IF(AND(R319&lt;&gt;"",S319&lt;&gt;""),"Ready for contact screening","Needs TVD + thickness"))</f>
        <v/>
      </c>
    </row>
    <row r="320">
      <c r="A320" s="9" t="n"/>
      <c r="B320" s="9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9" t="n"/>
      <c r="N320" s="9" t="n"/>
      <c r="O320" s="10" t="n"/>
      <c r="P320" s="9" t="n"/>
      <c r="Q320" s="11">
        <f>IF(P320&lt;&gt;"",P320,IF(M320="","UNKNOWN",IF(AND(ISNUMBER(SEARCH("gas",LOWER(M320))),ISNUMBER(SEARCH("water",LOWER(M320)))),"GAS_WATER",IF(AND(ISNUMBER(SEARCH("oil",LOWER(M320))),ISNUMBER(SEARCH("water",LOWER(M320)))),"OIL_WATER",IF(ISNUMBER(SEARCH("gas",LOWER(M320))),"GAS",IF(ISNUMBER(SEARCH("water",LOWER(M320))),"WATER",IF(ISNUMBER(SEARCH("oil",LOWER(M320))),"OIL","UNKNOWN")))))))</f>
        <v/>
      </c>
      <c r="R320" s="12">
        <f>IF(C320="","",C320)</f>
        <v/>
      </c>
      <c r="S320" s="12">
        <f>IF(R320="","",R320+IF(O320&lt;&gt;"",O320,IF(H320="",0,H320)))</f>
        <v/>
      </c>
      <c r="T320" s="12">
        <f>IF(R320="","",MAX(Settings!$B$3,Settings!$B$4*IF(O320&lt;&gt;"",O320,IF(H320="",0,H320))))</f>
        <v/>
      </c>
      <c r="U320" s="11">
        <f>IF(AND(C320&lt;&gt;"",M320&lt;&gt;"",OR(H320&lt;&gt;"",O320&lt;&gt;"")),"COMPLETE",IF(OR(C320&lt;&gt;"",M320&lt;&gt;""),"PARTIAL","MISSING"))</f>
        <v/>
      </c>
      <c r="V320" s="11">
        <f>IF(Q320="UNKNOWN","Check fluid description",IF(AND(R320&lt;&gt;"",S320&lt;&gt;""),"Ready for contact screening","Needs TVD + thickness"))</f>
        <v/>
      </c>
    </row>
    <row r="321">
      <c r="A321" s="9" t="n"/>
      <c r="B321" s="9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9" t="n"/>
      <c r="N321" s="9" t="n"/>
      <c r="O321" s="10" t="n"/>
      <c r="P321" s="9" t="n"/>
      <c r="Q321" s="11">
        <f>IF(P321&lt;&gt;"",P321,IF(M321="","UNKNOWN",IF(AND(ISNUMBER(SEARCH("gas",LOWER(M321))),ISNUMBER(SEARCH("water",LOWER(M321)))),"GAS_WATER",IF(AND(ISNUMBER(SEARCH("oil",LOWER(M321))),ISNUMBER(SEARCH("water",LOWER(M321)))),"OIL_WATER",IF(ISNUMBER(SEARCH("gas",LOWER(M321))),"GAS",IF(ISNUMBER(SEARCH("water",LOWER(M321))),"WATER",IF(ISNUMBER(SEARCH("oil",LOWER(M321))),"OIL","UNKNOWN")))))))</f>
        <v/>
      </c>
      <c r="R321" s="12">
        <f>IF(C321="","",C321)</f>
        <v/>
      </c>
      <c r="S321" s="12">
        <f>IF(R321="","",R321+IF(O321&lt;&gt;"",O321,IF(H321="",0,H321)))</f>
        <v/>
      </c>
      <c r="T321" s="12">
        <f>IF(R321="","",MAX(Settings!$B$3,Settings!$B$4*IF(O321&lt;&gt;"",O321,IF(H321="",0,H321))))</f>
        <v/>
      </c>
      <c r="U321" s="11">
        <f>IF(AND(C321&lt;&gt;"",M321&lt;&gt;"",OR(H321&lt;&gt;"",O321&lt;&gt;"")),"COMPLETE",IF(OR(C321&lt;&gt;"",M321&lt;&gt;""),"PARTIAL","MISSING"))</f>
        <v/>
      </c>
      <c r="V321" s="11">
        <f>IF(Q321="UNKNOWN","Check fluid description",IF(AND(R321&lt;&gt;"",S321&lt;&gt;""),"Ready for contact screening","Needs TVD + thickness"))</f>
        <v/>
      </c>
    </row>
    <row r="322">
      <c r="A322" s="9" t="n"/>
      <c r="B322" s="9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9" t="n"/>
      <c r="N322" s="9" t="n"/>
      <c r="O322" s="10" t="n"/>
      <c r="P322" s="9" t="n"/>
      <c r="Q322" s="11">
        <f>IF(P322&lt;&gt;"",P322,IF(M322="","UNKNOWN",IF(AND(ISNUMBER(SEARCH("gas",LOWER(M322))),ISNUMBER(SEARCH("water",LOWER(M322)))),"GAS_WATER",IF(AND(ISNUMBER(SEARCH("oil",LOWER(M322))),ISNUMBER(SEARCH("water",LOWER(M322)))),"OIL_WATER",IF(ISNUMBER(SEARCH("gas",LOWER(M322))),"GAS",IF(ISNUMBER(SEARCH("water",LOWER(M322))),"WATER",IF(ISNUMBER(SEARCH("oil",LOWER(M322))),"OIL","UNKNOWN")))))))</f>
        <v/>
      </c>
      <c r="R322" s="12">
        <f>IF(C322="","",C322)</f>
        <v/>
      </c>
      <c r="S322" s="12">
        <f>IF(R322="","",R322+IF(O322&lt;&gt;"",O322,IF(H322="",0,H322)))</f>
        <v/>
      </c>
      <c r="T322" s="12">
        <f>IF(R322="","",MAX(Settings!$B$3,Settings!$B$4*IF(O322&lt;&gt;"",O322,IF(H322="",0,H322))))</f>
        <v/>
      </c>
      <c r="U322" s="11">
        <f>IF(AND(C322&lt;&gt;"",M322&lt;&gt;"",OR(H322&lt;&gt;"",O322&lt;&gt;"")),"COMPLETE",IF(OR(C322&lt;&gt;"",M322&lt;&gt;""),"PARTIAL","MISSING"))</f>
        <v/>
      </c>
      <c r="V322" s="11">
        <f>IF(Q322="UNKNOWN","Check fluid description",IF(AND(R322&lt;&gt;"",S322&lt;&gt;""),"Ready for contact screening","Needs TVD + thickness"))</f>
        <v/>
      </c>
    </row>
    <row r="323">
      <c r="A323" s="9" t="n"/>
      <c r="B323" s="9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9" t="n"/>
      <c r="N323" s="9" t="n"/>
      <c r="O323" s="10" t="n"/>
      <c r="P323" s="9" t="n"/>
      <c r="Q323" s="11">
        <f>IF(P323&lt;&gt;"",P323,IF(M323="","UNKNOWN",IF(AND(ISNUMBER(SEARCH("gas",LOWER(M323))),ISNUMBER(SEARCH("water",LOWER(M323)))),"GAS_WATER",IF(AND(ISNUMBER(SEARCH("oil",LOWER(M323))),ISNUMBER(SEARCH("water",LOWER(M323)))),"OIL_WATER",IF(ISNUMBER(SEARCH("gas",LOWER(M323))),"GAS",IF(ISNUMBER(SEARCH("water",LOWER(M323))),"WATER",IF(ISNUMBER(SEARCH("oil",LOWER(M323))),"OIL","UNKNOWN")))))))</f>
        <v/>
      </c>
      <c r="R323" s="12">
        <f>IF(C323="","",C323)</f>
        <v/>
      </c>
      <c r="S323" s="12">
        <f>IF(R323="","",R323+IF(O323&lt;&gt;"",O323,IF(H323="",0,H323)))</f>
        <v/>
      </c>
      <c r="T323" s="12">
        <f>IF(R323="","",MAX(Settings!$B$3,Settings!$B$4*IF(O323&lt;&gt;"",O323,IF(H323="",0,H323))))</f>
        <v/>
      </c>
      <c r="U323" s="11">
        <f>IF(AND(C323&lt;&gt;"",M323&lt;&gt;"",OR(H323&lt;&gt;"",O323&lt;&gt;"")),"COMPLETE",IF(OR(C323&lt;&gt;"",M323&lt;&gt;""),"PARTIAL","MISSING"))</f>
        <v/>
      </c>
      <c r="V323" s="11">
        <f>IF(Q323="UNKNOWN","Check fluid description",IF(AND(R323&lt;&gt;"",S323&lt;&gt;""),"Ready for contact screening","Needs TVD + thickness"))</f>
        <v/>
      </c>
    </row>
    <row r="324">
      <c r="A324" s="9" t="n"/>
      <c r="B324" s="9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9" t="n"/>
      <c r="N324" s="9" t="n"/>
      <c r="O324" s="10" t="n"/>
      <c r="P324" s="9" t="n"/>
      <c r="Q324" s="11">
        <f>IF(P324&lt;&gt;"",P324,IF(M324="","UNKNOWN",IF(AND(ISNUMBER(SEARCH("gas",LOWER(M324))),ISNUMBER(SEARCH("water",LOWER(M324)))),"GAS_WATER",IF(AND(ISNUMBER(SEARCH("oil",LOWER(M324))),ISNUMBER(SEARCH("water",LOWER(M324)))),"OIL_WATER",IF(ISNUMBER(SEARCH("gas",LOWER(M324))),"GAS",IF(ISNUMBER(SEARCH("water",LOWER(M324))),"WATER",IF(ISNUMBER(SEARCH("oil",LOWER(M324))),"OIL","UNKNOWN")))))))</f>
        <v/>
      </c>
      <c r="R324" s="12">
        <f>IF(C324="","",C324)</f>
        <v/>
      </c>
      <c r="S324" s="12">
        <f>IF(R324="","",R324+IF(O324&lt;&gt;"",O324,IF(H324="",0,H324)))</f>
        <v/>
      </c>
      <c r="T324" s="12">
        <f>IF(R324="","",MAX(Settings!$B$3,Settings!$B$4*IF(O324&lt;&gt;"",O324,IF(H324="",0,H324))))</f>
        <v/>
      </c>
      <c r="U324" s="11">
        <f>IF(AND(C324&lt;&gt;"",M324&lt;&gt;"",OR(H324&lt;&gt;"",O324&lt;&gt;"")),"COMPLETE",IF(OR(C324&lt;&gt;"",M324&lt;&gt;""),"PARTIAL","MISSING"))</f>
        <v/>
      </c>
      <c r="V324" s="11">
        <f>IF(Q324="UNKNOWN","Check fluid description",IF(AND(R324&lt;&gt;"",S324&lt;&gt;""),"Ready for contact screening","Needs TVD + thickness"))</f>
        <v/>
      </c>
    </row>
    <row r="325">
      <c r="A325" s="9" t="n"/>
      <c r="B325" s="9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9" t="n"/>
      <c r="N325" s="9" t="n"/>
      <c r="O325" s="10" t="n"/>
      <c r="P325" s="9" t="n"/>
      <c r="Q325" s="11">
        <f>IF(P325&lt;&gt;"",P325,IF(M325="","UNKNOWN",IF(AND(ISNUMBER(SEARCH("gas",LOWER(M325))),ISNUMBER(SEARCH("water",LOWER(M325)))),"GAS_WATER",IF(AND(ISNUMBER(SEARCH("oil",LOWER(M325))),ISNUMBER(SEARCH("water",LOWER(M325)))),"OIL_WATER",IF(ISNUMBER(SEARCH("gas",LOWER(M325))),"GAS",IF(ISNUMBER(SEARCH("water",LOWER(M325))),"WATER",IF(ISNUMBER(SEARCH("oil",LOWER(M325))),"OIL","UNKNOWN")))))))</f>
        <v/>
      </c>
      <c r="R325" s="12">
        <f>IF(C325="","",C325)</f>
        <v/>
      </c>
      <c r="S325" s="12">
        <f>IF(R325="","",R325+IF(O325&lt;&gt;"",O325,IF(H325="",0,H325)))</f>
        <v/>
      </c>
      <c r="T325" s="12">
        <f>IF(R325="","",MAX(Settings!$B$3,Settings!$B$4*IF(O325&lt;&gt;"",O325,IF(H325="",0,H325))))</f>
        <v/>
      </c>
      <c r="U325" s="11">
        <f>IF(AND(C325&lt;&gt;"",M325&lt;&gt;"",OR(H325&lt;&gt;"",O325&lt;&gt;"")),"COMPLETE",IF(OR(C325&lt;&gt;"",M325&lt;&gt;""),"PARTIAL","MISSING"))</f>
        <v/>
      </c>
      <c r="V325" s="11">
        <f>IF(Q325="UNKNOWN","Check fluid description",IF(AND(R325&lt;&gt;"",S325&lt;&gt;""),"Ready for contact screening","Needs TVD + thickness"))</f>
        <v/>
      </c>
    </row>
    <row r="326">
      <c r="A326" s="9" t="n"/>
      <c r="B326" s="9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9" t="n"/>
      <c r="N326" s="9" t="n"/>
      <c r="O326" s="10" t="n"/>
      <c r="P326" s="9" t="n"/>
      <c r="Q326" s="11">
        <f>IF(P326&lt;&gt;"",P326,IF(M326="","UNKNOWN",IF(AND(ISNUMBER(SEARCH("gas",LOWER(M326))),ISNUMBER(SEARCH("water",LOWER(M326)))),"GAS_WATER",IF(AND(ISNUMBER(SEARCH("oil",LOWER(M326))),ISNUMBER(SEARCH("water",LOWER(M326)))),"OIL_WATER",IF(ISNUMBER(SEARCH("gas",LOWER(M326))),"GAS",IF(ISNUMBER(SEARCH("water",LOWER(M326))),"WATER",IF(ISNUMBER(SEARCH("oil",LOWER(M326))),"OIL","UNKNOWN")))))))</f>
        <v/>
      </c>
      <c r="R326" s="12">
        <f>IF(C326="","",C326)</f>
        <v/>
      </c>
      <c r="S326" s="12">
        <f>IF(R326="","",R326+IF(O326&lt;&gt;"",O326,IF(H326="",0,H326)))</f>
        <v/>
      </c>
      <c r="T326" s="12">
        <f>IF(R326="","",MAX(Settings!$B$3,Settings!$B$4*IF(O326&lt;&gt;"",O326,IF(H326="",0,H326))))</f>
        <v/>
      </c>
      <c r="U326" s="11">
        <f>IF(AND(C326&lt;&gt;"",M326&lt;&gt;"",OR(H326&lt;&gt;"",O326&lt;&gt;"")),"COMPLETE",IF(OR(C326&lt;&gt;"",M326&lt;&gt;""),"PARTIAL","MISSING"))</f>
        <v/>
      </c>
      <c r="V326" s="11">
        <f>IF(Q326="UNKNOWN","Check fluid description",IF(AND(R326&lt;&gt;"",S326&lt;&gt;""),"Ready for contact screening","Needs TVD + thickness"))</f>
        <v/>
      </c>
    </row>
    <row r="327">
      <c r="A327" s="9" t="n"/>
      <c r="B327" s="9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9" t="n"/>
      <c r="N327" s="9" t="n"/>
      <c r="O327" s="10" t="n"/>
      <c r="P327" s="9" t="n"/>
      <c r="Q327" s="11">
        <f>IF(P327&lt;&gt;"",P327,IF(M327="","UNKNOWN",IF(AND(ISNUMBER(SEARCH("gas",LOWER(M327))),ISNUMBER(SEARCH("water",LOWER(M327)))),"GAS_WATER",IF(AND(ISNUMBER(SEARCH("oil",LOWER(M327))),ISNUMBER(SEARCH("water",LOWER(M327)))),"OIL_WATER",IF(ISNUMBER(SEARCH("gas",LOWER(M327))),"GAS",IF(ISNUMBER(SEARCH("water",LOWER(M327))),"WATER",IF(ISNUMBER(SEARCH("oil",LOWER(M327))),"OIL","UNKNOWN")))))))</f>
        <v/>
      </c>
      <c r="R327" s="12">
        <f>IF(C327="","",C327)</f>
        <v/>
      </c>
      <c r="S327" s="12">
        <f>IF(R327="","",R327+IF(O327&lt;&gt;"",O327,IF(H327="",0,H327)))</f>
        <v/>
      </c>
      <c r="T327" s="12">
        <f>IF(R327="","",MAX(Settings!$B$3,Settings!$B$4*IF(O327&lt;&gt;"",O327,IF(H327="",0,H327))))</f>
        <v/>
      </c>
      <c r="U327" s="11">
        <f>IF(AND(C327&lt;&gt;"",M327&lt;&gt;"",OR(H327&lt;&gt;"",O327&lt;&gt;"")),"COMPLETE",IF(OR(C327&lt;&gt;"",M327&lt;&gt;""),"PARTIAL","MISSING"))</f>
        <v/>
      </c>
      <c r="V327" s="11">
        <f>IF(Q327="UNKNOWN","Check fluid description",IF(AND(R327&lt;&gt;"",S327&lt;&gt;""),"Ready for contact screening","Needs TVD + thickness"))</f>
        <v/>
      </c>
    </row>
    <row r="328">
      <c r="A328" s="9" t="n"/>
      <c r="B328" s="9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9" t="n"/>
      <c r="N328" s="9" t="n"/>
      <c r="O328" s="10" t="n"/>
      <c r="P328" s="9" t="n"/>
      <c r="Q328" s="11">
        <f>IF(P328&lt;&gt;"",P328,IF(M328="","UNKNOWN",IF(AND(ISNUMBER(SEARCH("gas",LOWER(M328))),ISNUMBER(SEARCH("water",LOWER(M328)))),"GAS_WATER",IF(AND(ISNUMBER(SEARCH("oil",LOWER(M328))),ISNUMBER(SEARCH("water",LOWER(M328)))),"OIL_WATER",IF(ISNUMBER(SEARCH("gas",LOWER(M328))),"GAS",IF(ISNUMBER(SEARCH("water",LOWER(M328))),"WATER",IF(ISNUMBER(SEARCH("oil",LOWER(M328))),"OIL","UNKNOWN")))))))</f>
        <v/>
      </c>
      <c r="R328" s="12">
        <f>IF(C328="","",C328)</f>
        <v/>
      </c>
      <c r="S328" s="12">
        <f>IF(R328="","",R328+IF(O328&lt;&gt;"",O328,IF(H328="",0,H328)))</f>
        <v/>
      </c>
      <c r="T328" s="12">
        <f>IF(R328="","",MAX(Settings!$B$3,Settings!$B$4*IF(O328&lt;&gt;"",O328,IF(H328="",0,H328))))</f>
        <v/>
      </c>
      <c r="U328" s="11">
        <f>IF(AND(C328&lt;&gt;"",M328&lt;&gt;"",OR(H328&lt;&gt;"",O328&lt;&gt;"")),"COMPLETE",IF(OR(C328&lt;&gt;"",M328&lt;&gt;""),"PARTIAL","MISSING"))</f>
        <v/>
      </c>
      <c r="V328" s="11">
        <f>IF(Q328="UNKNOWN","Check fluid description",IF(AND(R328&lt;&gt;"",S328&lt;&gt;""),"Ready for contact screening","Needs TVD + thickness"))</f>
        <v/>
      </c>
    </row>
    <row r="329">
      <c r="A329" s="9" t="n"/>
      <c r="B329" s="9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9" t="n"/>
      <c r="N329" s="9" t="n"/>
      <c r="O329" s="10" t="n"/>
      <c r="P329" s="9" t="n"/>
      <c r="Q329" s="11">
        <f>IF(P329&lt;&gt;"",P329,IF(M329="","UNKNOWN",IF(AND(ISNUMBER(SEARCH("gas",LOWER(M329))),ISNUMBER(SEARCH("water",LOWER(M329)))),"GAS_WATER",IF(AND(ISNUMBER(SEARCH("oil",LOWER(M329))),ISNUMBER(SEARCH("water",LOWER(M329)))),"OIL_WATER",IF(ISNUMBER(SEARCH("gas",LOWER(M329))),"GAS",IF(ISNUMBER(SEARCH("water",LOWER(M329))),"WATER",IF(ISNUMBER(SEARCH("oil",LOWER(M329))),"OIL","UNKNOWN")))))))</f>
        <v/>
      </c>
      <c r="R329" s="12">
        <f>IF(C329="","",C329)</f>
        <v/>
      </c>
      <c r="S329" s="12">
        <f>IF(R329="","",R329+IF(O329&lt;&gt;"",O329,IF(H329="",0,H329)))</f>
        <v/>
      </c>
      <c r="T329" s="12">
        <f>IF(R329="","",MAX(Settings!$B$3,Settings!$B$4*IF(O329&lt;&gt;"",O329,IF(H329="",0,H329))))</f>
        <v/>
      </c>
      <c r="U329" s="11">
        <f>IF(AND(C329&lt;&gt;"",M329&lt;&gt;"",OR(H329&lt;&gt;"",O329&lt;&gt;"")),"COMPLETE",IF(OR(C329&lt;&gt;"",M329&lt;&gt;""),"PARTIAL","MISSING"))</f>
        <v/>
      </c>
      <c r="V329" s="11">
        <f>IF(Q329="UNKNOWN","Check fluid description",IF(AND(R329&lt;&gt;"",S329&lt;&gt;""),"Ready for contact screening","Needs TVD + thickness"))</f>
        <v/>
      </c>
    </row>
    <row r="330">
      <c r="A330" s="9" t="n"/>
      <c r="B330" s="9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9" t="n"/>
      <c r="N330" s="9" t="n"/>
      <c r="O330" s="10" t="n"/>
      <c r="P330" s="9" t="n"/>
      <c r="Q330" s="11">
        <f>IF(P330&lt;&gt;"",P330,IF(M330="","UNKNOWN",IF(AND(ISNUMBER(SEARCH("gas",LOWER(M330))),ISNUMBER(SEARCH("water",LOWER(M330)))),"GAS_WATER",IF(AND(ISNUMBER(SEARCH("oil",LOWER(M330))),ISNUMBER(SEARCH("water",LOWER(M330)))),"OIL_WATER",IF(ISNUMBER(SEARCH("gas",LOWER(M330))),"GAS",IF(ISNUMBER(SEARCH("water",LOWER(M330))),"WATER",IF(ISNUMBER(SEARCH("oil",LOWER(M330))),"OIL","UNKNOWN")))))))</f>
        <v/>
      </c>
      <c r="R330" s="12">
        <f>IF(C330="","",C330)</f>
        <v/>
      </c>
      <c r="S330" s="12">
        <f>IF(R330="","",R330+IF(O330&lt;&gt;"",O330,IF(H330="",0,H330)))</f>
        <v/>
      </c>
      <c r="T330" s="12">
        <f>IF(R330="","",MAX(Settings!$B$3,Settings!$B$4*IF(O330&lt;&gt;"",O330,IF(H330="",0,H330))))</f>
        <v/>
      </c>
      <c r="U330" s="11">
        <f>IF(AND(C330&lt;&gt;"",M330&lt;&gt;"",OR(H330&lt;&gt;"",O330&lt;&gt;"")),"COMPLETE",IF(OR(C330&lt;&gt;"",M330&lt;&gt;""),"PARTIAL","MISSING"))</f>
        <v/>
      </c>
      <c r="V330" s="11">
        <f>IF(Q330="UNKNOWN","Check fluid description",IF(AND(R330&lt;&gt;"",S330&lt;&gt;""),"Ready for contact screening","Needs TVD + thickness"))</f>
        <v/>
      </c>
    </row>
    <row r="331">
      <c r="A331" s="9" t="n"/>
      <c r="B331" s="9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9" t="n"/>
      <c r="N331" s="9" t="n"/>
      <c r="O331" s="10" t="n"/>
      <c r="P331" s="9" t="n"/>
      <c r="Q331" s="11">
        <f>IF(P331&lt;&gt;"",P331,IF(M331="","UNKNOWN",IF(AND(ISNUMBER(SEARCH("gas",LOWER(M331))),ISNUMBER(SEARCH("water",LOWER(M331)))),"GAS_WATER",IF(AND(ISNUMBER(SEARCH("oil",LOWER(M331))),ISNUMBER(SEARCH("water",LOWER(M331)))),"OIL_WATER",IF(ISNUMBER(SEARCH("gas",LOWER(M331))),"GAS",IF(ISNUMBER(SEARCH("water",LOWER(M331))),"WATER",IF(ISNUMBER(SEARCH("oil",LOWER(M331))),"OIL","UNKNOWN")))))))</f>
        <v/>
      </c>
      <c r="R331" s="12">
        <f>IF(C331="","",C331)</f>
        <v/>
      </c>
      <c r="S331" s="12">
        <f>IF(R331="","",R331+IF(O331&lt;&gt;"",O331,IF(H331="",0,H331)))</f>
        <v/>
      </c>
      <c r="T331" s="12">
        <f>IF(R331="","",MAX(Settings!$B$3,Settings!$B$4*IF(O331&lt;&gt;"",O331,IF(H331="",0,H331))))</f>
        <v/>
      </c>
      <c r="U331" s="11">
        <f>IF(AND(C331&lt;&gt;"",M331&lt;&gt;"",OR(H331&lt;&gt;"",O331&lt;&gt;"")),"COMPLETE",IF(OR(C331&lt;&gt;"",M331&lt;&gt;""),"PARTIAL","MISSING"))</f>
        <v/>
      </c>
      <c r="V331" s="11">
        <f>IF(Q331="UNKNOWN","Check fluid description",IF(AND(R331&lt;&gt;"",S331&lt;&gt;""),"Ready for contact screening","Needs TVD + thickness"))</f>
        <v/>
      </c>
    </row>
    <row r="332">
      <c r="A332" s="9" t="n"/>
      <c r="B332" s="9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9" t="n"/>
      <c r="N332" s="9" t="n"/>
      <c r="O332" s="10" t="n"/>
      <c r="P332" s="9" t="n"/>
      <c r="Q332" s="11">
        <f>IF(P332&lt;&gt;"",P332,IF(M332="","UNKNOWN",IF(AND(ISNUMBER(SEARCH("gas",LOWER(M332))),ISNUMBER(SEARCH("water",LOWER(M332)))),"GAS_WATER",IF(AND(ISNUMBER(SEARCH("oil",LOWER(M332))),ISNUMBER(SEARCH("water",LOWER(M332)))),"OIL_WATER",IF(ISNUMBER(SEARCH("gas",LOWER(M332))),"GAS",IF(ISNUMBER(SEARCH("water",LOWER(M332))),"WATER",IF(ISNUMBER(SEARCH("oil",LOWER(M332))),"OIL","UNKNOWN")))))))</f>
        <v/>
      </c>
      <c r="R332" s="12">
        <f>IF(C332="","",C332)</f>
        <v/>
      </c>
      <c r="S332" s="12">
        <f>IF(R332="","",R332+IF(O332&lt;&gt;"",O332,IF(H332="",0,H332)))</f>
        <v/>
      </c>
      <c r="T332" s="12">
        <f>IF(R332="","",MAX(Settings!$B$3,Settings!$B$4*IF(O332&lt;&gt;"",O332,IF(H332="",0,H332))))</f>
        <v/>
      </c>
      <c r="U332" s="11">
        <f>IF(AND(C332&lt;&gt;"",M332&lt;&gt;"",OR(H332&lt;&gt;"",O332&lt;&gt;"")),"COMPLETE",IF(OR(C332&lt;&gt;"",M332&lt;&gt;""),"PARTIAL","MISSING"))</f>
        <v/>
      </c>
      <c r="V332" s="11">
        <f>IF(Q332="UNKNOWN","Check fluid description",IF(AND(R332&lt;&gt;"",S332&lt;&gt;""),"Ready for contact screening","Needs TVD + thickness"))</f>
        <v/>
      </c>
    </row>
    <row r="333">
      <c r="A333" s="9" t="n"/>
      <c r="B333" s="9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9" t="n"/>
      <c r="N333" s="9" t="n"/>
      <c r="O333" s="10" t="n"/>
      <c r="P333" s="9" t="n"/>
      <c r="Q333" s="11">
        <f>IF(P333&lt;&gt;"",P333,IF(M333="","UNKNOWN",IF(AND(ISNUMBER(SEARCH("gas",LOWER(M333))),ISNUMBER(SEARCH("water",LOWER(M333)))),"GAS_WATER",IF(AND(ISNUMBER(SEARCH("oil",LOWER(M333))),ISNUMBER(SEARCH("water",LOWER(M333)))),"OIL_WATER",IF(ISNUMBER(SEARCH("gas",LOWER(M333))),"GAS",IF(ISNUMBER(SEARCH("water",LOWER(M333))),"WATER",IF(ISNUMBER(SEARCH("oil",LOWER(M333))),"OIL","UNKNOWN")))))))</f>
        <v/>
      </c>
      <c r="R333" s="12">
        <f>IF(C333="","",C333)</f>
        <v/>
      </c>
      <c r="S333" s="12">
        <f>IF(R333="","",R333+IF(O333&lt;&gt;"",O333,IF(H333="",0,H333)))</f>
        <v/>
      </c>
      <c r="T333" s="12">
        <f>IF(R333="","",MAX(Settings!$B$3,Settings!$B$4*IF(O333&lt;&gt;"",O333,IF(H333="",0,H333))))</f>
        <v/>
      </c>
      <c r="U333" s="11">
        <f>IF(AND(C333&lt;&gt;"",M333&lt;&gt;"",OR(H333&lt;&gt;"",O333&lt;&gt;"")),"COMPLETE",IF(OR(C333&lt;&gt;"",M333&lt;&gt;""),"PARTIAL","MISSING"))</f>
        <v/>
      </c>
      <c r="V333" s="11">
        <f>IF(Q333="UNKNOWN","Check fluid description",IF(AND(R333&lt;&gt;"",S333&lt;&gt;""),"Ready for contact screening","Needs TVD + thickness"))</f>
        <v/>
      </c>
    </row>
    <row r="334">
      <c r="A334" s="9" t="n"/>
      <c r="B334" s="9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9" t="n"/>
      <c r="N334" s="9" t="n"/>
      <c r="O334" s="10" t="n"/>
      <c r="P334" s="9" t="n"/>
      <c r="Q334" s="11">
        <f>IF(P334&lt;&gt;"",P334,IF(M334="","UNKNOWN",IF(AND(ISNUMBER(SEARCH("gas",LOWER(M334))),ISNUMBER(SEARCH("water",LOWER(M334)))),"GAS_WATER",IF(AND(ISNUMBER(SEARCH("oil",LOWER(M334))),ISNUMBER(SEARCH("water",LOWER(M334)))),"OIL_WATER",IF(ISNUMBER(SEARCH("gas",LOWER(M334))),"GAS",IF(ISNUMBER(SEARCH("water",LOWER(M334))),"WATER",IF(ISNUMBER(SEARCH("oil",LOWER(M334))),"OIL","UNKNOWN")))))))</f>
        <v/>
      </c>
      <c r="R334" s="12">
        <f>IF(C334="","",C334)</f>
        <v/>
      </c>
      <c r="S334" s="12">
        <f>IF(R334="","",R334+IF(O334&lt;&gt;"",O334,IF(H334="",0,H334)))</f>
        <v/>
      </c>
      <c r="T334" s="12">
        <f>IF(R334="","",MAX(Settings!$B$3,Settings!$B$4*IF(O334&lt;&gt;"",O334,IF(H334="",0,H334))))</f>
        <v/>
      </c>
      <c r="U334" s="11">
        <f>IF(AND(C334&lt;&gt;"",M334&lt;&gt;"",OR(H334&lt;&gt;"",O334&lt;&gt;"")),"COMPLETE",IF(OR(C334&lt;&gt;"",M334&lt;&gt;""),"PARTIAL","MISSING"))</f>
        <v/>
      </c>
      <c r="V334" s="11">
        <f>IF(Q334="UNKNOWN","Check fluid description",IF(AND(R334&lt;&gt;"",S334&lt;&gt;""),"Ready for contact screening","Needs TVD + thickness"))</f>
        <v/>
      </c>
    </row>
    <row r="335">
      <c r="A335" s="9" t="n"/>
      <c r="B335" s="9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9" t="n"/>
      <c r="N335" s="9" t="n"/>
      <c r="O335" s="10" t="n"/>
      <c r="P335" s="9" t="n"/>
      <c r="Q335" s="11">
        <f>IF(P335&lt;&gt;"",P335,IF(M335="","UNKNOWN",IF(AND(ISNUMBER(SEARCH("gas",LOWER(M335))),ISNUMBER(SEARCH("water",LOWER(M335)))),"GAS_WATER",IF(AND(ISNUMBER(SEARCH("oil",LOWER(M335))),ISNUMBER(SEARCH("water",LOWER(M335)))),"OIL_WATER",IF(ISNUMBER(SEARCH("gas",LOWER(M335))),"GAS",IF(ISNUMBER(SEARCH("water",LOWER(M335))),"WATER",IF(ISNUMBER(SEARCH("oil",LOWER(M335))),"OIL","UNKNOWN")))))))</f>
        <v/>
      </c>
      <c r="R335" s="12">
        <f>IF(C335="","",C335)</f>
        <v/>
      </c>
      <c r="S335" s="12">
        <f>IF(R335="","",R335+IF(O335&lt;&gt;"",O335,IF(H335="",0,H335)))</f>
        <v/>
      </c>
      <c r="T335" s="12">
        <f>IF(R335="","",MAX(Settings!$B$3,Settings!$B$4*IF(O335&lt;&gt;"",O335,IF(H335="",0,H335))))</f>
        <v/>
      </c>
      <c r="U335" s="11">
        <f>IF(AND(C335&lt;&gt;"",M335&lt;&gt;"",OR(H335&lt;&gt;"",O335&lt;&gt;"")),"COMPLETE",IF(OR(C335&lt;&gt;"",M335&lt;&gt;""),"PARTIAL","MISSING"))</f>
        <v/>
      </c>
      <c r="V335" s="11">
        <f>IF(Q335="UNKNOWN","Check fluid description",IF(AND(R335&lt;&gt;"",S335&lt;&gt;""),"Ready for contact screening","Needs TVD + thickness"))</f>
        <v/>
      </c>
    </row>
    <row r="336">
      <c r="A336" s="9" t="n"/>
      <c r="B336" s="9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9" t="n"/>
      <c r="N336" s="9" t="n"/>
      <c r="O336" s="10" t="n"/>
      <c r="P336" s="9" t="n"/>
      <c r="Q336" s="11">
        <f>IF(P336&lt;&gt;"",P336,IF(M336="","UNKNOWN",IF(AND(ISNUMBER(SEARCH("gas",LOWER(M336))),ISNUMBER(SEARCH("water",LOWER(M336)))),"GAS_WATER",IF(AND(ISNUMBER(SEARCH("oil",LOWER(M336))),ISNUMBER(SEARCH("water",LOWER(M336)))),"OIL_WATER",IF(ISNUMBER(SEARCH("gas",LOWER(M336))),"GAS",IF(ISNUMBER(SEARCH("water",LOWER(M336))),"WATER",IF(ISNUMBER(SEARCH("oil",LOWER(M336))),"OIL","UNKNOWN")))))))</f>
        <v/>
      </c>
      <c r="R336" s="12">
        <f>IF(C336="","",C336)</f>
        <v/>
      </c>
      <c r="S336" s="12">
        <f>IF(R336="","",R336+IF(O336&lt;&gt;"",O336,IF(H336="",0,H336)))</f>
        <v/>
      </c>
      <c r="T336" s="12">
        <f>IF(R336="","",MAX(Settings!$B$3,Settings!$B$4*IF(O336&lt;&gt;"",O336,IF(H336="",0,H336))))</f>
        <v/>
      </c>
      <c r="U336" s="11">
        <f>IF(AND(C336&lt;&gt;"",M336&lt;&gt;"",OR(H336&lt;&gt;"",O336&lt;&gt;"")),"COMPLETE",IF(OR(C336&lt;&gt;"",M336&lt;&gt;""),"PARTIAL","MISSING"))</f>
        <v/>
      </c>
      <c r="V336" s="11">
        <f>IF(Q336="UNKNOWN","Check fluid description",IF(AND(R336&lt;&gt;"",S336&lt;&gt;""),"Ready for contact screening","Needs TVD + thickness"))</f>
        <v/>
      </c>
    </row>
    <row r="337">
      <c r="A337" s="9" t="n"/>
      <c r="B337" s="9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9" t="n"/>
      <c r="N337" s="9" t="n"/>
      <c r="O337" s="10" t="n"/>
      <c r="P337" s="9" t="n"/>
      <c r="Q337" s="11">
        <f>IF(P337&lt;&gt;"",P337,IF(M337="","UNKNOWN",IF(AND(ISNUMBER(SEARCH("gas",LOWER(M337))),ISNUMBER(SEARCH("water",LOWER(M337)))),"GAS_WATER",IF(AND(ISNUMBER(SEARCH("oil",LOWER(M337))),ISNUMBER(SEARCH("water",LOWER(M337)))),"OIL_WATER",IF(ISNUMBER(SEARCH("gas",LOWER(M337))),"GAS",IF(ISNUMBER(SEARCH("water",LOWER(M337))),"WATER",IF(ISNUMBER(SEARCH("oil",LOWER(M337))),"OIL","UNKNOWN")))))))</f>
        <v/>
      </c>
      <c r="R337" s="12">
        <f>IF(C337="","",C337)</f>
        <v/>
      </c>
      <c r="S337" s="12">
        <f>IF(R337="","",R337+IF(O337&lt;&gt;"",O337,IF(H337="",0,H337)))</f>
        <v/>
      </c>
      <c r="T337" s="12">
        <f>IF(R337="","",MAX(Settings!$B$3,Settings!$B$4*IF(O337&lt;&gt;"",O337,IF(H337="",0,H337))))</f>
        <v/>
      </c>
      <c r="U337" s="11">
        <f>IF(AND(C337&lt;&gt;"",M337&lt;&gt;"",OR(H337&lt;&gt;"",O337&lt;&gt;"")),"COMPLETE",IF(OR(C337&lt;&gt;"",M337&lt;&gt;""),"PARTIAL","MISSING"))</f>
        <v/>
      </c>
      <c r="V337" s="11">
        <f>IF(Q337="UNKNOWN","Check fluid description",IF(AND(R337&lt;&gt;"",S337&lt;&gt;""),"Ready for contact screening","Needs TVD + thickness"))</f>
        <v/>
      </c>
    </row>
    <row r="338">
      <c r="A338" s="9" t="n"/>
      <c r="B338" s="9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9" t="n"/>
      <c r="N338" s="9" t="n"/>
      <c r="O338" s="10" t="n"/>
      <c r="P338" s="9" t="n"/>
      <c r="Q338" s="11">
        <f>IF(P338&lt;&gt;"",P338,IF(M338="","UNKNOWN",IF(AND(ISNUMBER(SEARCH("gas",LOWER(M338))),ISNUMBER(SEARCH("water",LOWER(M338)))),"GAS_WATER",IF(AND(ISNUMBER(SEARCH("oil",LOWER(M338))),ISNUMBER(SEARCH("water",LOWER(M338)))),"OIL_WATER",IF(ISNUMBER(SEARCH("gas",LOWER(M338))),"GAS",IF(ISNUMBER(SEARCH("water",LOWER(M338))),"WATER",IF(ISNUMBER(SEARCH("oil",LOWER(M338))),"OIL","UNKNOWN")))))))</f>
        <v/>
      </c>
      <c r="R338" s="12">
        <f>IF(C338="","",C338)</f>
        <v/>
      </c>
      <c r="S338" s="12">
        <f>IF(R338="","",R338+IF(O338&lt;&gt;"",O338,IF(H338="",0,H338)))</f>
        <v/>
      </c>
      <c r="T338" s="12">
        <f>IF(R338="","",MAX(Settings!$B$3,Settings!$B$4*IF(O338&lt;&gt;"",O338,IF(H338="",0,H338))))</f>
        <v/>
      </c>
      <c r="U338" s="11">
        <f>IF(AND(C338&lt;&gt;"",M338&lt;&gt;"",OR(H338&lt;&gt;"",O338&lt;&gt;"")),"COMPLETE",IF(OR(C338&lt;&gt;"",M338&lt;&gt;""),"PARTIAL","MISSING"))</f>
        <v/>
      </c>
      <c r="V338" s="11">
        <f>IF(Q338="UNKNOWN","Check fluid description",IF(AND(R338&lt;&gt;"",S338&lt;&gt;""),"Ready for contact screening","Needs TVD + thickness"))</f>
        <v/>
      </c>
    </row>
    <row r="339">
      <c r="A339" s="9" t="n"/>
      <c r="B339" s="9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9" t="n"/>
      <c r="N339" s="9" t="n"/>
      <c r="O339" s="10" t="n"/>
      <c r="P339" s="9" t="n"/>
      <c r="Q339" s="11">
        <f>IF(P339&lt;&gt;"",P339,IF(M339="","UNKNOWN",IF(AND(ISNUMBER(SEARCH("gas",LOWER(M339))),ISNUMBER(SEARCH("water",LOWER(M339)))),"GAS_WATER",IF(AND(ISNUMBER(SEARCH("oil",LOWER(M339))),ISNUMBER(SEARCH("water",LOWER(M339)))),"OIL_WATER",IF(ISNUMBER(SEARCH("gas",LOWER(M339))),"GAS",IF(ISNUMBER(SEARCH("water",LOWER(M339))),"WATER",IF(ISNUMBER(SEARCH("oil",LOWER(M339))),"OIL","UNKNOWN")))))))</f>
        <v/>
      </c>
      <c r="R339" s="12">
        <f>IF(C339="","",C339)</f>
        <v/>
      </c>
      <c r="S339" s="12">
        <f>IF(R339="","",R339+IF(O339&lt;&gt;"",O339,IF(H339="",0,H339)))</f>
        <v/>
      </c>
      <c r="T339" s="12">
        <f>IF(R339="","",MAX(Settings!$B$3,Settings!$B$4*IF(O339&lt;&gt;"",O339,IF(H339="",0,H339))))</f>
        <v/>
      </c>
      <c r="U339" s="11">
        <f>IF(AND(C339&lt;&gt;"",M339&lt;&gt;"",OR(H339&lt;&gt;"",O339&lt;&gt;"")),"COMPLETE",IF(OR(C339&lt;&gt;"",M339&lt;&gt;""),"PARTIAL","MISSING"))</f>
        <v/>
      </c>
      <c r="V339" s="11">
        <f>IF(Q339="UNKNOWN","Check fluid description",IF(AND(R339&lt;&gt;"",S339&lt;&gt;""),"Ready for contact screening","Needs TVD + thickness"))</f>
        <v/>
      </c>
    </row>
    <row r="340">
      <c r="A340" s="9" t="n"/>
      <c r="B340" s="9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9" t="n"/>
      <c r="N340" s="9" t="n"/>
      <c r="O340" s="10" t="n"/>
      <c r="P340" s="9" t="n"/>
      <c r="Q340" s="11">
        <f>IF(P340&lt;&gt;"",P340,IF(M340="","UNKNOWN",IF(AND(ISNUMBER(SEARCH("gas",LOWER(M340))),ISNUMBER(SEARCH("water",LOWER(M340)))),"GAS_WATER",IF(AND(ISNUMBER(SEARCH("oil",LOWER(M340))),ISNUMBER(SEARCH("water",LOWER(M340)))),"OIL_WATER",IF(ISNUMBER(SEARCH("gas",LOWER(M340))),"GAS",IF(ISNUMBER(SEARCH("water",LOWER(M340))),"WATER",IF(ISNUMBER(SEARCH("oil",LOWER(M340))),"OIL","UNKNOWN")))))))</f>
        <v/>
      </c>
      <c r="R340" s="12">
        <f>IF(C340="","",C340)</f>
        <v/>
      </c>
      <c r="S340" s="12">
        <f>IF(R340="","",R340+IF(O340&lt;&gt;"",O340,IF(H340="",0,H340)))</f>
        <v/>
      </c>
      <c r="T340" s="12">
        <f>IF(R340="","",MAX(Settings!$B$3,Settings!$B$4*IF(O340&lt;&gt;"",O340,IF(H340="",0,H340))))</f>
        <v/>
      </c>
      <c r="U340" s="11">
        <f>IF(AND(C340&lt;&gt;"",M340&lt;&gt;"",OR(H340&lt;&gt;"",O340&lt;&gt;"")),"COMPLETE",IF(OR(C340&lt;&gt;"",M340&lt;&gt;""),"PARTIAL","MISSING"))</f>
        <v/>
      </c>
      <c r="V340" s="11">
        <f>IF(Q340="UNKNOWN","Check fluid description",IF(AND(R340&lt;&gt;"",S340&lt;&gt;""),"Ready for contact screening","Needs TVD + thickness"))</f>
        <v/>
      </c>
    </row>
    <row r="341">
      <c r="A341" s="9" t="n"/>
      <c r="B341" s="9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9" t="n"/>
      <c r="N341" s="9" t="n"/>
      <c r="O341" s="10" t="n"/>
      <c r="P341" s="9" t="n"/>
      <c r="Q341" s="11">
        <f>IF(P341&lt;&gt;"",P341,IF(M341="","UNKNOWN",IF(AND(ISNUMBER(SEARCH("gas",LOWER(M341))),ISNUMBER(SEARCH("water",LOWER(M341)))),"GAS_WATER",IF(AND(ISNUMBER(SEARCH("oil",LOWER(M341))),ISNUMBER(SEARCH("water",LOWER(M341)))),"OIL_WATER",IF(ISNUMBER(SEARCH("gas",LOWER(M341))),"GAS",IF(ISNUMBER(SEARCH("water",LOWER(M341))),"WATER",IF(ISNUMBER(SEARCH("oil",LOWER(M341))),"OIL","UNKNOWN")))))))</f>
        <v/>
      </c>
      <c r="R341" s="12">
        <f>IF(C341="","",C341)</f>
        <v/>
      </c>
      <c r="S341" s="12">
        <f>IF(R341="","",R341+IF(O341&lt;&gt;"",O341,IF(H341="",0,H341)))</f>
        <v/>
      </c>
      <c r="T341" s="12">
        <f>IF(R341="","",MAX(Settings!$B$3,Settings!$B$4*IF(O341&lt;&gt;"",O341,IF(H341="",0,H341))))</f>
        <v/>
      </c>
      <c r="U341" s="11">
        <f>IF(AND(C341&lt;&gt;"",M341&lt;&gt;"",OR(H341&lt;&gt;"",O341&lt;&gt;"")),"COMPLETE",IF(OR(C341&lt;&gt;"",M341&lt;&gt;""),"PARTIAL","MISSING"))</f>
        <v/>
      </c>
      <c r="V341" s="11">
        <f>IF(Q341="UNKNOWN","Check fluid description",IF(AND(R341&lt;&gt;"",S341&lt;&gt;""),"Ready for contact screening","Needs TVD + thickness"))</f>
        <v/>
      </c>
    </row>
    <row r="342">
      <c r="A342" s="9" t="n"/>
      <c r="B342" s="9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9" t="n"/>
      <c r="N342" s="9" t="n"/>
      <c r="O342" s="10" t="n"/>
      <c r="P342" s="9" t="n"/>
      <c r="Q342" s="11">
        <f>IF(P342&lt;&gt;"",P342,IF(M342="","UNKNOWN",IF(AND(ISNUMBER(SEARCH("gas",LOWER(M342))),ISNUMBER(SEARCH("water",LOWER(M342)))),"GAS_WATER",IF(AND(ISNUMBER(SEARCH("oil",LOWER(M342))),ISNUMBER(SEARCH("water",LOWER(M342)))),"OIL_WATER",IF(ISNUMBER(SEARCH("gas",LOWER(M342))),"GAS",IF(ISNUMBER(SEARCH("water",LOWER(M342))),"WATER",IF(ISNUMBER(SEARCH("oil",LOWER(M342))),"OIL","UNKNOWN")))))))</f>
        <v/>
      </c>
      <c r="R342" s="12">
        <f>IF(C342="","",C342)</f>
        <v/>
      </c>
      <c r="S342" s="12">
        <f>IF(R342="","",R342+IF(O342&lt;&gt;"",O342,IF(H342="",0,H342)))</f>
        <v/>
      </c>
      <c r="T342" s="12">
        <f>IF(R342="","",MAX(Settings!$B$3,Settings!$B$4*IF(O342&lt;&gt;"",O342,IF(H342="",0,H342))))</f>
        <v/>
      </c>
      <c r="U342" s="11">
        <f>IF(AND(C342&lt;&gt;"",M342&lt;&gt;"",OR(H342&lt;&gt;"",O342&lt;&gt;"")),"COMPLETE",IF(OR(C342&lt;&gt;"",M342&lt;&gt;""),"PARTIAL","MISSING"))</f>
        <v/>
      </c>
      <c r="V342" s="11">
        <f>IF(Q342="UNKNOWN","Check fluid description",IF(AND(R342&lt;&gt;"",S342&lt;&gt;""),"Ready for contact screening","Needs TVD + thickness"))</f>
        <v/>
      </c>
    </row>
    <row r="343">
      <c r="A343" s="9" t="n"/>
      <c r="B343" s="9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9" t="n"/>
      <c r="N343" s="9" t="n"/>
      <c r="O343" s="10" t="n"/>
      <c r="P343" s="9" t="n"/>
      <c r="Q343" s="11">
        <f>IF(P343&lt;&gt;"",P343,IF(M343="","UNKNOWN",IF(AND(ISNUMBER(SEARCH("gas",LOWER(M343))),ISNUMBER(SEARCH("water",LOWER(M343)))),"GAS_WATER",IF(AND(ISNUMBER(SEARCH("oil",LOWER(M343))),ISNUMBER(SEARCH("water",LOWER(M343)))),"OIL_WATER",IF(ISNUMBER(SEARCH("gas",LOWER(M343))),"GAS",IF(ISNUMBER(SEARCH("water",LOWER(M343))),"WATER",IF(ISNUMBER(SEARCH("oil",LOWER(M343))),"OIL","UNKNOWN")))))))</f>
        <v/>
      </c>
      <c r="R343" s="12">
        <f>IF(C343="","",C343)</f>
        <v/>
      </c>
      <c r="S343" s="12">
        <f>IF(R343="","",R343+IF(O343&lt;&gt;"",O343,IF(H343="",0,H343)))</f>
        <v/>
      </c>
      <c r="T343" s="12">
        <f>IF(R343="","",MAX(Settings!$B$3,Settings!$B$4*IF(O343&lt;&gt;"",O343,IF(H343="",0,H343))))</f>
        <v/>
      </c>
      <c r="U343" s="11">
        <f>IF(AND(C343&lt;&gt;"",M343&lt;&gt;"",OR(H343&lt;&gt;"",O343&lt;&gt;"")),"COMPLETE",IF(OR(C343&lt;&gt;"",M343&lt;&gt;""),"PARTIAL","MISSING"))</f>
        <v/>
      </c>
      <c r="V343" s="11">
        <f>IF(Q343="UNKNOWN","Check fluid description",IF(AND(R343&lt;&gt;"",S343&lt;&gt;""),"Ready for contact screening","Needs TVD + thickness"))</f>
        <v/>
      </c>
    </row>
    <row r="344">
      <c r="A344" s="9" t="n"/>
      <c r="B344" s="9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9" t="n"/>
      <c r="N344" s="9" t="n"/>
      <c r="O344" s="10" t="n"/>
      <c r="P344" s="9" t="n"/>
      <c r="Q344" s="11">
        <f>IF(P344&lt;&gt;"",P344,IF(M344="","UNKNOWN",IF(AND(ISNUMBER(SEARCH("gas",LOWER(M344))),ISNUMBER(SEARCH("water",LOWER(M344)))),"GAS_WATER",IF(AND(ISNUMBER(SEARCH("oil",LOWER(M344))),ISNUMBER(SEARCH("water",LOWER(M344)))),"OIL_WATER",IF(ISNUMBER(SEARCH("gas",LOWER(M344))),"GAS",IF(ISNUMBER(SEARCH("water",LOWER(M344))),"WATER",IF(ISNUMBER(SEARCH("oil",LOWER(M344))),"OIL","UNKNOWN")))))))</f>
        <v/>
      </c>
      <c r="R344" s="12">
        <f>IF(C344="","",C344)</f>
        <v/>
      </c>
      <c r="S344" s="12">
        <f>IF(R344="","",R344+IF(O344&lt;&gt;"",O344,IF(H344="",0,H344)))</f>
        <v/>
      </c>
      <c r="T344" s="12">
        <f>IF(R344="","",MAX(Settings!$B$3,Settings!$B$4*IF(O344&lt;&gt;"",O344,IF(H344="",0,H344))))</f>
        <v/>
      </c>
      <c r="U344" s="11">
        <f>IF(AND(C344&lt;&gt;"",M344&lt;&gt;"",OR(H344&lt;&gt;"",O344&lt;&gt;"")),"COMPLETE",IF(OR(C344&lt;&gt;"",M344&lt;&gt;""),"PARTIAL","MISSING"))</f>
        <v/>
      </c>
      <c r="V344" s="11">
        <f>IF(Q344="UNKNOWN","Check fluid description",IF(AND(R344&lt;&gt;"",S344&lt;&gt;""),"Ready for contact screening","Needs TVD + thickness"))</f>
        <v/>
      </c>
    </row>
    <row r="345">
      <c r="A345" s="9" t="n"/>
      <c r="B345" s="9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9" t="n"/>
      <c r="N345" s="9" t="n"/>
      <c r="O345" s="10" t="n"/>
      <c r="P345" s="9" t="n"/>
      <c r="Q345" s="11">
        <f>IF(P345&lt;&gt;"",P345,IF(M345="","UNKNOWN",IF(AND(ISNUMBER(SEARCH("gas",LOWER(M345))),ISNUMBER(SEARCH("water",LOWER(M345)))),"GAS_WATER",IF(AND(ISNUMBER(SEARCH("oil",LOWER(M345))),ISNUMBER(SEARCH("water",LOWER(M345)))),"OIL_WATER",IF(ISNUMBER(SEARCH("gas",LOWER(M345))),"GAS",IF(ISNUMBER(SEARCH("water",LOWER(M345))),"WATER",IF(ISNUMBER(SEARCH("oil",LOWER(M345))),"OIL","UNKNOWN")))))))</f>
        <v/>
      </c>
      <c r="R345" s="12">
        <f>IF(C345="","",C345)</f>
        <v/>
      </c>
      <c r="S345" s="12">
        <f>IF(R345="","",R345+IF(O345&lt;&gt;"",O345,IF(H345="",0,H345)))</f>
        <v/>
      </c>
      <c r="T345" s="12">
        <f>IF(R345="","",MAX(Settings!$B$3,Settings!$B$4*IF(O345&lt;&gt;"",O345,IF(H345="",0,H345))))</f>
        <v/>
      </c>
      <c r="U345" s="11">
        <f>IF(AND(C345&lt;&gt;"",M345&lt;&gt;"",OR(H345&lt;&gt;"",O345&lt;&gt;"")),"COMPLETE",IF(OR(C345&lt;&gt;"",M345&lt;&gt;""),"PARTIAL","MISSING"))</f>
        <v/>
      </c>
      <c r="V345" s="11">
        <f>IF(Q345="UNKNOWN","Check fluid description",IF(AND(R345&lt;&gt;"",S345&lt;&gt;""),"Ready for contact screening","Needs TVD + thickness"))</f>
        <v/>
      </c>
    </row>
    <row r="346">
      <c r="A346" s="9" t="n"/>
      <c r="B346" s="9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9" t="n"/>
      <c r="N346" s="9" t="n"/>
      <c r="O346" s="10" t="n"/>
      <c r="P346" s="9" t="n"/>
      <c r="Q346" s="11">
        <f>IF(P346&lt;&gt;"",P346,IF(M346="","UNKNOWN",IF(AND(ISNUMBER(SEARCH("gas",LOWER(M346))),ISNUMBER(SEARCH("water",LOWER(M346)))),"GAS_WATER",IF(AND(ISNUMBER(SEARCH("oil",LOWER(M346))),ISNUMBER(SEARCH("water",LOWER(M346)))),"OIL_WATER",IF(ISNUMBER(SEARCH("gas",LOWER(M346))),"GAS",IF(ISNUMBER(SEARCH("water",LOWER(M346))),"WATER",IF(ISNUMBER(SEARCH("oil",LOWER(M346))),"OIL","UNKNOWN")))))))</f>
        <v/>
      </c>
      <c r="R346" s="12">
        <f>IF(C346="","",C346)</f>
        <v/>
      </c>
      <c r="S346" s="12">
        <f>IF(R346="","",R346+IF(O346&lt;&gt;"",O346,IF(H346="",0,H346)))</f>
        <v/>
      </c>
      <c r="T346" s="12">
        <f>IF(R346="","",MAX(Settings!$B$3,Settings!$B$4*IF(O346&lt;&gt;"",O346,IF(H346="",0,H346))))</f>
        <v/>
      </c>
      <c r="U346" s="11">
        <f>IF(AND(C346&lt;&gt;"",M346&lt;&gt;"",OR(H346&lt;&gt;"",O346&lt;&gt;"")),"COMPLETE",IF(OR(C346&lt;&gt;"",M346&lt;&gt;""),"PARTIAL","MISSING"))</f>
        <v/>
      </c>
      <c r="V346" s="11">
        <f>IF(Q346="UNKNOWN","Check fluid description",IF(AND(R346&lt;&gt;"",S346&lt;&gt;""),"Ready for contact screening","Needs TVD + thickness"))</f>
        <v/>
      </c>
    </row>
    <row r="347">
      <c r="A347" s="9" t="n"/>
      <c r="B347" s="9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9" t="n"/>
      <c r="N347" s="9" t="n"/>
      <c r="O347" s="10" t="n"/>
      <c r="P347" s="9" t="n"/>
      <c r="Q347" s="11">
        <f>IF(P347&lt;&gt;"",P347,IF(M347="","UNKNOWN",IF(AND(ISNUMBER(SEARCH("gas",LOWER(M347))),ISNUMBER(SEARCH("water",LOWER(M347)))),"GAS_WATER",IF(AND(ISNUMBER(SEARCH("oil",LOWER(M347))),ISNUMBER(SEARCH("water",LOWER(M347)))),"OIL_WATER",IF(ISNUMBER(SEARCH("gas",LOWER(M347))),"GAS",IF(ISNUMBER(SEARCH("water",LOWER(M347))),"WATER",IF(ISNUMBER(SEARCH("oil",LOWER(M347))),"OIL","UNKNOWN")))))))</f>
        <v/>
      </c>
      <c r="R347" s="12">
        <f>IF(C347="","",C347)</f>
        <v/>
      </c>
      <c r="S347" s="12">
        <f>IF(R347="","",R347+IF(O347&lt;&gt;"",O347,IF(H347="",0,H347)))</f>
        <v/>
      </c>
      <c r="T347" s="12">
        <f>IF(R347="","",MAX(Settings!$B$3,Settings!$B$4*IF(O347&lt;&gt;"",O347,IF(H347="",0,H347))))</f>
        <v/>
      </c>
      <c r="U347" s="11">
        <f>IF(AND(C347&lt;&gt;"",M347&lt;&gt;"",OR(H347&lt;&gt;"",O347&lt;&gt;"")),"COMPLETE",IF(OR(C347&lt;&gt;"",M347&lt;&gt;""),"PARTIAL","MISSING"))</f>
        <v/>
      </c>
      <c r="V347" s="11">
        <f>IF(Q347="UNKNOWN","Check fluid description",IF(AND(R347&lt;&gt;"",S347&lt;&gt;""),"Ready for contact screening","Needs TVD + thickness"))</f>
        <v/>
      </c>
    </row>
    <row r="348">
      <c r="A348" s="9" t="n"/>
      <c r="B348" s="9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9" t="n"/>
      <c r="N348" s="9" t="n"/>
      <c r="O348" s="10" t="n"/>
      <c r="P348" s="9" t="n"/>
      <c r="Q348" s="11">
        <f>IF(P348&lt;&gt;"",P348,IF(M348="","UNKNOWN",IF(AND(ISNUMBER(SEARCH("gas",LOWER(M348))),ISNUMBER(SEARCH("water",LOWER(M348)))),"GAS_WATER",IF(AND(ISNUMBER(SEARCH("oil",LOWER(M348))),ISNUMBER(SEARCH("water",LOWER(M348)))),"OIL_WATER",IF(ISNUMBER(SEARCH("gas",LOWER(M348))),"GAS",IF(ISNUMBER(SEARCH("water",LOWER(M348))),"WATER",IF(ISNUMBER(SEARCH("oil",LOWER(M348))),"OIL","UNKNOWN")))))))</f>
        <v/>
      </c>
      <c r="R348" s="12">
        <f>IF(C348="","",C348)</f>
        <v/>
      </c>
      <c r="S348" s="12">
        <f>IF(R348="","",R348+IF(O348&lt;&gt;"",O348,IF(H348="",0,H348)))</f>
        <v/>
      </c>
      <c r="T348" s="12">
        <f>IF(R348="","",MAX(Settings!$B$3,Settings!$B$4*IF(O348&lt;&gt;"",O348,IF(H348="",0,H348))))</f>
        <v/>
      </c>
      <c r="U348" s="11">
        <f>IF(AND(C348&lt;&gt;"",M348&lt;&gt;"",OR(H348&lt;&gt;"",O348&lt;&gt;"")),"COMPLETE",IF(OR(C348&lt;&gt;"",M348&lt;&gt;""),"PARTIAL","MISSING"))</f>
        <v/>
      </c>
      <c r="V348" s="11">
        <f>IF(Q348="UNKNOWN","Check fluid description",IF(AND(R348&lt;&gt;"",S348&lt;&gt;""),"Ready for contact screening","Needs TVD + thickness"))</f>
        <v/>
      </c>
    </row>
    <row r="349">
      <c r="A349" s="9" t="n"/>
      <c r="B349" s="9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9" t="n"/>
      <c r="N349" s="9" t="n"/>
      <c r="O349" s="10" t="n"/>
      <c r="P349" s="9" t="n"/>
      <c r="Q349" s="11">
        <f>IF(P349&lt;&gt;"",P349,IF(M349="","UNKNOWN",IF(AND(ISNUMBER(SEARCH("gas",LOWER(M349))),ISNUMBER(SEARCH("water",LOWER(M349)))),"GAS_WATER",IF(AND(ISNUMBER(SEARCH("oil",LOWER(M349))),ISNUMBER(SEARCH("water",LOWER(M349)))),"OIL_WATER",IF(ISNUMBER(SEARCH("gas",LOWER(M349))),"GAS",IF(ISNUMBER(SEARCH("water",LOWER(M349))),"WATER",IF(ISNUMBER(SEARCH("oil",LOWER(M349))),"OIL","UNKNOWN")))))))</f>
        <v/>
      </c>
      <c r="R349" s="12">
        <f>IF(C349="","",C349)</f>
        <v/>
      </c>
      <c r="S349" s="12">
        <f>IF(R349="","",R349+IF(O349&lt;&gt;"",O349,IF(H349="",0,H349)))</f>
        <v/>
      </c>
      <c r="T349" s="12">
        <f>IF(R349="","",MAX(Settings!$B$3,Settings!$B$4*IF(O349&lt;&gt;"",O349,IF(H349="",0,H349))))</f>
        <v/>
      </c>
      <c r="U349" s="11">
        <f>IF(AND(C349&lt;&gt;"",M349&lt;&gt;"",OR(H349&lt;&gt;"",O349&lt;&gt;"")),"COMPLETE",IF(OR(C349&lt;&gt;"",M349&lt;&gt;""),"PARTIAL","MISSING"))</f>
        <v/>
      </c>
      <c r="V349" s="11">
        <f>IF(Q349="UNKNOWN","Check fluid description",IF(AND(R349&lt;&gt;"",S349&lt;&gt;""),"Ready for contact screening","Needs TVD + thickness"))</f>
        <v/>
      </c>
    </row>
    <row r="350">
      <c r="A350" s="9" t="n"/>
      <c r="B350" s="9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9" t="n"/>
      <c r="N350" s="9" t="n"/>
      <c r="O350" s="10" t="n"/>
      <c r="P350" s="9" t="n"/>
      <c r="Q350" s="11">
        <f>IF(P350&lt;&gt;"",P350,IF(M350="","UNKNOWN",IF(AND(ISNUMBER(SEARCH("gas",LOWER(M350))),ISNUMBER(SEARCH("water",LOWER(M350)))),"GAS_WATER",IF(AND(ISNUMBER(SEARCH("oil",LOWER(M350))),ISNUMBER(SEARCH("water",LOWER(M350)))),"OIL_WATER",IF(ISNUMBER(SEARCH("gas",LOWER(M350))),"GAS",IF(ISNUMBER(SEARCH("water",LOWER(M350))),"WATER",IF(ISNUMBER(SEARCH("oil",LOWER(M350))),"OIL","UNKNOWN")))))))</f>
        <v/>
      </c>
      <c r="R350" s="12">
        <f>IF(C350="","",C350)</f>
        <v/>
      </c>
      <c r="S350" s="12">
        <f>IF(R350="","",R350+IF(O350&lt;&gt;"",O350,IF(H350="",0,H350)))</f>
        <v/>
      </c>
      <c r="T350" s="12">
        <f>IF(R350="","",MAX(Settings!$B$3,Settings!$B$4*IF(O350&lt;&gt;"",O350,IF(H350="",0,H350))))</f>
        <v/>
      </c>
      <c r="U350" s="11">
        <f>IF(AND(C350&lt;&gt;"",M350&lt;&gt;"",OR(H350&lt;&gt;"",O350&lt;&gt;"")),"COMPLETE",IF(OR(C350&lt;&gt;"",M350&lt;&gt;""),"PARTIAL","MISSING"))</f>
        <v/>
      </c>
      <c r="V350" s="11">
        <f>IF(Q350="UNKNOWN","Check fluid description",IF(AND(R350&lt;&gt;"",S350&lt;&gt;""),"Ready for contact screening","Needs TVD + thickness"))</f>
        <v/>
      </c>
    </row>
    <row r="351">
      <c r="A351" s="9" t="n"/>
      <c r="B351" s="9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9" t="n"/>
      <c r="N351" s="9" t="n"/>
      <c r="O351" s="10" t="n"/>
      <c r="P351" s="9" t="n"/>
      <c r="Q351" s="11">
        <f>IF(P351&lt;&gt;"",P351,IF(M351="","UNKNOWN",IF(AND(ISNUMBER(SEARCH("gas",LOWER(M351))),ISNUMBER(SEARCH("water",LOWER(M351)))),"GAS_WATER",IF(AND(ISNUMBER(SEARCH("oil",LOWER(M351))),ISNUMBER(SEARCH("water",LOWER(M351)))),"OIL_WATER",IF(ISNUMBER(SEARCH("gas",LOWER(M351))),"GAS",IF(ISNUMBER(SEARCH("water",LOWER(M351))),"WATER",IF(ISNUMBER(SEARCH("oil",LOWER(M351))),"OIL","UNKNOWN")))))))</f>
        <v/>
      </c>
      <c r="R351" s="12">
        <f>IF(C351="","",C351)</f>
        <v/>
      </c>
      <c r="S351" s="12">
        <f>IF(R351="","",R351+IF(O351&lt;&gt;"",O351,IF(H351="",0,H351)))</f>
        <v/>
      </c>
      <c r="T351" s="12">
        <f>IF(R351="","",MAX(Settings!$B$3,Settings!$B$4*IF(O351&lt;&gt;"",O351,IF(H351="",0,H351))))</f>
        <v/>
      </c>
      <c r="U351" s="11">
        <f>IF(AND(C351&lt;&gt;"",M351&lt;&gt;"",OR(H351&lt;&gt;"",O351&lt;&gt;"")),"COMPLETE",IF(OR(C351&lt;&gt;"",M351&lt;&gt;""),"PARTIAL","MISSING"))</f>
        <v/>
      </c>
      <c r="V351" s="11">
        <f>IF(Q351="UNKNOWN","Check fluid description",IF(AND(R351&lt;&gt;"",S351&lt;&gt;""),"Ready for contact screening","Needs TVD + thickness"))</f>
        <v/>
      </c>
    </row>
    <row r="352">
      <c r="A352" s="9" t="n"/>
      <c r="B352" s="9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9" t="n"/>
      <c r="N352" s="9" t="n"/>
      <c r="O352" s="10" t="n"/>
      <c r="P352" s="9" t="n"/>
      <c r="Q352" s="11">
        <f>IF(P352&lt;&gt;"",P352,IF(M352="","UNKNOWN",IF(AND(ISNUMBER(SEARCH("gas",LOWER(M352))),ISNUMBER(SEARCH("water",LOWER(M352)))),"GAS_WATER",IF(AND(ISNUMBER(SEARCH("oil",LOWER(M352))),ISNUMBER(SEARCH("water",LOWER(M352)))),"OIL_WATER",IF(ISNUMBER(SEARCH("gas",LOWER(M352))),"GAS",IF(ISNUMBER(SEARCH("water",LOWER(M352))),"WATER",IF(ISNUMBER(SEARCH("oil",LOWER(M352))),"OIL","UNKNOWN")))))))</f>
        <v/>
      </c>
      <c r="R352" s="12">
        <f>IF(C352="","",C352)</f>
        <v/>
      </c>
      <c r="S352" s="12">
        <f>IF(R352="","",R352+IF(O352&lt;&gt;"",O352,IF(H352="",0,H352)))</f>
        <v/>
      </c>
      <c r="T352" s="12">
        <f>IF(R352="","",MAX(Settings!$B$3,Settings!$B$4*IF(O352&lt;&gt;"",O352,IF(H352="",0,H352))))</f>
        <v/>
      </c>
      <c r="U352" s="11">
        <f>IF(AND(C352&lt;&gt;"",M352&lt;&gt;"",OR(H352&lt;&gt;"",O352&lt;&gt;"")),"COMPLETE",IF(OR(C352&lt;&gt;"",M352&lt;&gt;""),"PARTIAL","MISSING"))</f>
        <v/>
      </c>
      <c r="V352" s="11">
        <f>IF(Q352="UNKNOWN","Check fluid description",IF(AND(R352&lt;&gt;"",S352&lt;&gt;""),"Ready for contact screening","Needs TVD + thickness"))</f>
        <v/>
      </c>
    </row>
    <row r="353">
      <c r="A353" s="9" t="n"/>
      <c r="B353" s="9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9" t="n"/>
      <c r="N353" s="9" t="n"/>
      <c r="O353" s="10" t="n"/>
      <c r="P353" s="9" t="n"/>
      <c r="Q353" s="11">
        <f>IF(P353&lt;&gt;"",P353,IF(M353="","UNKNOWN",IF(AND(ISNUMBER(SEARCH("gas",LOWER(M353))),ISNUMBER(SEARCH("water",LOWER(M353)))),"GAS_WATER",IF(AND(ISNUMBER(SEARCH("oil",LOWER(M353))),ISNUMBER(SEARCH("water",LOWER(M353)))),"OIL_WATER",IF(ISNUMBER(SEARCH("gas",LOWER(M353))),"GAS",IF(ISNUMBER(SEARCH("water",LOWER(M353))),"WATER",IF(ISNUMBER(SEARCH("oil",LOWER(M353))),"OIL","UNKNOWN")))))))</f>
        <v/>
      </c>
      <c r="R353" s="12">
        <f>IF(C353="","",C353)</f>
        <v/>
      </c>
      <c r="S353" s="12">
        <f>IF(R353="","",R353+IF(O353&lt;&gt;"",O353,IF(H353="",0,H353)))</f>
        <v/>
      </c>
      <c r="T353" s="12">
        <f>IF(R353="","",MAX(Settings!$B$3,Settings!$B$4*IF(O353&lt;&gt;"",O353,IF(H353="",0,H353))))</f>
        <v/>
      </c>
      <c r="U353" s="11">
        <f>IF(AND(C353&lt;&gt;"",M353&lt;&gt;"",OR(H353&lt;&gt;"",O353&lt;&gt;"")),"COMPLETE",IF(OR(C353&lt;&gt;"",M353&lt;&gt;""),"PARTIAL","MISSING"))</f>
        <v/>
      </c>
      <c r="V353" s="11">
        <f>IF(Q353="UNKNOWN","Check fluid description",IF(AND(R353&lt;&gt;"",S353&lt;&gt;""),"Ready for contact screening","Needs TVD + thickness"))</f>
        <v/>
      </c>
    </row>
    <row r="354">
      <c r="A354" s="9" t="n"/>
      <c r="B354" s="9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9" t="n"/>
      <c r="N354" s="9" t="n"/>
      <c r="O354" s="10" t="n"/>
      <c r="P354" s="9" t="n"/>
      <c r="Q354" s="11">
        <f>IF(P354&lt;&gt;"",P354,IF(M354="","UNKNOWN",IF(AND(ISNUMBER(SEARCH("gas",LOWER(M354))),ISNUMBER(SEARCH("water",LOWER(M354)))),"GAS_WATER",IF(AND(ISNUMBER(SEARCH("oil",LOWER(M354))),ISNUMBER(SEARCH("water",LOWER(M354)))),"OIL_WATER",IF(ISNUMBER(SEARCH("gas",LOWER(M354))),"GAS",IF(ISNUMBER(SEARCH("water",LOWER(M354))),"WATER",IF(ISNUMBER(SEARCH("oil",LOWER(M354))),"OIL","UNKNOWN")))))))</f>
        <v/>
      </c>
      <c r="R354" s="12">
        <f>IF(C354="","",C354)</f>
        <v/>
      </c>
      <c r="S354" s="12">
        <f>IF(R354="","",R354+IF(O354&lt;&gt;"",O354,IF(H354="",0,H354)))</f>
        <v/>
      </c>
      <c r="T354" s="12">
        <f>IF(R354="","",MAX(Settings!$B$3,Settings!$B$4*IF(O354&lt;&gt;"",O354,IF(H354="",0,H354))))</f>
        <v/>
      </c>
      <c r="U354" s="11">
        <f>IF(AND(C354&lt;&gt;"",M354&lt;&gt;"",OR(H354&lt;&gt;"",O354&lt;&gt;"")),"COMPLETE",IF(OR(C354&lt;&gt;"",M354&lt;&gt;""),"PARTIAL","MISSING"))</f>
        <v/>
      </c>
      <c r="V354" s="11">
        <f>IF(Q354="UNKNOWN","Check fluid description",IF(AND(R354&lt;&gt;"",S354&lt;&gt;""),"Ready for contact screening","Needs TVD + thickness"))</f>
        <v/>
      </c>
    </row>
    <row r="355">
      <c r="A355" s="9" t="n"/>
      <c r="B355" s="9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9" t="n"/>
      <c r="N355" s="9" t="n"/>
      <c r="O355" s="10" t="n"/>
      <c r="P355" s="9" t="n"/>
      <c r="Q355" s="11">
        <f>IF(P355&lt;&gt;"",P355,IF(M355="","UNKNOWN",IF(AND(ISNUMBER(SEARCH("gas",LOWER(M355))),ISNUMBER(SEARCH("water",LOWER(M355)))),"GAS_WATER",IF(AND(ISNUMBER(SEARCH("oil",LOWER(M355))),ISNUMBER(SEARCH("water",LOWER(M355)))),"OIL_WATER",IF(ISNUMBER(SEARCH("gas",LOWER(M355))),"GAS",IF(ISNUMBER(SEARCH("water",LOWER(M355))),"WATER",IF(ISNUMBER(SEARCH("oil",LOWER(M355))),"OIL","UNKNOWN")))))))</f>
        <v/>
      </c>
      <c r="R355" s="12">
        <f>IF(C355="","",C355)</f>
        <v/>
      </c>
      <c r="S355" s="12">
        <f>IF(R355="","",R355+IF(O355&lt;&gt;"",O355,IF(H355="",0,H355)))</f>
        <v/>
      </c>
      <c r="T355" s="12">
        <f>IF(R355="","",MAX(Settings!$B$3,Settings!$B$4*IF(O355&lt;&gt;"",O355,IF(H355="",0,H355))))</f>
        <v/>
      </c>
      <c r="U355" s="11">
        <f>IF(AND(C355&lt;&gt;"",M355&lt;&gt;"",OR(H355&lt;&gt;"",O355&lt;&gt;"")),"COMPLETE",IF(OR(C355&lt;&gt;"",M355&lt;&gt;""),"PARTIAL","MISSING"))</f>
        <v/>
      </c>
      <c r="V355" s="11">
        <f>IF(Q355="UNKNOWN","Check fluid description",IF(AND(R355&lt;&gt;"",S355&lt;&gt;""),"Ready for contact screening","Needs TVD + thickness"))</f>
        <v/>
      </c>
    </row>
    <row r="356">
      <c r="A356" s="9" t="n"/>
      <c r="B356" s="9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9" t="n"/>
      <c r="N356" s="9" t="n"/>
      <c r="O356" s="10" t="n"/>
      <c r="P356" s="9" t="n"/>
      <c r="Q356" s="11">
        <f>IF(P356&lt;&gt;"",P356,IF(M356="","UNKNOWN",IF(AND(ISNUMBER(SEARCH("gas",LOWER(M356))),ISNUMBER(SEARCH("water",LOWER(M356)))),"GAS_WATER",IF(AND(ISNUMBER(SEARCH("oil",LOWER(M356))),ISNUMBER(SEARCH("water",LOWER(M356)))),"OIL_WATER",IF(ISNUMBER(SEARCH("gas",LOWER(M356))),"GAS",IF(ISNUMBER(SEARCH("water",LOWER(M356))),"WATER",IF(ISNUMBER(SEARCH("oil",LOWER(M356))),"OIL","UNKNOWN")))))))</f>
        <v/>
      </c>
      <c r="R356" s="12">
        <f>IF(C356="","",C356)</f>
        <v/>
      </c>
      <c r="S356" s="12">
        <f>IF(R356="","",R356+IF(O356&lt;&gt;"",O356,IF(H356="",0,H356)))</f>
        <v/>
      </c>
      <c r="T356" s="12">
        <f>IF(R356="","",MAX(Settings!$B$3,Settings!$B$4*IF(O356&lt;&gt;"",O356,IF(H356="",0,H356))))</f>
        <v/>
      </c>
      <c r="U356" s="11">
        <f>IF(AND(C356&lt;&gt;"",M356&lt;&gt;"",OR(H356&lt;&gt;"",O356&lt;&gt;"")),"COMPLETE",IF(OR(C356&lt;&gt;"",M356&lt;&gt;""),"PARTIAL","MISSING"))</f>
        <v/>
      </c>
      <c r="V356" s="11">
        <f>IF(Q356="UNKNOWN","Check fluid description",IF(AND(R356&lt;&gt;"",S356&lt;&gt;""),"Ready for contact screening","Needs TVD + thickness"))</f>
        <v/>
      </c>
    </row>
    <row r="357">
      <c r="A357" s="9" t="n"/>
      <c r="B357" s="9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9" t="n"/>
      <c r="N357" s="9" t="n"/>
      <c r="O357" s="10" t="n"/>
      <c r="P357" s="9" t="n"/>
      <c r="Q357" s="11">
        <f>IF(P357&lt;&gt;"",P357,IF(M357="","UNKNOWN",IF(AND(ISNUMBER(SEARCH("gas",LOWER(M357))),ISNUMBER(SEARCH("water",LOWER(M357)))),"GAS_WATER",IF(AND(ISNUMBER(SEARCH("oil",LOWER(M357))),ISNUMBER(SEARCH("water",LOWER(M357)))),"OIL_WATER",IF(ISNUMBER(SEARCH("gas",LOWER(M357))),"GAS",IF(ISNUMBER(SEARCH("water",LOWER(M357))),"WATER",IF(ISNUMBER(SEARCH("oil",LOWER(M357))),"OIL","UNKNOWN")))))))</f>
        <v/>
      </c>
      <c r="R357" s="12">
        <f>IF(C357="","",C357)</f>
        <v/>
      </c>
      <c r="S357" s="12">
        <f>IF(R357="","",R357+IF(O357&lt;&gt;"",O357,IF(H357="",0,H357)))</f>
        <v/>
      </c>
      <c r="T357" s="12">
        <f>IF(R357="","",MAX(Settings!$B$3,Settings!$B$4*IF(O357&lt;&gt;"",O357,IF(H357="",0,H357))))</f>
        <v/>
      </c>
      <c r="U357" s="11">
        <f>IF(AND(C357&lt;&gt;"",M357&lt;&gt;"",OR(H357&lt;&gt;"",O357&lt;&gt;"")),"COMPLETE",IF(OR(C357&lt;&gt;"",M357&lt;&gt;""),"PARTIAL","MISSING"))</f>
        <v/>
      </c>
      <c r="V357" s="11">
        <f>IF(Q357="UNKNOWN","Check fluid description",IF(AND(R357&lt;&gt;"",S357&lt;&gt;""),"Ready for contact screening","Needs TVD + thickness"))</f>
        <v/>
      </c>
    </row>
    <row r="358">
      <c r="A358" s="9" t="n"/>
      <c r="B358" s="9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9" t="n"/>
      <c r="N358" s="9" t="n"/>
      <c r="O358" s="10" t="n"/>
      <c r="P358" s="9" t="n"/>
      <c r="Q358" s="11">
        <f>IF(P358&lt;&gt;"",P358,IF(M358="","UNKNOWN",IF(AND(ISNUMBER(SEARCH("gas",LOWER(M358))),ISNUMBER(SEARCH("water",LOWER(M358)))),"GAS_WATER",IF(AND(ISNUMBER(SEARCH("oil",LOWER(M358))),ISNUMBER(SEARCH("water",LOWER(M358)))),"OIL_WATER",IF(ISNUMBER(SEARCH("gas",LOWER(M358))),"GAS",IF(ISNUMBER(SEARCH("water",LOWER(M358))),"WATER",IF(ISNUMBER(SEARCH("oil",LOWER(M358))),"OIL","UNKNOWN")))))))</f>
        <v/>
      </c>
      <c r="R358" s="12">
        <f>IF(C358="","",C358)</f>
        <v/>
      </c>
      <c r="S358" s="12">
        <f>IF(R358="","",R358+IF(O358&lt;&gt;"",O358,IF(H358="",0,H358)))</f>
        <v/>
      </c>
      <c r="T358" s="12">
        <f>IF(R358="","",MAX(Settings!$B$3,Settings!$B$4*IF(O358&lt;&gt;"",O358,IF(H358="",0,H358))))</f>
        <v/>
      </c>
      <c r="U358" s="11">
        <f>IF(AND(C358&lt;&gt;"",M358&lt;&gt;"",OR(H358&lt;&gt;"",O358&lt;&gt;"")),"COMPLETE",IF(OR(C358&lt;&gt;"",M358&lt;&gt;""),"PARTIAL","MISSING"))</f>
        <v/>
      </c>
      <c r="V358" s="11">
        <f>IF(Q358="UNKNOWN","Check fluid description",IF(AND(R358&lt;&gt;"",S358&lt;&gt;""),"Ready for contact screening","Needs TVD + thickness"))</f>
        <v/>
      </c>
    </row>
    <row r="359">
      <c r="A359" s="9" t="n"/>
      <c r="B359" s="9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9" t="n"/>
      <c r="N359" s="9" t="n"/>
      <c r="O359" s="10" t="n"/>
      <c r="P359" s="9" t="n"/>
      <c r="Q359" s="11">
        <f>IF(P359&lt;&gt;"",P359,IF(M359="","UNKNOWN",IF(AND(ISNUMBER(SEARCH("gas",LOWER(M359))),ISNUMBER(SEARCH("water",LOWER(M359)))),"GAS_WATER",IF(AND(ISNUMBER(SEARCH("oil",LOWER(M359))),ISNUMBER(SEARCH("water",LOWER(M359)))),"OIL_WATER",IF(ISNUMBER(SEARCH("gas",LOWER(M359))),"GAS",IF(ISNUMBER(SEARCH("water",LOWER(M359))),"WATER",IF(ISNUMBER(SEARCH("oil",LOWER(M359))),"OIL","UNKNOWN")))))))</f>
        <v/>
      </c>
      <c r="R359" s="12">
        <f>IF(C359="","",C359)</f>
        <v/>
      </c>
      <c r="S359" s="12">
        <f>IF(R359="","",R359+IF(O359&lt;&gt;"",O359,IF(H359="",0,H359)))</f>
        <v/>
      </c>
      <c r="T359" s="12">
        <f>IF(R359="","",MAX(Settings!$B$3,Settings!$B$4*IF(O359&lt;&gt;"",O359,IF(H359="",0,H359))))</f>
        <v/>
      </c>
      <c r="U359" s="11">
        <f>IF(AND(C359&lt;&gt;"",M359&lt;&gt;"",OR(H359&lt;&gt;"",O359&lt;&gt;"")),"COMPLETE",IF(OR(C359&lt;&gt;"",M359&lt;&gt;""),"PARTIAL","MISSING"))</f>
        <v/>
      </c>
      <c r="V359" s="11">
        <f>IF(Q359="UNKNOWN","Check fluid description",IF(AND(R359&lt;&gt;"",S359&lt;&gt;""),"Ready for contact screening","Needs TVD + thickness"))</f>
        <v/>
      </c>
    </row>
    <row r="360">
      <c r="A360" s="9" t="n"/>
      <c r="B360" s="9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9" t="n"/>
      <c r="N360" s="9" t="n"/>
      <c r="O360" s="10" t="n"/>
      <c r="P360" s="9" t="n"/>
      <c r="Q360" s="11">
        <f>IF(P360&lt;&gt;"",P360,IF(M360="","UNKNOWN",IF(AND(ISNUMBER(SEARCH("gas",LOWER(M360))),ISNUMBER(SEARCH("water",LOWER(M360)))),"GAS_WATER",IF(AND(ISNUMBER(SEARCH("oil",LOWER(M360))),ISNUMBER(SEARCH("water",LOWER(M360)))),"OIL_WATER",IF(ISNUMBER(SEARCH("gas",LOWER(M360))),"GAS",IF(ISNUMBER(SEARCH("water",LOWER(M360))),"WATER",IF(ISNUMBER(SEARCH("oil",LOWER(M360))),"OIL","UNKNOWN")))))))</f>
        <v/>
      </c>
      <c r="R360" s="12">
        <f>IF(C360="","",C360)</f>
        <v/>
      </c>
      <c r="S360" s="12">
        <f>IF(R360="","",R360+IF(O360&lt;&gt;"",O360,IF(H360="",0,H360)))</f>
        <v/>
      </c>
      <c r="T360" s="12">
        <f>IF(R360="","",MAX(Settings!$B$3,Settings!$B$4*IF(O360&lt;&gt;"",O360,IF(H360="",0,H360))))</f>
        <v/>
      </c>
      <c r="U360" s="11">
        <f>IF(AND(C360&lt;&gt;"",M360&lt;&gt;"",OR(H360&lt;&gt;"",O360&lt;&gt;"")),"COMPLETE",IF(OR(C360&lt;&gt;"",M360&lt;&gt;""),"PARTIAL","MISSING"))</f>
        <v/>
      </c>
      <c r="V360" s="11">
        <f>IF(Q360="UNKNOWN","Check fluid description",IF(AND(R360&lt;&gt;"",S360&lt;&gt;""),"Ready for contact screening","Needs TVD + thickness"))</f>
        <v/>
      </c>
    </row>
    <row r="361">
      <c r="A361" s="9" t="n"/>
      <c r="B361" s="9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9" t="n"/>
      <c r="N361" s="9" t="n"/>
      <c r="O361" s="10" t="n"/>
      <c r="P361" s="9" t="n"/>
      <c r="Q361" s="11">
        <f>IF(P361&lt;&gt;"",P361,IF(M361="","UNKNOWN",IF(AND(ISNUMBER(SEARCH("gas",LOWER(M361))),ISNUMBER(SEARCH("water",LOWER(M361)))),"GAS_WATER",IF(AND(ISNUMBER(SEARCH("oil",LOWER(M361))),ISNUMBER(SEARCH("water",LOWER(M361)))),"OIL_WATER",IF(ISNUMBER(SEARCH("gas",LOWER(M361))),"GAS",IF(ISNUMBER(SEARCH("water",LOWER(M361))),"WATER",IF(ISNUMBER(SEARCH("oil",LOWER(M361))),"OIL","UNKNOWN")))))))</f>
        <v/>
      </c>
      <c r="R361" s="12">
        <f>IF(C361="","",C361)</f>
        <v/>
      </c>
      <c r="S361" s="12">
        <f>IF(R361="","",R361+IF(O361&lt;&gt;"",O361,IF(H361="",0,H361)))</f>
        <v/>
      </c>
      <c r="T361" s="12">
        <f>IF(R361="","",MAX(Settings!$B$3,Settings!$B$4*IF(O361&lt;&gt;"",O361,IF(H361="",0,H361))))</f>
        <v/>
      </c>
      <c r="U361" s="11">
        <f>IF(AND(C361&lt;&gt;"",M361&lt;&gt;"",OR(H361&lt;&gt;"",O361&lt;&gt;"")),"COMPLETE",IF(OR(C361&lt;&gt;"",M361&lt;&gt;""),"PARTIAL","MISSING"))</f>
        <v/>
      </c>
      <c r="V361" s="11">
        <f>IF(Q361="UNKNOWN","Check fluid description",IF(AND(R361&lt;&gt;"",S361&lt;&gt;""),"Ready for contact screening","Needs TVD + thickness"))</f>
        <v/>
      </c>
    </row>
    <row r="362">
      <c r="A362" s="9" t="n"/>
      <c r="B362" s="9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9" t="n"/>
      <c r="N362" s="9" t="n"/>
      <c r="O362" s="10" t="n"/>
      <c r="P362" s="9" t="n"/>
      <c r="Q362" s="11">
        <f>IF(P362&lt;&gt;"",P362,IF(M362="","UNKNOWN",IF(AND(ISNUMBER(SEARCH("gas",LOWER(M362))),ISNUMBER(SEARCH("water",LOWER(M362)))),"GAS_WATER",IF(AND(ISNUMBER(SEARCH("oil",LOWER(M362))),ISNUMBER(SEARCH("water",LOWER(M362)))),"OIL_WATER",IF(ISNUMBER(SEARCH("gas",LOWER(M362))),"GAS",IF(ISNUMBER(SEARCH("water",LOWER(M362))),"WATER",IF(ISNUMBER(SEARCH("oil",LOWER(M362))),"OIL","UNKNOWN")))))))</f>
        <v/>
      </c>
      <c r="R362" s="12">
        <f>IF(C362="","",C362)</f>
        <v/>
      </c>
      <c r="S362" s="12">
        <f>IF(R362="","",R362+IF(O362&lt;&gt;"",O362,IF(H362="",0,H362)))</f>
        <v/>
      </c>
      <c r="T362" s="12">
        <f>IF(R362="","",MAX(Settings!$B$3,Settings!$B$4*IF(O362&lt;&gt;"",O362,IF(H362="",0,H362))))</f>
        <v/>
      </c>
      <c r="U362" s="11">
        <f>IF(AND(C362&lt;&gt;"",M362&lt;&gt;"",OR(H362&lt;&gt;"",O362&lt;&gt;"")),"COMPLETE",IF(OR(C362&lt;&gt;"",M362&lt;&gt;""),"PARTIAL","MISSING"))</f>
        <v/>
      </c>
      <c r="V362" s="11">
        <f>IF(Q362="UNKNOWN","Check fluid description",IF(AND(R362&lt;&gt;"",S362&lt;&gt;""),"Ready for contact screening","Needs TVD + thickness"))</f>
        <v/>
      </c>
    </row>
    <row r="363">
      <c r="A363" s="9" t="n"/>
      <c r="B363" s="9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9" t="n"/>
      <c r="N363" s="9" t="n"/>
      <c r="O363" s="10" t="n"/>
      <c r="P363" s="9" t="n"/>
      <c r="Q363" s="11">
        <f>IF(P363&lt;&gt;"",P363,IF(M363="","UNKNOWN",IF(AND(ISNUMBER(SEARCH("gas",LOWER(M363))),ISNUMBER(SEARCH("water",LOWER(M363)))),"GAS_WATER",IF(AND(ISNUMBER(SEARCH("oil",LOWER(M363))),ISNUMBER(SEARCH("water",LOWER(M363)))),"OIL_WATER",IF(ISNUMBER(SEARCH("gas",LOWER(M363))),"GAS",IF(ISNUMBER(SEARCH("water",LOWER(M363))),"WATER",IF(ISNUMBER(SEARCH("oil",LOWER(M363))),"OIL","UNKNOWN")))))))</f>
        <v/>
      </c>
      <c r="R363" s="12">
        <f>IF(C363="","",C363)</f>
        <v/>
      </c>
      <c r="S363" s="12">
        <f>IF(R363="","",R363+IF(O363&lt;&gt;"",O363,IF(H363="",0,H363)))</f>
        <v/>
      </c>
      <c r="T363" s="12">
        <f>IF(R363="","",MAX(Settings!$B$3,Settings!$B$4*IF(O363&lt;&gt;"",O363,IF(H363="",0,H363))))</f>
        <v/>
      </c>
      <c r="U363" s="11">
        <f>IF(AND(C363&lt;&gt;"",M363&lt;&gt;"",OR(H363&lt;&gt;"",O363&lt;&gt;"")),"COMPLETE",IF(OR(C363&lt;&gt;"",M363&lt;&gt;""),"PARTIAL","MISSING"))</f>
        <v/>
      </c>
      <c r="V363" s="11">
        <f>IF(Q363="UNKNOWN","Check fluid description",IF(AND(R363&lt;&gt;"",S363&lt;&gt;""),"Ready for contact screening","Needs TVD + thickness"))</f>
        <v/>
      </c>
    </row>
    <row r="364">
      <c r="A364" s="9" t="n"/>
      <c r="B364" s="9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9" t="n"/>
      <c r="N364" s="9" t="n"/>
      <c r="O364" s="10" t="n"/>
      <c r="P364" s="9" t="n"/>
      <c r="Q364" s="11">
        <f>IF(P364&lt;&gt;"",P364,IF(M364="","UNKNOWN",IF(AND(ISNUMBER(SEARCH("gas",LOWER(M364))),ISNUMBER(SEARCH("water",LOWER(M364)))),"GAS_WATER",IF(AND(ISNUMBER(SEARCH("oil",LOWER(M364))),ISNUMBER(SEARCH("water",LOWER(M364)))),"OIL_WATER",IF(ISNUMBER(SEARCH("gas",LOWER(M364))),"GAS",IF(ISNUMBER(SEARCH("water",LOWER(M364))),"WATER",IF(ISNUMBER(SEARCH("oil",LOWER(M364))),"OIL","UNKNOWN")))))))</f>
        <v/>
      </c>
      <c r="R364" s="12">
        <f>IF(C364="","",C364)</f>
        <v/>
      </c>
      <c r="S364" s="12">
        <f>IF(R364="","",R364+IF(O364&lt;&gt;"",O364,IF(H364="",0,H364)))</f>
        <v/>
      </c>
      <c r="T364" s="12">
        <f>IF(R364="","",MAX(Settings!$B$3,Settings!$B$4*IF(O364&lt;&gt;"",O364,IF(H364="",0,H364))))</f>
        <v/>
      </c>
      <c r="U364" s="11">
        <f>IF(AND(C364&lt;&gt;"",M364&lt;&gt;"",OR(H364&lt;&gt;"",O364&lt;&gt;"")),"COMPLETE",IF(OR(C364&lt;&gt;"",M364&lt;&gt;""),"PARTIAL","MISSING"))</f>
        <v/>
      </c>
      <c r="V364" s="11">
        <f>IF(Q364="UNKNOWN","Check fluid description",IF(AND(R364&lt;&gt;"",S364&lt;&gt;""),"Ready for contact screening","Needs TVD + thickness"))</f>
        <v/>
      </c>
    </row>
    <row r="365">
      <c r="A365" s="9" t="n"/>
      <c r="B365" s="9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9" t="n"/>
      <c r="N365" s="9" t="n"/>
      <c r="O365" s="10" t="n"/>
      <c r="P365" s="9" t="n"/>
      <c r="Q365" s="11">
        <f>IF(P365&lt;&gt;"",P365,IF(M365="","UNKNOWN",IF(AND(ISNUMBER(SEARCH("gas",LOWER(M365))),ISNUMBER(SEARCH("water",LOWER(M365)))),"GAS_WATER",IF(AND(ISNUMBER(SEARCH("oil",LOWER(M365))),ISNUMBER(SEARCH("water",LOWER(M365)))),"OIL_WATER",IF(ISNUMBER(SEARCH("gas",LOWER(M365))),"GAS",IF(ISNUMBER(SEARCH("water",LOWER(M365))),"WATER",IF(ISNUMBER(SEARCH("oil",LOWER(M365))),"OIL","UNKNOWN")))))))</f>
        <v/>
      </c>
      <c r="R365" s="12">
        <f>IF(C365="","",C365)</f>
        <v/>
      </c>
      <c r="S365" s="12">
        <f>IF(R365="","",R365+IF(O365&lt;&gt;"",O365,IF(H365="",0,H365)))</f>
        <v/>
      </c>
      <c r="T365" s="12">
        <f>IF(R365="","",MAX(Settings!$B$3,Settings!$B$4*IF(O365&lt;&gt;"",O365,IF(H365="",0,H365))))</f>
        <v/>
      </c>
      <c r="U365" s="11">
        <f>IF(AND(C365&lt;&gt;"",M365&lt;&gt;"",OR(H365&lt;&gt;"",O365&lt;&gt;"")),"COMPLETE",IF(OR(C365&lt;&gt;"",M365&lt;&gt;""),"PARTIAL","MISSING"))</f>
        <v/>
      </c>
      <c r="V365" s="11">
        <f>IF(Q365="UNKNOWN","Check fluid description",IF(AND(R365&lt;&gt;"",S365&lt;&gt;""),"Ready for contact screening","Needs TVD + thickness"))</f>
        <v/>
      </c>
    </row>
    <row r="366">
      <c r="A366" s="9" t="n"/>
      <c r="B366" s="9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9" t="n"/>
      <c r="N366" s="9" t="n"/>
      <c r="O366" s="10" t="n"/>
      <c r="P366" s="9" t="n"/>
      <c r="Q366" s="11">
        <f>IF(P366&lt;&gt;"",P366,IF(M366="","UNKNOWN",IF(AND(ISNUMBER(SEARCH("gas",LOWER(M366))),ISNUMBER(SEARCH("water",LOWER(M366)))),"GAS_WATER",IF(AND(ISNUMBER(SEARCH("oil",LOWER(M366))),ISNUMBER(SEARCH("water",LOWER(M366)))),"OIL_WATER",IF(ISNUMBER(SEARCH("gas",LOWER(M366))),"GAS",IF(ISNUMBER(SEARCH("water",LOWER(M366))),"WATER",IF(ISNUMBER(SEARCH("oil",LOWER(M366))),"OIL","UNKNOWN")))))))</f>
        <v/>
      </c>
      <c r="R366" s="12">
        <f>IF(C366="","",C366)</f>
        <v/>
      </c>
      <c r="S366" s="12">
        <f>IF(R366="","",R366+IF(O366&lt;&gt;"",O366,IF(H366="",0,H366)))</f>
        <v/>
      </c>
      <c r="T366" s="12">
        <f>IF(R366="","",MAX(Settings!$B$3,Settings!$B$4*IF(O366&lt;&gt;"",O366,IF(H366="",0,H366))))</f>
        <v/>
      </c>
      <c r="U366" s="11">
        <f>IF(AND(C366&lt;&gt;"",M366&lt;&gt;"",OR(H366&lt;&gt;"",O366&lt;&gt;"")),"COMPLETE",IF(OR(C366&lt;&gt;"",M366&lt;&gt;""),"PARTIAL","MISSING"))</f>
        <v/>
      </c>
      <c r="V366" s="11">
        <f>IF(Q366="UNKNOWN","Check fluid description",IF(AND(R366&lt;&gt;"",S366&lt;&gt;""),"Ready for contact screening","Needs TVD + thickness"))</f>
        <v/>
      </c>
    </row>
    <row r="367">
      <c r="A367" s="9" t="n"/>
      <c r="B367" s="9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9" t="n"/>
      <c r="N367" s="9" t="n"/>
      <c r="O367" s="10" t="n"/>
      <c r="P367" s="9" t="n"/>
      <c r="Q367" s="11">
        <f>IF(P367&lt;&gt;"",P367,IF(M367="","UNKNOWN",IF(AND(ISNUMBER(SEARCH("gas",LOWER(M367))),ISNUMBER(SEARCH("water",LOWER(M367)))),"GAS_WATER",IF(AND(ISNUMBER(SEARCH("oil",LOWER(M367))),ISNUMBER(SEARCH("water",LOWER(M367)))),"OIL_WATER",IF(ISNUMBER(SEARCH("gas",LOWER(M367))),"GAS",IF(ISNUMBER(SEARCH("water",LOWER(M367))),"WATER",IF(ISNUMBER(SEARCH("oil",LOWER(M367))),"OIL","UNKNOWN")))))))</f>
        <v/>
      </c>
      <c r="R367" s="12">
        <f>IF(C367="","",C367)</f>
        <v/>
      </c>
      <c r="S367" s="12">
        <f>IF(R367="","",R367+IF(O367&lt;&gt;"",O367,IF(H367="",0,H367)))</f>
        <v/>
      </c>
      <c r="T367" s="12">
        <f>IF(R367="","",MAX(Settings!$B$3,Settings!$B$4*IF(O367&lt;&gt;"",O367,IF(H367="",0,H367))))</f>
        <v/>
      </c>
      <c r="U367" s="11">
        <f>IF(AND(C367&lt;&gt;"",M367&lt;&gt;"",OR(H367&lt;&gt;"",O367&lt;&gt;"")),"COMPLETE",IF(OR(C367&lt;&gt;"",M367&lt;&gt;""),"PARTIAL","MISSING"))</f>
        <v/>
      </c>
      <c r="V367" s="11">
        <f>IF(Q367="UNKNOWN","Check fluid description",IF(AND(R367&lt;&gt;"",S367&lt;&gt;""),"Ready for contact screening","Needs TVD + thickness"))</f>
        <v/>
      </c>
    </row>
    <row r="368">
      <c r="A368" s="9" t="n"/>
      <c r="B368" s="9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9" t="n"/>
      <c r="N368" s="9" t="n"/>
      <c r="O368" s="10" t="n"/>
      <c r="P368" s="9" t="n"/>
      <c r="Q368" s="11">
        <f>IF(P368&lt;&gt;"",P368,IF(M368="","UNKNOWN",IF(AND(ISNUMBER(SEARCH("gas",LOWER(M368))),ISNUMBER(SEARCH("water",LOWER(M368)))),"GAS_WATER",IF(AND(ISNUMBER(SEARCH("oil",LOWER(M368))),ISNUMBER(SEARCH("water",LOWER(M368)))),"OIL_WATER",IF(ISNUMBER(SEARCH("gas",LOWER(M368))),"GAS",IF(ISNUMBER(SEARCH("water",LOWER(M368))),"WATER",IF(ISNUMBER(SEARCH("oil",LOWER(M368))),"OIL","UNKNOWN")))))))</f>
        <v/>
      </c>
      <c r="R368" s="12">
        <f>IF(C368="","",C368)</f>
        <v/>
      </c>
      <c r="S368" s="12">
        <f>IF(R368="","",R368+IF(O368&lt;&gt;"",O368,IF(H368="",0,H368)))</f>
        <v/>
      </c>
      <c r="T368" s="12">
        <f>IF(R368="","",MAX(Settings!$B$3,Settings!$B$4*IF(O368&lt;&gt;"",O368,IF(H368="",0,H368))))</f>
        <v/>
      </c>
      <c r="U368" s="11">
        <f>IF(AND(C368&lt;&gt;"",M368&lt;&gt;"",OR(H368&lt;&gt;"",O368&lt;&gt;"")),"COMPLETE",IF(OR(C368&lt;&gt;"",M368&lt;&gt;""),"PARTIAL","MISSING"))</f>
        <v/>
      </c>
      <c r="V368" s="11">
        <f>IF(Q368="UNKNOWN","Check fluid description",IF(AND(R368&lt;&gt;"",S368&lt;&gt;""),"Ready for contact screening","Needs TVD + thickness"))</f>
        <v/>
      </c>
    </row>
    <row r="369">
      <c r="A369" s="9" t="n"/>
      <c r="B369" s="9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9" t="n"/>
      <c r="N369" s="9" t="n"/>
      <c r="O369" s="10" t="n"/>
      <c r="P369" s="9" t="n"/>
      <c r="Q369" s="11">
        <f>IF(P369&lt;&gt;"",P369,IF(M369="","UNKNOWN",IF(AND(ISNUMBER(SEARCH("gas",LOWER(M369))),ISNUMBER(SEARCH("water",LOWER(M369)))),"GAS_WATER",IF(AND(ISNUMBER(SEARCH("oil",LOWER(M369))),ISNUMBER(SEARCH("water",LOWER(M369)))),"OIL_WATER",IF(ISNUMBER(SEARCH("gas",LOWER(M369))),"GAS",IF(ISNUMBER(SEARCH("water",LOWER(M369))),"WATER",IF(ISNUMBER(SEARCH("oil",LOWER(M369))),"OIL","UNKNOWN")))))))</f>
        <v/>
      </c>
      <c r="R369" s="12">
        <f>IF(C369="","",C369)</f>
        <v/>
      </c>
      <c r="S369" s="12">
        <f>IF(R369="","",R369+IF(O369&lt;&gt;"",O369,IF(H369="",0,H369)))</f>
        <v/>
      </c>
      <c r="T369" s="12">
        <f>IF(R369="","",MAX(Settings!$B$3,Settings!$B$4*IF(O369&lt;&gt;"",O369,IF(H369="",0,H369))))</f>
        <v/>
      </c>
      <c r="U369" s="11">
        <f>IF(AND(C369&lt;&gt;"",M369&lt;&gt;"",OR(H369&lt;&gt;"",O369&lt;&gt;"")),"COMPLETE",IF(OR(C369&lt;&gt;"",M369&lt;&gt;""),"PARTIAL","MISSING"))</f>
        <v/>
      </c>
      <c r="V369" s="11">
        <f>IF(Q369="UNKNOWN","Check fluid description",IF(AND(R369&lt;&gt;"",S369&lt;&gt;""),"Ready for contact screening","Needs TVD + thickness"))</f>
        <v/>
      </c>
    </row>
    <row r="370">
      <c r="A370" s="9" t="n"/>
      <c r="B370" s="9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9" t="n"/>
      <c r="N370" s="9" t="n"/>
      <c r="O370" s="10" t="n"/>
      <c r="P370" s="9" t="n"/>
      <c r="Q370" s="11">
        <f>IF(P370&lt;&gt;"",P370,IF(M370="","UNKNOWN",IF(AND(ISNUMBER(SEARCH("gas",LOWER(M370))),ISNUMBER(SEARCH("water",LOWER(M370)))),"GAS_WATER",IF(AND(ISNUMBER(SEARCH("oil",LOWER(M370))),ISNUMBER(SEARCH("water",LOWER(M370)))),"OIL_WATER",IF(ISNUMBER(SEARCH("gas",LOWER(M370))),"GAS",IF(ISNUMBER(SEARCH("water",LOWER(M370))),"WATER",IF(ISNUMBER(SEARCH("oil",LOWER(M370))),"OIL","UNKNOWN")))))))</f>
        <v/>
      </c>
      <c r="R370" s="12">
        <f>IF(C370="","",C370)</f>
        <v/>
      </c>
      <c r="S370" s="12">
        <f>IF(R370="","",R370+IF(O370&lt;&gt;"",O370,IF(H370="",0,H370)))</f>
        <v/>
      </c>
      <c r="T370" s="12">
        <f>IF(R370="","",MAX(Settings!$B$3,Settings!$B$4*IF(O370&lt;&gt;"",O370,IF(H370="",0,H370))))</f>
        <v/>
      </c>
      <c r="U370" s="11">
        <f>IF(AND(C370&lt;&gt;"",M370&lt;&gt;"",OR(H370&lt;&gt;"",O370&lt;&gt;"")),"COMPLETE",IF(OR(C370&lt;&gt;"",M370&lt;&gt;""),"PARTIAL","MISSING"))</f>
        <v/>
      </c>
      <c r="V370" s="11">
        <f>IF(Q370="UNKNOWN","Check fluid description",IF(AND(R370&lt;&gt;"",S370&lt;&gt;""),"Ready for contact screening","Needs TVD + thickness"))</f>
        <v/>
      </c>
    </row>
    <row r="371">
      <c r="A371" s="9" t="n"/>
      <c r="B371" s="9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9" t="n"/>
      <c r="N371" s="9" t="n"/>
      <c r="O371" s="10" t="n"/>
      <c r="P371" s="9" t="n"/>
      <c r="Q371" s="11">
        <f>IF(P371&lt;&gt;"",P371,IF(M371="","UNKNOWN",IF(AND(ISNUMBER(SEARCH("gas",LOWER(M371))),ISNUMBER(SEARCH("water",LOWER(M371)))),"GAS_WATER",IF(AND(ISNUMBER(SEARCH("oil",LOWER(M371))),ISNUMBER(SEARCH("water",LOWER(M371)))),"OIL_WATER",IF(ISNUMBER(SEARCH("gas",LOWER(M371))),"GAS",IF(ISNUMBER(SEARCH("water",LOWER(M371))),"WATER",IF(ISNUMBER(SEARCH("oil",LOWER(M371))),"OIL","UNKNOWN")))))))</f>
        <v/>
      </c>
      <c r="R371" s="12">
        <f>IF(C371="","",C371)</f>
        <v/>
      </c>
      <c r="S371" s="12">
        <f>IF(R371="","",R371+IF(O371&lt;&gt;"",O371,IF(H371="",0,H371)))</f>
        <v/>
      </c>
      <c r="T371" s="12">
        <f>IF(R371="","",MAX(Settings!$B$3,Settings!$B$4*IF(O371&lt;&gt;"",O371,IF(H371="",0,H371))))</f>
        <v/>
      </c>
      <c r="U371" s="11">
        <f>IF(AND(C371&lt;&gt;"",M371&lt;&gt;"",OR(H371&lt;&gt;"",O371&lt;&gt;"")),"COMPLETE",IF(OR(C371&lt;&gt;"",M371&lt;&gt;""),"PARTIAL","MISSING"))</f>
        <v/>
      </c>
      <c r="V371" s="11">
        <f>IF(Q371="UNKNOWN","Check fluid description",IF(AND(R371&lt;&gt;"",S371&lt;&gt;""),"Ready for contact screening","Needs TVD + thickness"))</f>
        <v/>
      </c>
    </row>
    <row r="372">
      <c r="A372" s="9" t="n"/>
      <c r="B372" s="9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9" t="n"/>
      <c r="N372" s="9" t="n"/>
      <c r="O372" s="10" t="n"/>
      <c r="P372" s="9" t="n"/>
      <c r="Q372" s="11">
        <f>IF(P372&lt;&gt;"",P372,IF(M372="","UNKNOWN",IF(AND(ISNUMBER(SEARCH("gas",LOWER(M372))),ISNUMBER(SEARCH("water",LOWER(M372)))),"GAS_WATER",IF(AND(ISNUMBER(SEARCH("oil",LOWER(M372))),ISNUMBER(SEARCH("water",LOWER(M372)))),"OIL_WATER",IF(ISNUMBER(SEARCH("gas",LOWER(M372))),"GAS",IF(ISNUMBER(SEARCH("water",LOWER(M372))),"WATER",IF(ISNUMBER(SEARCH("oil",LOWER(M372))),"OIL","UNKNOWN")))))))</f>
        <v/>
      </c>
      <c r="R372" s="12">
        <f>IF(C372="","",C372)</f>
        <v/>
      </c>
      <c r="S372" s="12">
        <f>IF(R372="","",R372+IF(O372&lt;&gt;"",O372,IF(H372="",0,H372)))</f>
        <v/>
      </c>
      <c r="T372" s="12">
        <f>IF(R372="","",MAX(Settings!$B$3,Settings!$B$4*IF(O372&lt;&gt;"",O372,IF(H372="",0,H372))))</f>
        <v/>
      </c>
      <c r="U372" s="11">
        <f>IF(AND(C372&lt;&gt;"",M372&lt;&gt;"",OR(H372&lt;&gt;"",O372&lt;&gt;"")),"COMPLETE",IF(OR(C372&lt;&gt;"",M372&lt;&gt;""),"PARTIAL","MISSING"))</f>
        <v/>
      </c>
      <c r="V372" s="11">
        <f>IF(Q372="UNKNOWN","Check fluid description",IF(AND(R372&lt;&gt;"",S372&lt;&gt;""),"Ready for contact screening","Needs TVD + thickness"))</f>
        <v/>
      </c>
    </row>
    <row r="373">
      <c r="A373" s="9" t="n"/>
      <c r="B373" s="9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9" t="n"/>
      <c r="N373" s="9" t="n"/>
      <c r="O373" s="10" t="n"/>
      <c r="P373" s="9" t="n"/>
      <c r="Q373" s="11">
        <f>IF(P373&lt;&gt;"",P373,IF(M373="","UNKNOWN",IF(AND(ISNUMBER(SEARCH("gas",LOWER(M373))),ISNUMBER(SEARCH("water",LOWER(M373)))),"GAS_WATER",IF(AND(ISNUMBER(SEARCH("oil",LOWER(M373))),ISNUMBER(SEARCH("water",LOWER(M373)))),"OIL_WATER",IF(ISNUMBER(SEARCH("gas",LOWER(M373))),"GAS",IF(ISNUMBER(SEARCH("water",LOWER(M373))),"WATER",IF(ISNUMBER(SEARCH("oil",LOWER(M373))),"OIL","UNKNOWN")))))))</f>
        <v/>
      </c>
      <c r="R373" s="12">
        <f>IF(C373="","",C373)</f>
        <v/>
      </c>
      <c r="S373" s="12">
        <f>IF(R373="","",R373+IF(O373&lt;&gt;"",O373,IF(H373="",0,H373)))</f>
        <v/>
      </c>
      <c r="T373" s="12">
        <f>IF(R373="","",MAX(Settings!$B$3,Settings!$B$4*IF(O373&lt;&gt;"",O373,IF(H373="",0,H373))))</f>
        <v/>
      </c>
      <c r="U373" s="11">
        <f>IF(AND(C373&lt;&gt;"",M373&lt;&gt;"",OR(H373&lt;&gt;"",O373&lt;&gt;"")),"COMPLETE",IF(OR(C373&lt;&gt;"",M373&lt;&gt;""),"PARTIAL","MISSING"))</f>
        <v/>
      </c>
      <c r="V373" s="11">
        <f>IF(Q373="UNKNOWN","Check fluid description",IF(AND(R373&lt;&gt;"",S373&lt;&gt;""),"Ready for contact screening","Needs TVD + thickness"))</f>
        <v/>
      </c>
    </row>
    <row r="374">
      <c r="A374" s="9" t="n"/>
      <c r="B374" s="9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9" t="n"/>
      <c r="N374" s="9" t="n"/>
      <c r="O374" s="10" t="n"/>
      <c r="P374" s="9" t="n"/>
      <c r="Q374" s="11">
        <f>IF(P374&lt;&gt;"",P374,IF(M374="","UNKNOWN",IF(AND(ISNUMBER(SEARCH("gas",LOWER(M374))),ISNUMBER(SEARCH("water",LOWER(M374)))),"GAS_WATER",IF(AND(ISNUMBER(SEARCH("oil",LOWER(M374))),ISNUMBER(SEARCH("water",LOWER(M374)))),"OIL_WATER",IF(ISNUMBER(SEARCH("gas",LOWER(M374))),"GAS",IF(ISNUMBER(SEARCH("water",LOWER(M374))),"WATER",IF(ISNUMBER(SEARCH("oil",LOWER(M374))),"OIL","UNKNOWN")))))))</f>
        <v/>
      </c>
      <c r="R374" s="12">
        <f>IF(C374="","",C374)</f>
        <v/>
      </c>
      <c r="S374" s="12">
        <f>IF(R374="","",R374+IF(O374&lt;&gt;"",O374,IF(H374="",0,H374)))</f>
        <v/>
      </c>
      <c r="T374" s="12">
        <f>IF(R374="","",MAX(Settings!$B$3,Settings!$B$4*IF(O374&lt;&gt;"",O374,IF(H374="",0,H374))))</f>
        <v/>
      </c>
      <c r="U374" s="11">
        <f>IF(AND(C374&lt;&gt;"",M374&lt;&gt;"",OR(H374&lt;&gt;"",O374&lt;&gt;"")),"COMPLETE",IF(OR(C374&lt;&gt;"",M374&lt;&gt;""),"PARTIAL","MISSING"))</f>
        <v/>
      </c>
      <c r="V374" s="11">
        <f>IF(Q374="UNKNOWN","Check fluid description",IF(AND(R374&lt;&gt;"",S374&lt;&gt;""),"Ready for contact screening","Needs TVD + thickness"))</f>
        <v/>
      </c>
    </row>
    <row r="375">
      <c r="A375" s="9" t="n"/>
      <c r="B375" s="9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9" t="n"/>
      <c r="N375" s="9" t="n"/>
      <c r="O375" s="10" t="n"/>
      <c r="P375" s="9" t="n"/>
      <c r="Q375" s="11">
        <f>IF(P375&lt;&gt;"",P375,IF(M375="","UNKNOWN",IF(AND(ISNUMBER(SEARCH("gas",LOWER(M375))),ISNUMBER(SEARCH("water",LOWER(M375)))),"GAS_WATER",IF(AND(ISNUMBER(SEARCH("oil",LOWER(M375))),ISNUMBER(SEARCH("water",LOWER(M375)))),"OIL_WATER",IF(ISNUMBER(SEARCH("gas",LOWER(M375))),"GAS",IF(ISNUMBER(SEARCH("water",LOWER(M375))),"WATER",IF(ISNUMBER(SEARCH("oil",LOWER(M375))),"OIL","UNKNOWN")))))))</f>
        <v/>
      </c>
      <c r="R375" s="12">
        <f>IF(C375="","",C375)</f>
        <v/>
      </c>
      <c r="S375" s="12">
        <f>IF(R375="","",R375+IF(O375&lt;&gt;"",O375,IF(H375="",0,H375)))</f>
        <v/>
      </c>
      <c r="T375" s="12">
        <f>IF(R375="","",MAX(Settings!$B$3,Settings!$B$4*IF(O375&lt;&gt;"",O375,IF(H375="",0,H375))))</f>
        <v/>
      </c>
      <c r="U375" s="11">
        <f>IF(AND(C375&lt;&gt;"",M375&lt;&gt;"",OR(H375&lt;&gt;"",O375&lt;&gt;"")),"COMPLETE",IF(OR(C375&lt;&gt;"",M375&lt;&gt;""),"PARTIAL","MISSING"))</f>
        <v/>
      </c>
      <c r="V375" s="11">
        <f>IF(Q375="UNKNOWN","Check fluid description",IF(AND(R375&lt;&gt;"",S375&lt;&gt;""),"Ready for contact screening","Needs TVD + thickness"))</f>
        <v/>
      </c>
    </row>
    <row r="376">
      <c r="A376" s="9" t="n"/>
      <c r="B376" s="9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9" t="n"/>
      <c r="N376" s="9" t="n"/>
      <c r="O376" s="10" t="n"/>
      <c r="P376" s="9" t="n"/>
      <c r="Q376" s="11">
        <f>IF(P376&lt;&gt;"",P376,IF(M376="","UNKNOWN",IF(AND(ISNUMBER(SEARCH("gas",LOWER(M376))),ISNUMBER(SEARCH("water",LOWER(M376)))),"GAS_WATER",IF(AND(ISNUMBER(SEARCH("oil",LOWER(M376))),ISNUMBER(SEARCH("water",LOWER(M376)))),"OIL_WATER",IF(ISNUMBER(SEARCH("gas",LOWER(M376))),"GAS",IF(ISNUMBER(SEARCH("water",LOWER(M376))),"WATER",IF(ISNUMBER(SEARCH("oil",LOWER(M376))),"OIL","UNKNOWN")))))))</f>
        <v/>
      </c>
      <c r="R376" s="12">
        <f>IF(C376="","",C376)</f>
        <v/>
      </c>
      <c r="S376" s="12">
        <f>IF(R376="","",R376+IF(O376&lt;&gt;"",O376,IF(H376="",0,H376)))</f>
        <v/>
      </c>
      <c r="T376" s="12">
        <f>IF(R376="","",MAX(Settings!$B$3,Settings!$B$4*IF(O376&lt;&gt;"",O376,IF(H376="",0,H376))))</f>
        <v/>
      </c>
      <c r="U376" s="11">
        <f>IF(AND(C376&lt;&gt;"",M376&lt;&gt;"",OR(H376&lt;&gt;"",O376&lt;&gt;"")),"COMPLETE",IF(OR(C376&lt;&gt;"",M376&lt;&gt;""),"PARTIAL","MISSING"))</f>
        <v/>
      </c>
      <c r="V376" s="11">
        <f>IF(Q376="UNKNOWN","Check fluid description",IF(AND(R376&lt;&gt;"",S376&lt;&gt;""),"Ready for contact screening","Needs TVD + thickness"))</f>
        <v/>
      </c>
    </row>
    <row r="377">
      <c r="A377" s="9" t="n"/>
      <c r="B377" s="9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9" t="n"/>
      <c r="N377" s="9" t="n"/>
      <c r="O377" s="10" t="n"/>
      <c r="P377" s="9" t="n"/>
      <c r="Q377" s="11">
        <f>IF(P377&lt;&gt;"",P377,IF(M377="","UNKNOWN",IF(AND(ISNUMBER(SEARCH("gas",LOWER(M377))),ISNUMBER(SEARCH("water",LOWER(M377)))),"GAS_WATER",IF(AND(ISNUMBER(SEARCH("oil",LOWER(M377))),ISNUMBER(SEARCH("water",LOWER(M377)))),"OIL_WATER",IF(ISNUMBER(SEARCH("gas",LOWER(M377))),"GAS",IF(ISNUMBER(SEARCH("water",LOWER(M377))),"WATER",IF(ISNUMBER(SEARCH("oil",LOWER(M377))),"OIL","UNKNOWN")))))))</f>
        <v/>
      </c>
      <c r="R377" s="12">
        <f>IF(C377="","",C377)</f>
        <v/>
      </c>
      <c r="S377" s="12">
        <f>IF(R377="","",R377+IF(O377&lt;&gt;"",O377,IF(H377="",0,H377)))</f>
        <v/>
      </c>
      <c r="T377" s="12">
        <f>IF(R377="","",MAX(Settings!$B$3,Settings!$B$4*IF(O377&lt;&gt;"",O377,IF(H377="",0,H377))))</f>
        <v/>
      </c>
      <c r="U377" s="11">
        <f>IF(AND(C377&lt;&gt;"",M377&lt;&gt;"",OR(H377&lt;&gt;"",O377&lt;&gt;"")),"COMPLETE",IF(OR(C377&lt;&gt;"",M377&lt;&gt;""),"PARTIAL","MISSING"))</f>
        <v/>
      </c>
      <c r="V377" s="11">
        <f>IF(Q377="UNKNOWN","Check fluid description",IF(AND(R377&lt;&gt;"",S377&lt;&gt;""),"Ready for contact screening","Needs TVD + thickness"))</f>
        <v/>
      </c>
    </row>
    <row r="378">
      <c r="A378" s="9" t="n"/>
      <c r="B378" s="9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9" t="n"/>
      <c r="N378" s="9" t="n"/>
      <c r="O378" s="10" t="n"/>
      <c r="P378" s="9" t="n"/>
      <c r="Q378" s="11">
        <f>IF(P378&lt;&gt;"",P378,IF(M378="","UNKNOWN",IF(AND(ISNUMBER(SEARCH("gas",LOWER(M378))),ISNUMBER(SEARCH("water",LOWER(M378)))),"GAS_WATER",IF(AND(ISNUMBER(SEARCH("oil",LOWER(M378))),ISNUMBER(SEARCH("water",LOWER(M378)))),"OIL_WATER",IF(ISNUMBER(SEARCH("gas",LOWER(M378))),"GAS",IF(ISNUMBER(SEARCH("water",LOWER(M378))),"WATER",IF(ISNUMBER(SEARCH("oil",LOWER(M378))),"OIL","UNKNOWN")))))))</f>
        <v/>
      </c>
      <c r="R378" s="12">
        <f>IF(C378="","",C378)</f>
        <v/>
      </c>
      <c r="S378" s="12">
        <f>IF(R378="","",R378+IF(O378&lt;&gt;"",O378,IF(H378="",0,H378)))</f>
        <v/>
      </c>
      <c r="T378" s="12">
        <f>IF(R378="","",MAX(Settings!$B$3,Settings!$B$4*IF(O378&lt;&gt;"",O378,IF(H378="",0,H378))))</f>
        <v/>
      </c>
      <c r="U378" s="11">
        <f>IF(AND(C378&lt;&gt;"",M378&lt;&gt;"",OR(H378&lt;&gt;"",O378&lt;&gt;"")),"COMPLETE",IF(OR(C378&lt;&gt;"",M378&lt;&gt;""),"PARTIAL","MISSING"))</f>
        <v/>
      </c>
      <c r="V378" s="11">
        <f>IF(Q378="UNKNOWN","Check fluid description",IF(AND(R378&lt;&gt;"",S378&lt;&gt;""),"Ready for contact screening","Needs TVD + thickness"))</f>
        <v/>
      </c>
    </row>
    <row r="379">
      <c r="A379" s="9" t="n"/>
      <c r="B379" s="9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9" t="n"/>
      <c r="N379" s="9" t="n"/>
      <c r="O379" s="10" t="n"/>
      <c r="P379" s="9" t="n"/>
      <c r="Q379" s="11">
        <f>IF(P379&lt;&gt;"",P379,IF(M379="","UNKNOWN",IF(AND(ISNUMBER(SEARCH("gas",LOWER(M379))),ISNUMBER(SEARCH("water",LOWER(M379)))),"GAS_WATER",IF(AND(ISNUMBER(SEARCH("oil",LOWER(M379))),ISNUMBER(SEARCH("water",LOWER(M379)))),"OIL_WATER",IF(ISNUMBER(SEARCH("gas",LOWER(M379))),"GAS",IF(ISNUMBER(SEARCH("water",LOWER(M379))),"WATER",IF(ISNUMBER(SEARCH("oil",LOWER(M379))),"OIL","UNKNOWN")))))))</f>
        <v/>
      </c>
      <c r="R379" s="12">
        <f>IF(C379="","",C379)</f>
        <v/>
      </c>
      <c r="S379" s="12">
        <f>IF(R379="","",R379+IF(O379&lt;&gt;"",O379,IF(H379="",0,H379)))</f>
        <v/>
      </c>
      <c r="T379" s="12">
        <f>IF(R379="","",MAX(Settings!$B$3,Settings!$B$4*IF(O379&lt;&gt;"",O379,IF(H379="",0,H379))))</f>
        <v/>
      </c>
      <c r="U379" s="11">
        <f>IF(AND(C379&lt;&gt;"",M379&lt;&gt;"",OR(H379&lt;&gt;"",O379&lt;&gt;"")),"COMPLETE",IF(OR(C379&lt;&gt;"",M379&lt;&gt;""),"PARTIAL","MISSING"))</f>
        <v/>
      </c>
      <c r="V379" s="11">
        <f>IF(Q379="UNKNOWN","Check fluid description",IF(AND(R379&lt;&gt;"",S379&lt;&gt;""),"Ready for contact screening","Needs TVD + thickness"))</f>
        <v/>
      </c>
    </row>
    <row r="380">
      <c r="A380" s="9" t="n"/>
      <c r="B380" s="9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9" t="n"/>
      <c r="N380" s="9" t="n"/>
      <c r="O380" s="10" t="n"/>
      <c r="P380" s="9" t="n"/>
      <c r="Q380" s="11">
        <f>IF(P380&lt;&gt;"",P380,IF(M380="","UNKNOWN",IF(AND(ISNUMBER(SEARCH("gas",LOWER(M380))),ISNUMBER(SEARCH("water",LOWER(M380)))),"GAS_WATER",IF(AND(ISNUMBER(SEARCH("oil",LOWER(M380))),ISNUMBER(SEARCH("water",LOWER(M380)))),"OIL_WATER",IF(ISNUMBER(SEARCH("gas",LOWER(M380))),"GAS",IF(ISNUMBER(SEARCH("water",LOWER(M380))),"WATER",IF(ISNUMBER(SEARCH("oil",LOWER(M380))),"OIL","UNKNOWN")))))))</f>
        <v/>
      </c>
      <c r="R380" s="12">
        <f>IF(C380="","",C380)</f>
        <v/>
      </c>
      <c r="S380" s="12">
        <f>IF(R380="","",R380+IF(O380&lt;&gt;"",O380,IF(H380="",0,H380)))</f>
        <v/>
      </c>
      <c r="T380" s="12">
        <f>IF(R380="","",MAX(Settings!$B$3,Settings!$B$4*IF(O380&lt;&gt;"",O380,IF(H380="",0,H380))))</f>
        <v/>
      </c>
      <c r="U380" s="11">
        <f>IF(AND(C380&lt;&gt;"",M380&lt;&gt;"",OR(H380&lt;&gt;"",O380&lt;&gt;"")),"COMPLETE",IF(OR(C380&lt;&gt;"",M380&lt;&gt;""),"PARTIAL","MISSING"))</f>
        <v/>
      </c>
      <c r="V380" s="11">
        <f>IF(Q380="UNKNOWN","Check fluid description",IF(AND(R380&lt;&gt;"",S380&lt;&gt;""),"Ready for contact screening","Needs TVD + thickness"))</f>
        <v/>
      </c>
    </row>
    <row r="381">
      <c r="A381" s="9" t="n"/>
      <c r="B381" s="9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9" t="n"/>
      <c r="N381" s="9" t="n"/>
      <c r="O381" s="10" t="n"/>
      <c r="P381" s="9" t="n"/>
      <c r="Q381" s="11">
        <f>IF(P381&lt;&gt;"",P381,IF(M381="","UNKNOWN",IF(AND(ISNUMBER(SEARCH("gas",LOWER(M381))),ISNUMBER(SEARCH("water",LOWER(M381)))),"GAS_WATER",IF(AND(ISNUMBER(SEARCH("oil",LOWER(M381))),ISNUMBER(SEARCH("water",LOWER(M381)))),"OIL_WATER",IF(ISNUMBER(SEARCH("gas",LOWER(M381))),"GAS",IF(ISNUMBER(SEARCH("water",LOWER(M381))),"WATER",IF(ISNUMBER(SEARCH("oil",LOWER(M381))),"OIL","UNKNOWN")))))))</f>
        <v/>
      </c>
      <c r="R381" s="12">
        <f>IF(C381="","",C381)</f>
        <v/>
      </c>
      <c r="S381" s="12">
        <f>IF(R381="","",R381+IF(O381&lt;&gt;"",O381,IF(H381="",0,H381)))</f>
        <v/>
      </c>
      <c r="T381" s="12">
        <f>IF(R381="","",MAX(Settings!$B$3,Settings!$B$4*IF(O381&lt;&gt;"",O381,IF(H381="",0,H381))))</f>
        <v/>
      </c>
      <c r="U381" s="11">
        <f>IF(AND(C381&lt;&gt;"",M381&lt;&gt;"",OR(H381&lt;&gt;"",O381&lt;&gt;"")),"COMPLETE",IF(OR(C381&lt;&gt;"",M381&lt;&gt;""),"PARTIAL","MISSING"))</f>
        <v/>
      </c>
      <c r="V381" s="11">
        <f>IF(Q381="UNKNOWN","Check fluid description",IF(AND(R381&lt;&gt;"",S381&lt;&gt;""),"Ready for contact screening","Needs TVD + thickness"))</f>
        <v/>
      </c>
    </row>
    <row r="382">
      <c r="A382" s="9" t="n"/>
      <c r="B382" s="9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9" t="n"/>
      <c r="N382" s="9" t="n"/>
      <c r="O382" s="10" t="n"/>
      <c r="P382" s="9" t="n"/>
      <c r="Q382" s="11">
        <f>IF(P382&lt;&gt;"",P382,IF(M382="","UNKNOWN",IF(AND(ISNUMBER(SEARCH("gas",LOWER(M382))),ISNUMBER(SEARCH("water",LOWER(M382)))),"GAS_WATER",IF(AND(ISNUMBER(SEARCH("oil",LOWER(M382))),ISNUMBER(SEARCH("water",LOWER(M382)))),"OIL_WATER",IF(ISNUMBER(SEARCH("gas",LOWER(M382))),"GAS",IF(ISNUMBER(SEARCH("water",LOWER(M382))),"WATER",IF(ISNUMBER(SEARCH("oil",LOWER(M382))),"OIL","UNKNOWN")))))))</f>
        <v/>
      </c>
      <c r="R382" s="12">
        <f>IF(C382="","",C382)</f>
        <v/>
      </c>
      <c r="S382" s="12">
        <f>IF(R382="","",R382+IF(O382&lt;&gt;"",O382,IF(H382="",0,H382)))</f>
        <v/>
      </c>
      <c r="T382" s="12">
        <f>IF(R382="","",MAX(Settings!$B$3,Settings!$B$4*IF(O382&lt;&gt;"",O382,IF(H382="",0,H382))))</f>
        <v/>
      </c>
      <c r="U382" s="11">
        <f>IF(AND(C382&lt;&gt;"",M382&lt;&gt;"",OR(H382&lt;&gt;"",O382&lt;&gt;"")),"COMPLETE",IF(OR(C382&lt;&gt;"",M382&lt;&gt;""),"PARTIAL","MISSING"))</f>
        <v/>
      </c>
      <c r="V382" s="11">
        <f>IF(Q382="UNKNOWN","Check fluid description",IF(AND(R382&lt;&gt;"",S382&lt;&gt;""),"Ready for contact screening","Needs TVD + thickness"))</f>
        <v/>
      </c>
    </row>
    <row r="383">
      <c r="A383" s="9" t="n"/>
      <c r="B383" s="9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9" t="n"/>
      <c r="N383" s="9" t="n"/>
      <c r="O383" s="10" t="n"/>
      <c r="P383" s="9" t="n"/>
      <c r="Q383" s="11">
        <f>IF(P383&lt;&gt;"",P383,IF(M383="","UNKNOWN",IF(AND(ISNUMBER(SEARCH("gas",LOWER(M383))),ISNUMBER(SEARCH("water",LOWER(M383)))),"GAS_WATER",IF(AND(ISNUMBER(SEARCH("oil",LOWER(M383))),ISNUMBER(SEARCH("water",LOWER(M383)))),"OIL_WATER",IF(ISNUMBER(SEARCH("gas",LOWER(M383))),"GAS",IF(ISNUMBER(SEARCH("water",LOWER(M383))),"WATER",IF(ISNUMBER(SEARCH("oil",LOWER(M383))),"OIL","UNKNOWN")))))))</f>
        <v/>
      </c>
      <c r="R383" s="12">
        <f>IF(C383="","",C383)</f>
        <v/>
      </c>
      <c r="S383" s="12">
        <f>IF(R383="","",R383+IF(O383&lt;&gt;"",O383,IF(H383="",0,H383)))</f>
        <v/>
      </c>
      <c r="T383" s="12">
        <f>IF(R383="","",MAX(Settings!$B$3,Settings!$B$4*IF(O383&lt;&gt;"",O383,IF(H383="",0,H383))))</f>
        <v/>
      </c>
      <c r="U383" s="11">
        <f>IF(AND(C383&lt;&gt;"",M383&lt;&gt;"",OR(H383&lt;&gt;"",O383&lt;&gt;"")),"COMPLETE",IF(OR(C383&lt;&gt;"",M383&lt;&gt;""),"PARTIAL","MISSING"))</f>
        <v/>
      </c>
      <c r="V383" s="11">
        <f>IF(Q383="UNKNOWN","Check fluid description",IF(AND(R383&lt;&gt;"",S383&lt;&gt;""),"Ready for contact screening","Needs TVD + thickness"))</f>
        <v/>
      </c>
    </row>
    <row r="384">
      <c r="A384" s="9" t="n"/>
      <c r="B384" s="9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9" t="n"/>
      <c r="N384" s="9" t="n"/>
      <c r="O384" s="10" t="n"/>
      <c r="P384" s="9" t="n"/>
      <c r="Q384" s="11">
        <f>IF(P384&lt;&gt;"",P384,IF(M384="","UNKNOWN",IF(AND(ISNUMBER(SEARCH("gas",LOWER(M384))),ISNUMBER(SEARCH("water",LOWER(M384)))),"GAS_WATER",IF(AND(ISNUMBER(SEARCH("oil",LOWER(M384))),ISNUMBER(SEARCH("water",LOWER(M384)))),"OIL_WATER",IF(ISNUMBER(SEARCH("gas",LOWER(M384))),"GAS",IF(ISNUMBER(SEARCH("water",LOWER(M384))),"WATER",IF(ISNUMBER(SEARCH("oil",LOWER(M384))),"OIL","UNKNOWN")))))))</f>
        <v/>
      </c>
      <c r="R384" s="12">
        <f>IF(C384="","",C384)</f>
        <v/>
      </c>
      <c r="S384" s="12">
        <f>IF(R384="","",R384+IF(O384&lt;&gt;"",O384,IF(H384="",0,H384)))</f>
        <v/>
      </c>
      <c r="T384" s="12">
        <f>IF(R384="","",MAX(Settings!$B$3,Settings!$B$4*IF(O384&lt;&gt;"",O384,IF(H384="",0,H384))))</f>
        <v/>
      </c>
      <c r="U384" s="11">
        <f>IF(AND(C384&lt;&gt;"",M384&lt;&gt;"",OR(H384&lt;&gt;"",O384&lt;&gt;"")),"COMPLETE",IF(OR(C384&lt;&gt;"",M384&lt;&gt;""),"PARTIAL","MISSING"))</f>
        <v/>
      </c>
      <c r="V384" s="11">
        <f>IF(Q384="UNKNOWN","Check fluid description",IF(AND(R384&lt;&gt;"",S384&lt;&gt;""),"Ready for contact screening","Needs TVD + thickness"))</f>
        <v/>
      </c>
    </row>
    <row r="385">
      <c r="A385" s="9" t="n"/>
      <c r="B385" s="9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9" t="n"/>
      <c r="N385" s="9" t="n"/>
      <c r="O385" s="10" t="n"/>
      <c r="P385" s="9" t="n"/>
      <c r="Q385" s="11">
        <f>IF(P385&lt;&gt;"",P385,IF(M385="","UNKNOWN",IF(AND(ISNUMBER(SEARCH("gas",LOWER(M385))),ISNUMBER(SEARCH("water",LOWER(M385)))),"GAS_WATER",IF(AND(ISNUMBER(SEARCH("oil",LOWER(M385))),ISNUMBER(SEARCH("water",LOWER(M385)))),"OIL_WATER",IF(ISNUMBER(SEARCH("gas",LOWER(M385))),"GAS",IF(ISNUMBER(SEARCH("water",LOWER(M385))),"WATER",IF(ISNUMBER(SEARCH("oil",LOWER(M385))),"OIL","UNKNOWN")))))))</f>
        <v/>
      </c>
      <c r="R385" s="12">
        <f>IF(C385="","",C385)</f>
        <v/>
      </c>
      <c r="S385" s="12">
        <f>IF(R385="","",R385+IF(O385&lt;&gt;"",O385,IF(H385="",0,H385)))</f>
        <v/>
      </c>
      <c r="T385" s="12">
        <f>IF(R385="","",MAX(Settings!$B$3,Settings!$B$4*IF(O385&lt;&gt;"",O385,IF(H385="",0,H385))))</f>
        <v/>
      </c>
      <c r="U385" s="11">
        <f>IF(AND(C385&lt;&gt;"",M385&lt;&gt;"",OR(H385&lt;&gt;"",O385&lt;&gt;"")),"COMPLETE",IF(OR(C385&lt;&gt;"",M385&lt;&gt;""),"PARTIAL","MISSING"))</f>
        <v/>
      </c>
      <c r="V385" s="11">
        <f>IF(Q385="UNKNOWN","Check fluid description",IF(AND(R385&lt;&gt;"",S385&lt;&gt;""),"Ready for contact screening","Needs TVD + thickness"))</f>
        <v/>
      </c>
    </row>
    <row r="386">
      <c r="A386" s="9" t="n"/>
      <c r="B386" s="9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9" t="n"/>
      <c r="N386" s="9" t="n"/>
      <c r="O386" s="10" t="n"/>
      <c r="P386" s="9" t="n"/>
      <c r="Q386" s="11">
        <f>IF(P386&lt;&gt;"",P386,IF(M386="","UNKNOWN",IF(AND(ISNUMBER(SEARCH("gas",LOWER(M386))),ISNUMBER(SEARCH("water",LOWER(M386)))),"GAS_WATER",IF(AND(ISNUMBER(SEARCH("oil",LOWER(M386))),ISNUMBER(SEARCH("water",LOWER(M386)))),"OIL_WATER",IF(ISNUMBER(SEARCH("gas",LOWER(M386))),"GAS",IF(ISNUMBER(SEARCH("water",LOWER(M386))),"WATER",IF(ISNUMBER(SEARCH("oil",LOWER(M386))),"OIL","UNKNOWN")))))))</f>
        <v/>
      </c>
      <c r="R386" s="12">
        <f>IF(C386="","",C386)</f>
        <v/>
      </c>
      <c r="S386" s="12">
        <f>IF(R386="","",R386+IF(O386&lt;&gt;"",O386,IF(H386="",0,H386)))</f>
        <v/>
      </c>
      <c r="T386" s="12">
        <f>IF(R386="","",MAX(Settings!$B$3,Settings!$B$4*IF(O386&lt;&gt;"",O386,IF(H386="",0,H386))))</f>
        <v/>
      </c>
      <c r="U386" s="11">
        <f>IF(AND(C386&lt;&gt;"",M386&lt;&gt;"",OR(H386&lt;&gt;"",O386&lt;&gt;"")),"COMPLETE",IF(OR(C386&lt;&gt;"",M386&lt;&gt;""),"PARTIAL","MISSING"))</f>
        <v/>
      </c>
      <c r="V386" s="11">
        <f>IF(Q386="UNKNOWN","Check fluid description",IF(AND(R386&lt;&gt;"",S386&lt;&gt;""),"Ready for contact screening","Needs TVD + thickness"))</f>
        <v/>
      </c>
    </row>
    <row r="387">
      <c r="A387" s="9" t="n"/>
      <c r="B387" s="9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9" t="n"/>
      <c r="N387" s="9" t="n"/>
      <c r="O387" s="10" t="n"/>
      <c r="P387" s="9" t="n"/>
      <c r="Q387" s="11">
        <f>IF(P387&lt;&gt;"",P387,IF(M387="","UNKNOWN",IF(AND(ISNUMBER(SEARCH("gas",LOWER(M387))),ISNUMBER(SEARCH("water",LOWER(M387)))),"GAS_WATER",IF(AND(ISNUMBER(SEARCH("oil",LOWER(M387))),ISNUMBER(SEARCH("water",LOWER(M387)))),"OIL_WATER",IF(ISNUMBER(SEARCH("gas",LOWER(M387))),"GAS",IF(ISNUMBER(SEARCH("water",LOWER(M387))),"WATER",IF(ISNUMBER(SEARCH("oil",LOWER(M387))),"OIL","UNKNOWN")))))))</f>
        <v/>
      </c>
      <c r="R387" s="12">
        <f>IF(C387="","",C387)</f>
        <v/>
      </c>
      <c r="S387" s="12">
        <f>IF(R387="","",R387+IF(O387&lt;&gt;"",O387,IF(H387="",0,H387)))</f>
        <v/>
      </c>
      <c r="T387" s="12">
        <f>IF(R387="","",MAX(Settings!$B$3,Settings!$B$4*IF(O387&lt;&gt;"",O387,IF(H387="",0,H387))))</f>
        <v/>
      </c>
      <c r="U387" s="11">
        <f>IF(AND(C387&lt;&gt;"",M387&lt;&gt;"",OR(H387&lt;&gt;"",O387&lt;&gt;"")),"COMPLETE",IF(OR(C387&lt;&gt;"",M387&lt;&gt;""),"PARTIAL","MISSING"))</f>
        <v/>
      </c>
      <c r="V387" s="11">
        <f>IF(Q387="UNKNOWN","Check fluid description",IF(AND(R387&lt;&gt;"",S387&lt;&gt;""),"Ready for contact screening","Needs TVD + thickness"))</f>
        <v/>
      </c>
    </row>
    <row r="388">
      <c r="A388" s="9" t="n"/>
      <c r="B388" s="9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9" t="n"/>
      <c r="N388" s="9" t="n"/>
      <c r="O388" s="10" t="n"/>
      <c r="P388" s="9" t="n"/>
      <c r="Q388" s="11">
        <f>IF(P388&lt;&gt;"",P388,IF(M388="","UNKNOWN",IF(AND(ISNUMBER(SEARCH("gas",LOWER(M388))),ISNUMBER(SEARCH("water",LOWER(M388)))),"GAS_WATER",IF(AND(ISNUMBER(SEARCH("oil",LOWER(M388))),ISNUMBER(SEARCH("water",LOWER(M388)))),"OIL_WATER",IF(ISNUMBER(SEARCH("gas",LOWER(M388))),"GAS",IF(ISNUMBER(SEARCH("water",LOWER(M388))),"WATER",IF(ISNUMBER(SEARCH("oil",LOWER(M388))),"OIL","UNKNOWN")))))))</f>
        <v/>
      </c>
      <c r="R388" s="12">
        <f>IF(C388="","",C388)</f>
        <v/>
      </c>
      <c r="S388" s="12">
        <f>IF(R388="","",R388+IF(O388&lt;&gt;"",O388,IF(H388="",0,H388)))</f>
        <v/>
      </c>
      <c r="T388" s="12">
        <f>IF(R388="","",MAX(Settings!$B$3,Settings!$B$4*IF(O388&lt;&gt;"",O388,IF(H388="",0,H388))))</f>
        <v/>
      </c>
      <c r="U388" s="11">
        <f>IF(AND(C388&lt;&gt;"",M388&lt;&gt;"",OR(H388&lt;&gt;"",O388&lt;&gt;"")),"COMPLETE",IF(OR(C388&lt;&gt;"",M388&lt;&gt;""),"PARTIAL","MISSING"))</f>
        <v/>
      </c>
      <c r="V388" s="11">
        <f>IF(Q388="UNKNOWN","Check fluid description",IF(AND(R388&lt;&gt;"",S388&lt;&gt;""),"Ready for contact screening","Needs TVD + thickness"))</f>
        <v/>
      </c>
    </row>
    <row r="389">
      <c r="A389" s="9" t="n"/>
      <c r="B389" s="9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9" t="n"/>
      <c r="N389" s="9" t="n"/>
      <c r="O389" s="10" t="n"/>
      <c r="P389" s="9" t="n"/>
      <c r="Q389" s="11">
        <f>IF(P389&lt;&gt;"",P389,IF(M389="","UNKNOWN",IF(AND(ISNUMBER(SEARCH("gas",LOWER(M389))),ISNUMBER(SEARCH("water",LOWER(M389)))),"GAS_WATER",IF(AND(ISNUMBER(SEARCH("oil",LOWER(M389))),ISNUMBER(SEARCH("water",LOWER(M389)))),"OIL_WATER",IF(ISNUMBER(SEARCH("gas",LOWER(M389))),"GAS",IF(ISNUMBER(SEARCH("water",LOWER(M389))),"WATER",IF(ISNUMBER(SEARCH("oil",LOWER(M389))),"OIL","UNKNOWN")))))))</f>
        <v/>
      </c>
      <c r="R389" s="12">
        <f>IF(C389="","",C389)</f>
        <v/>
      </c>
      <c r="S389" s="12">
        <f>IF(R389="","",R389+IF(O389&lt;&gt;"",O389,IF(H389="",0,H389)))</f>
        <v/>
      </c>
      <c r="T389" s="12">
        <f>IF(R389="","",MAX(Settings!$B$3,Settings!$B$4*IF(O389&lt;&gt;"",O389,IF(H389="",0,H389))))</f>
        <v/>
      </c>
      <c r="U389" s="11">
        <f>IF(AND(C389&lt;&gt;"",M389&lt;&gt;"",OR(H389&lt;&gt;"",O389&lt;&gt;"")),"COMPLETE",IF(OR(C389&lt;&gt;"",M389&lt;&gt;""),"PARTIAL","MISSING"))</f>
        <v/>
      </c>
      <c r="V389" s="11">
        <f>IF(Q389="UNKNOWN","Check fluid description",IF(AND(R389&lt;&gt;"",S389&lt;&gt;""),"Ready for contact screening","Needs TVD + thickness"))</f>
        <v/>
      </c>
    </row>
    <row r="390">
      <c r="A390" s="9" t="n"/>
      <c r="B390" s="9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9" t="n"/>
      <c r="N390" s="9" t="n"/>
      <c r="O390" s="10" t="n"/>
      <c r="P390" s="9" t="n"/>
      <c r="Q390" s="11">
        <f>IF(P390&lt;&gt;"",P390,IF(M390="","UNKNOWN",IF(AND(ISNUMBER(SEARCH("gas",LOWER(M390))),ISNUMBER(SEARCH("water",LOWER(M390)))),"GAS_WATER",IF(AND(ISNUMBER(SEARCH("oil",LOWER(M390))),ISNUMBER(SEARCH("water",LOWER(M390)))),"OIL_WATER",IF(ISNUMBER(SEARCH("gas",LOWER(M390))),"GAS",IF(ISNUMBER(SEARCH("water",LOWER(M390))),"WATER",IF(ISNUMBER(SEARCH("oil",LOWER(M390))),"OIL","UNKNOWN")))))))</f>
        <v/>
      </c>
      <c r="R390" s="12">
        <f>IF(C390="","",C390)</f>
        <v/>
      </c>
      <c r="S390" s="12">
        <f>IF(R390="","",R390+IF(O390&lt;&gt;"",O390,IF(H390="",0,H390)))</f>
        <v/>
      </c>
      <c r="T390" s="12">
        <f>IF(R390="","",MAX(Settings!$B$3,Settings!$B$4*IF(O390&lt;&gt;"",O390,IF(H390="",0,H390))))</f>
        <v/>
      </c>
      <c r="U390" s="11">
        <f>IF(AND(C390&lt;&gt;"",M390&lt;&gt;"",OR(H390&lt;&gt;"",O390&lt;&gt;"")),"COMPLETE",IF(OR(C390&lt;&gt;"",M390&lt;&gt;""),"PARTIAL","MISSING"))</f>
        <v/>
      </c>
      <c r="V390" s="11">
        <f>IF(Q390="UNKNOWN","Check fluid description",IF(AND(R390&lt;&gt;"",S390&lt;&gt;""),"Ready for contact screening","Needs TVD + thickness"))</f>
        <v/>
      </c>
    </row>
    <row r="391">
      <c r="A391" s="9" t="n"/>
      <c r="B391" s="9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9" t="n"/>
      <c r="N391" s="9" t="n"/>
      <c r="O391" s="10" t="n"/>
      <c r="P391" s="9" t="n"/>
      <c r="Q391" s="11">
        <f>IF(P391&lt;&gt;"",P391,IF(M391="","UNKNOWN",IF(AND(ISNUMBER(SEARCH("gas",LOWER(M391))),ISNUMBER(SEARCH("water",LOWER(M391)))),"GAS_WATER",IF(AND(ISNUMBER(SEARCH("oil",LOWER(M391))),ISNUMBER(SEARCH("water",LOWER(M391)))),"OIL_WATER",IF(ISNUMBER(SEARCH("gas",LOWER(M391))),"GAS",IF(ISNUMBER(SEARCH("water",LOWER(M391))),"WATER",IF(ISNUMBER(SEARCH("oil",LOWER(M391))),"OIL","UNKNOWN")))))))</f>
        <v/>
      </c>
      <c r="R391" s="12">
        <f>IF(C391="","",C391)</f>
        <v/>
      </c>
      <c r="S391" s="12">
        <f>IF(R391="","",R391+IF(O391&lt;&gt;"",O391,IF(H391="",0,H391)))</f>
        <v/>
      </c>
      <c r="T391" s="12">
        <f>IF(R391="","",MAX(Settings!$B$3,Settings!$B$4*IF(O391&lt;&gt;"",O391,IF(H391="",0,H391))))</f>
        <v/>
      </c>
      <c r="U391" s="11">
        <f>IF(AND(C391&lt;&gt;"",M391&lt;&gt;"",OR(H391&lt;&gt;"",O391&lt;&gt;"")),"COMPLETE",IF(OR(C391&lt;&gt;"",M391&lt;&gt;""),"PARTIAL","MISSING"))</f>
        <v/>
      </c>
      <c r="V391" s="11">
        <f>IF(Q391="UNKNOWN","Check fluid description",IF(AND(R391&lt;&gt;"",S391&lt;&gt;""),"Ready for contact screening","Needs TVD + thickness"))</f>
        <v/>
      </c>
    </row>
    <row r="392">
      <c r="A392" s="9" t="n"/>
      <c r="B392" s="9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9" t="n"/>
      <c r="N392" s="9" t="n"/>
      <c r="O392" s="10" t="n"/>
      <c r="P392" s="9" t="n"/>
      <c r="Q392" s="11">
        <f>IF(P392&lt;&gt;"",P392,IF(M392="","UNKNOWN",IF(AND(ISNUMBER(SEARCH("gas",LOWER(M392))),ISNUMBER(SEARCH("water",LOWER(M392)))),"GAS_WATER",IF(AND(ISNUMBER(SEARCH("oil",LOWER(M392))),ISNUMBER(SEARCH("water",LOWER(M392)))),"OIL_WATER",IF(ISNUMBER(SEARCH("gas",LOWER(M392))),"GAS",IF(ISNUMBER(SEARCH("water",LOWER(M392))),"WATER",IF(ISNUMBER(SEARCH("oil",LOWER(M392))),"OIL","UNKNOWN")))))))</f>
        <v/>
      </c>
      <c r="R392" s="12">
        <f>IF(C392="","",C392)</f>
        <v/>
      </c>
      <c r="S392" s="12">
        <f>IF(R392="","",R392+IF(O392&lt;&gt;"",O392,IF(H392="",0,H392)))</f>
        <v/>
      </c>
      <c r="T392" s="12">
        <f>IF(R392="","",MAX(Settings!$B$3,Settings!$B$4*IF(O392&lt;&gt;"",O392,IF(H392="",0,H392))))</f>
        <v/>
      </c>
      <c r="U392" s="11">
        <f>IF(AND(C392&lt;&gt;"",M392&lt;&gt;"",OR(H392&lt;&gt;"",O392&lt;&gt;"")),"COMPLETE",IF(OR(C392&lt;&gt;"",M392&lt;&gt;""),"PARTIAL","MISSING"))</f>
        <v/>
      </c>
      <c r="V392" s="11">
        <f>IF(Q392="UNKNOWN","Check fluid description",IF(AND(R392&lt;&gt;"",S392&lt;&gt;""),"Ready for contact screening","Needs TVD + thickness"))</f>
        <v/>
      </c>
    </row>
    <row r="393">
      <c r="A393" s="9" t="n"/>
      <c r="B393" s="9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9" t="n"/>
      <c r="N393" s="9" t="n"/>
      <c r="O393" s="10" t="n"/>
      <c r="P393" s="9" t="n"/>
      <c r="Q393" s="11">
        <f>IF(P393&lt;&gt;"",P393,IF(M393="","UNKNOWN",IF(AND(ISNUMBER(SEARCH("gas",LOWER(M393))),ISNUMBER(SEARCH("water",LOWER(M393)))),"GAS_WATER",IF(AND(ISNUMBER(SEARCH("oil",LOWER(M393))),ISNUMBER(SEARCH("water",LOWER(M393)))),"OIL_WATER",IF(ISNUMBER(SEARCH("gas",LOWER(M393))),"GAS",IF(ISNUMBER(SEARCH("water",LOWER(M393))),"WATER",IF(ISNUMBER(SEARCH("oil",LOWER(M393))),"OIL","UNKNOWN")))))))</f>
        <v/>
      </c>
      <c r="R393" s="12">
        <f>IF(C393="","",C393)</f>
        <v/>
      </c>
      <c r="S393" s="12">
        <f>IF(R393="","",R393+IF(O393&lt;&gt;"",O393,IF(H393="",0,H393)))</f>
        <v/>
      </c>
      <c r="T393" s="12">
        <f>IF(R393="","",MAX(Settings!$B$3,Settings!$B$4*IF(O393&lt;&gt;"",O393,IF(H393="",0,H393))))</f>
        <v/>
      </c>
      <c r="U393" s="11">
        <f>IF(AND(C393&lt;&gt;"",M393&lt;&gt;"",OR(H393&lt;&gt;"",O393&lt;&gt;"")),"COMPLETE",IF(OR(C393&lt;&gt;"",M393&lt;&gt;""),"PARTIAL","MISSING"))</f>
        <v/>
      </c>
      <c r="V393" s="11">
        <f>IF(Q393="UNKNOWN","Check fluid description",IF(AND(R393&lt;&gt;"",S393&lt;&gt;""),"Ready for contact screening","Needs TVD + thickness"))</f>
        <v/>
      </c>
    </row>
    <row r="394">
      <c r="A394" s="9" t="n"/>
      <c r="B394" s="9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9" t="n"/>
      <c r="N394" s="9" t="n"/>
      <c r="O394" s="10" t="n"/>
      <c r="P394" s="9" t="n"/>
      <c r="Q394" s="11">
        <f>IF(P394&lt;&gt;"",P394,IF(M394="","UNKNOWN",IF(AND(ISNUMBER(SEARCH("gas",LOWER(M394))),ISNUMBER(SEARCH("water",LOWER(M394)))),"GAS_WATER",IF(AND(ISNUMBER(SEARCH("oil",LOWER(M394))),ISNUMBER(SEARCH("water",LOWER(M394)))),"OIL_WATER",IF(ISNUMBER(SEARCH("gas",LOWER(M394))),"GAS",IF(ISNUMBER(SEARCH("water",LOWER(M394))),"WATER",IF(ISNUMBER(SEARCH("oil",LOWER(M394))),"OIL","UNKNOWN")))))))</f>
        <v/>
      </c>
      <c r="R394" s="12">
        <f>IF(C394="","",C394)</f>
        <v/>
      </c>
      <c r="S394" s="12">
        <f>IF(R394="","",R394+IF(O394&lt;&gt;"",O394,IF(H394="",0,H394)))</f>
        <v/>
      </c>
      <c r="T394" s="12">
        <f>IF(R394="","",MAX(Settings!$B$3,Settings!$B$4*IF(O394&lt;&gt;"",O394,IF(H394="",0,H394))))</f>
        <v/>
      </c>
      <c r="U394" s="11">
        <f>IF(AND(C394&lt;&gt;"",M394&lt;&gt;"",OR(H394&lt;&gt;"",O394&lt;&gt;"")),"COMPLETE",IF(OR(C394&lt;&gt;"",M394&lt;&gt;""),"PARTIAL","MISSING"))</f>
        <v/>
      </c>
      <c r="V394" s="11">
        <f>IF(Q394="UNKNOWN","Check fluid description",IF(AND(R394&lt;&gt;"",S394&lt;&gt;""),"Ready for contact screening","Needs TVD + thickness"))</f>
        <v/>
      </c>
    </row>
    <row r="395">
      <c r="A395" s="9" t="n"/>
      <c r="B395" s="9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9" t="n"/>
      <c r="N395" s="9" t="n"/>
      <c r="O395" s="10" t="n"/>
      <c r="P395" s="9" t="n"/>
      <c r="Q395" s="11">
        <f>IF(P395&lt;&gt;"",P395,IF(M395="","UNKNOWN",IF(AND(ISNUMBER(SEARCH("gas",LOWER(M395))),ISNUMBER(SEARCH("water",LOWER(M395)))),"GAS_WATER",IF(AND(ISNUMBER(SEARCH("oil",LOWER(M395))),ISNUMBER(SEARCH("water",LOWER(M395)))),"OIL_WATER",IF(ISNUMBER(SEARCH("gas",LOWER(M395))),"GAS",IF(ISNUMBER(SEARCH("water",LOWER(M395))),"WATER",IF(ISNUMBER(SEARCH("oil",LOWER(M395))),"OIL","UNKNOWN")))))))</f>
        <v/>
      </c>
      <c r="R395" s="12">
        <f>IF(C395="","",C395)</f>
        <v/>
      </c>
      <c r="S395" s="12">
        <f>IF(R395="","",R395+IF(O395&lt;&gt;"",O395,IF(H395="",0,H395)))</f>
        <v/>
      </c>
      <c r="T395" s="12">
        <f>IF(R395="","",MAX(Settings!$B$3,Settings!$B$4*IF(O395&lt;&gt;"",O395,IF(H395="",0,H395))))</f>
        <v/>
      </c>
      <c r="U395" s="11">
        <f>IF(AND(C395&lt;&gt;"",M395&lt;&gt;"",OR(H395&lt;&gt;"",O395&lt;&gt;"")),"COMPLETE",IF(OR(C395&lt;&gt;"",M395&lt;&gt;""),"PARTIAL","MISSING"))</f>
        <v/>
      </c>
      <c r="V395" s="11">
        <f>IF(Q395="UNKNOWN","Check fluid description",IF(AND(R395&lt;&gt;"",S395&lt;&gt;""),"Ready for contact screening","Needs TVD + thickness"))</f>
        <v/>
      </c>
    </row>
    <row r="396">
      <c r="A396" s="9" t="n"/>
      <c r="B396" s="9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9" t="n"/>
      <c r="N396" s="9" t="n"/>
      <c r="O396" s="10" t="n"/>
      <c r="P396" s="9" t="n"/>
      <c r="Q396" s="11">
        <f>IF(P396&lt;&gt;"",P396,IF(M396="","UNKNOWN",IF(AND(ISNUMBER(SEARCH("gas",LOWER(M396))),ISNUMBER(SEARCH("water",LOWER(M396)))),"GAS_WATER",IF(AND(ISNUMBER(SEARCH("oil",LOWER(M396))),ISNUMBER(SEARCH("water",LOWER(M396)))),"OIL_WATER",IF(ISNUMBER(SEARCH("gas",LOWER(M396))),"GAS",IF(ISNUMBER(SEARCH("water",LOWER(M396))),"WATER",IF(ISNUMBER(SEARCH("oil",LOWER(M396))),"OIL","UNKNOWN")))))))</f>
        <v/>
      </c>
      <c r="R396" s="12">
        <f>IF(C396="","",C396)</f>
        <v/>
      </c>
      <c r="S396" s="12">
        <f>IF(R396="","",R396+IF(O396&lt;&gt;"",O396,IF(H396="",0,H396)))</f>
        <v/>
      </c>
      <c r="T396" s="12">
        <f>IF(R396="","",MAX(Settings!$B$3,Settings!$B$4*IF(O396&lt;&gt;"",O396,IF(H396="",0,H396))))</f>
        <v/>
      </c>
      <c r="U396" s="11">
        <f>IF(AND(C396&lt;&gt;"",M396&lt;&gt;"",OR(H396&lt;&gt;"",O396&lt;&gt;"")),"COMPLETE",IF(OR(C396&lt;&gt;"",M396&lt;&gt;""),"PARTIAL","MISSING"))</f>
        <v/>
      </c>
      <c r="V396" s="11">
        <f>IF(Q396="UNKNOWN","Check fluid description",IF(AND(R396&lt;&gt;"",S396&lt;&gt;""),"Ready for contact screening","Needs TVD + thickness"))</f>
        <v/>
      </c>
    </row>
    <row r="397">
      <c r="A397" s="9" t="n"/>
      <c r="B397" s="9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9" t="n"/>
      <c r="N397" s="9" t="n"/>
      <c r="O397" s="10" t="n"/>
      <c r="P397" s="9" t="n"/>
      <c r="Q397" s="11">
        <f>IF(P397&lt;&gt;"",P397,IF(M397="","UNKNOWN",IF(AND(ISNUMBER(SEARCH("gas",LOWER(M397))),ISNUMBER(SEARCH("water",LOWER(M397)))),"GAS_WATER",IF(AND(ISNUMBER(SEARCH("oil",LOWER(M397))),ISNUMBER(SEARCH("water",LOWER(M397)))),"OIL_WATER",IF(ISNUMBER(SEARCH("gas",LOWER(M397))),"GAS",IF(ISNUMBER(SEARCH("water",LOWER(M397))),"WATER",IF(ISNUMBER(SEARCH("oil",LOWER(M397))),"OIL","UNKNOWN")))))))</f>
        <v/>
      </c>
      <c r="R397" s="12">
        <f>IF(C397="","",C397)</f>
        <v/>
      </c>
      <c r="S397" s="12">
        <f>IF(R397="","",R397+IF(O397&lt;&gt;"",O397,IF(H397="",0,H397)))</f>
        <v/>
      </c>
      <c r="T397" s="12">
        <f>IF(R397="","",MAX(Settings!$B$3,Settings!$B$4*IF(O397&lt;&gt;"",O397,IF(H397="",0,H397))))</f>
        <v/>
      </c>
      <c r="U397" s="11">
        <f>IF(AND(C397&lt;&gt;"",M397&lt;&gt;"",OR(H397&lt;&gt;"",O397&lt;&gt;"")),"COMPLETE",IF(OR(C397&lt;&gt;"",M397&lt;&gt;""),"PARTIAL","MISSING"))</f>
        <v/>
      </c>
      <c r="V397" s="11">
        <f>IF(Q397="UNKNOWN","Check fluid description",IF(AND(R397&lt;&gt;"",S397&lt;&gt;""),"Ready for contact screening","Needs TVD + thickness"))</f>
        <v/>
      </c>
    </row>
    <row r="398">
      <c r="A398" s="9" t="n"/>
      <c r="B398" s="9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9" t="n"/>
      <c r="N398" s="9" t="n"/>
      <c r="O398" s="10" t="n"/>
      <c r="P398" s="9" t="n"/>
      <c r="Q398" s="11">
        <f>IF(P398&lt;&gt;"",P398,IF(M398="","UNKNOWN",IF(AND(ISNUMBER(SEARCH("gas",LOWER(M398))),ISNUMBER(SEARCH("water",LOWER(M398)))),"GAS_WATER",IF(AND(ISNUMBER(SEARCH("oil",LOWER(M398))),ISNUMBER(SEARCH("water",LOWER(M398)))),"OIL_WATER",IF(ISNUMBER(SEARCH("gas",LOWER(M398))),"GAS",IF(ISNUMBER(SEARCH("water",LOWER(M398))),"WATER",IF(ISNUMBER(SEARCH("oil",LOWER(M398))),"OIL","UNKNOWN")))))))</f>
        <v/>
      </c>
      <c r="R398" s="12">
        <f>IF(C398="","",C398)</f>
        <v/>
      </c>
      <c r="S398" s="12">
        <f>IF(R398="","",R398+IF(O398&lt;&gt;"",O398,IF(H398="",0,H398)))</f>
        <v/>
      </c>
      <c r="T398" s="12">
        <f>IF(R398="","",MAX(Settings!$B$3,Settings!$B$4*IF(O398&lt;&gt;"",O398,IF(H398="",0,H398))))</f>
        <v/>
      </c>
      <c r="U398" s="11">
        <f>IF(AND(C398&lt;&gt;"",M398&lt;&gt;"",OR(H398&lt;&gt;"",O398&lt;&gt;"")),"COMPLETE",IF(OR(C398&lt;&gt;"",M398&lt;&gt;""),"PARTIAL","MISSING"))</f>
        <v/>
      </c>
      <c r="V398" s="11">
        <f>IF(Q398="UNKNOWN","Check fluid description",IF(AND(R398&lt;&gt;"",S398&lt;&gt;""),"Ready for contact screening","Needs TVD + thickness"))</f>
        <v/>
      </c>
    </row>
    <row r="399">
      <c r="A399" s="9" t="n"/>
      <c r="B399" s="9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9" t="n"/>
      <c r="N399" s="9" t="n"/>
      <c r="O399" s="10" t="n"/>
      <c r="P399" s="9" t="n"/>
      <c r="Q399" s="11">
        <f>IF(P399&lt;&gt;"",P399,IF(M399="","UNKNOWN",IF(AND(ISNUMBER(SEARCH("gas",LOWER(M399))),ISNUMBER(SEARCH("water",LOWER(M399)))),"GAS_WATER",IF(AND(ISNUMBER(SEARCH("oil",LOWER(M399))),ISNUMBER(SEARCH("water",LOWER(M399)))),"OIL_WATER",IF(ISNUMBER(SEARCH("gas",LOWER(M399))),"GAS",IF(ISNUMBER(SEARCH("water",LOWER(M399))),"WATER",IF(ISNUMBER(SEARCH("oil",LOWER(M399))),"OIL","UNKNOWN")))))))</f>
        <v/>
      </c>
      <c r="R399" s="12">
        <f>IF(C399="","",C399)</f>
        <v/>
      </c>
      <c r="S399" s="12">
        <f>IF(R399="","",R399+IF(O399&lt;&gt;"",O399,IF(H399="",0,H399)))</f>
        <v/>
      </c>
      <c r="T399" s="12">
        <f>IF(R399="","",MAX(Settings!$B$3,Settings!$B$4*IF(O399&lt;&gt;"",O399,IF(H399="",0,H399))))</f>
        <v/>
      </c>
      <c r="U399" s="11">
        <f>IF(AND(C399&lt;&gt;"",M399&lt;&gt;"",OR(H399&lt;&gt;"",O399&lt;&gt;"")),"COMPLETE",IF(OR(C399&lt;&gt;"",M399&lt;&gt;""),"PARTIAL","MISSING"))</f>
        <v/>
      </c>
      <c r="V399" s="11">
        <f>IF(Q399="UNKNOWN","Check fluid description",IF(AND(R399&lt;&gt;"",S399&lt;&gt;""),"Ready for contact screening","Needs TVD + thickness"))</f>
        <v/>
      </c>
    </row>
    <row r="400">
      <c r="A400" s="9" t="n"/>
      <c r="B400" s="9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9" t="n"/>
      <c r="N400" s="9" t="n"/>
      <c r="O400" s="10" t="n"/>
      <c r="P400" s="9" t="n"/>
      <c r="Q400" s="11">
        <f>IF(P400&lt;&gt;"",P400,IF(M400="","UNKNOWN",IF(AND(ISNUMBER(SEARCH("gas",LOWER(M400))),ISNUMBER(SEARCH("water",LOWER(M400)))),"GAS_WATER",IF(AND(ISNUMBER(SEARCH("oil",LOWER(M400))),ISNUMBER(SEARCH("water",LOWER(M400)))),"OIL_WATER",IF(ISNUMBER(SEARCH("gas",LOWER(M400))),"GAS",IF(ISNUMBER(SEARCH("water",LOWER(M400))),"WATER",IF(ISNUMBER(SEARCH("oil",LOWER(M400))),"OIL","UNKNOWN")))))))</f>
        <v/>
      </c>
      <c r="R400" s="12">
        <f>IF(C400="","",C400)</f>
        <v/>
      </c>
      <c r="S400" s="12">
        <f>IF(R400="","",R400+IF(O400&lt;&gt;"",O400,IF(H400="",0,H400)))</f>
        <v/>
      </c>
      <c r="T400" s="12">
        <f>IF(R400="","",MAX(Settings!$B$3,Settings!$B$4*IF(O400&lt;&gt;"",O400,IF(H400="",0,H400))))</f>
        <v/>
      </c>
      <c r="U400" s="11">
        <f>IF(AND(C400&lt;&gt;"",M400&lt;&gt;"",OR(H400&lt;&gt;"",O400&lt;&gt;"")),"COMPLETE",IF(OR(C400&lt;&gt;"",M400&lt;&gt;""),"PARTIAL","MISSING"))</f>
        <v/>
      </c>
      <c r="V400" s="11">
        <f>IF(Q400="UNKNOWN","Check fluid description",IF(AND(R400&lt;&gt;"",S400&lt;&gt;""),"Ready for contact screening","Needs TVD + thickness"))</f>
        <v/>
      </c>
    </row>
    <row r="401">
      <c r="A401" s="9" t="n"/>
      <c r="B401" s="9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9" t="n"/>
      <c r="N401" s="9" t="n"/>
      <c r="O401" s="10" t="n"/>
      <c r="P401" s="9" t="n"/>
      <c r="Q401" s="11">
        <f>IF(P401&lt;&gt;"",P401,IF(M401="","UNKNOWN",IF(AND(ISNUMBER(SEARCH("gas",LOWER(M401))),ISNUMBER(SEARCH("water",LOWER(M401)))),"GAS_WATER",IF(AND(ISNUMBER(SEARCH("oil",LOWER(M401))),ISNUMBER(SEARCH("water",LOWER(M401)))),"OIL_WATER",IF(ISNUMBER(SEARCH("gas",LOWER(M401))),"GAS",IF(ISNUMBER(SEARCH("water",LOWER(M401))),"WATER",IF(ISNUMBER(SEARCH("oil",LOWER(M401))),"OIL","UNKNOWN")))))))</f>
        <v/>
      </c>
      <c r="R401" s="12">
        <f>IF(C401="","",C401)</f>
        <v/>
      </c>
      <c r="S401" s="12">
        <f>IF(R401="","",R401+IF(O401&lt;&gt;"",O401,IF(H401="",0,H401)))</f>
        <v/>
      </c>
      <c r="T401" s="12">
        <f>IF(R401="","",MAX(Settings!$B$3,Settings!$B$4*IF(O401&lt;&gt;"",O401,IF(H401="",0,H401))))</f>
        <v/>
      </c>
      <c r="U401" s="11">
        <f>IF(AND(C401&lt;&gt;"",M401&lt;&gt;"",OR(H401&lt;&gt;"",O401&lt;&gt;"")),"COMPLETE",IF(OR(C401&lt;&gt;"",M401&lt;&gt;""),"PARTIAL","MISSING"))</f>
        <v/>
      </c>
      <c r="V401" s="11">
        <f>IF(Q401="UNKNOWN","Check fluid description",IF(AND(R401&lt;&gt;"",S401&lt;&gt;""),"Ready for contact screening","Needs TVD + thickness"))</f>
        <v/>
      </c>
    </row>
    <row r="402">
      <c r="A402" s="9" t="n"/>
      <c r="B402" s="9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9" t="n"/>
      <c r="N402" s="9" t="n"/>
      <c r="O402" s="10" t="n"/>
      <c r="P402" s="9" t="n"/>
      <c r="Q402" s="11">
        <f>IF(P402&lt;&gt;"",P402,IF(M402="","UNKNOWN",IF(AND(ISNUMBER(SEARCH("gas",LOWER(M402))),ISNUMBER(SEARCH("water",LOWER(M402)))),"GAS_WATER",IF(AND(ISNUMBER(SEARCH("oil",LOWER(M402))),ISNUMBER(SEARCH("water",LOWER(M402)))),"OIL_WATER",IF(ISNUMBER(SEARCH("gas",LOWER(M402))),"GAS",IF(ISNUMBER(SEARCH("water",LOWER(M402))),"WATER",IF(ISNUMBER(SEARCH("oil",LOWER(M402))),"OIL","UNKNOWN")))))))</f>
        <v/>
      </c>
      <c r="R402" s="12">
        <f>IF(C402="","",C402)</f>
        <v/>
      </c>
      <c r="S402" s="12">
        <f>IF(R402="","",R402+IF(O402&lt;&gt;"",O402,IF(H402="",0,H402)))</f>
        <v/>
      </c>
      <c r="T402" s="12">
        <f>IF(R402="","",MAX(Settings!$B$3,Settings!$B$4*IF(O402&lt;&gt;"",O402,IF(H402="",0,H402))))</f>
        <v/>
      </c>
      <c r="U402" s="11">
        <f>IF(AND(C402&lt;&gt;"",M402&lt;&gt;"",OR(H402&lt;&gt;"",O402&lt;&gt;"")),"COMPLETE",IF(OR(C402&lt;&gt;"",M402&lt;&gt;""),"PARTIAL","MISSING"))</f>
        <v/>
      </c>
      <c r="V402" s="11">
        <f>IF(Q402="UNKNOWN","Check fluid description",IF(AND(R402&lt;&gt;"",S402&lt;&gt;""),"Ready for contact screening","Needs TVD + thickness"))</f>
        <v/>
      </c>
    </row>
    <row r="403">
      <c r="A403" s="9" t="n"/>
      <c r="B403" s="9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9" t="n"/>
      <c r="N403" s="9" t="n"/>
      <c r="O403" s="10" t="n"/>
      <c r="P403" s="9" t="n"/>
      <c r="Q403" s="11">
        <f>IF(P403&lt;&gt;"",P403,IF(M403="","UNKNOWN",IF(AND(ISNUMBER(SEARCH("gas",LOWER(M403))),ISNUMBER(SEARCH("water",LOWER(M403)))),"GAS_WATER",IF(AND(ISNUMBER(SEARCH("oil",LOWER(M403))),ISNUMBER(SEARCH("water",LOWER(M403)))),"OIL_WATER",IF(ISNUMBER(SEARCH("gas",LOWER(M403))),"GAS",IF(ISNUMBER(SEARCH("water",LOWER(M403))),"WATER",IF(ISNUMBER(SEARCH("oil",LOWER(M403))),"OIL","UNKNOWN")))))))</f>
        <v/>
      </c>
      <c r="R403" s="12">
        <f>IF(C403="","",C403)</f>
        <v/>
      </c>
      <c r="S403" s="12">
        <f>IF(R403="","",R403+IF(O403&lt;&gt;"",O403,IF(H403="",0,H403)))</f>
        <v/>
      </c>
      <c r="T403" s="12">
        <f>IF(R403="","",MAX(Settings!$B$3,Settings!$B$4*IF(O403&lt;&gt;"",O403,IF(H403="",0,H403))))</f>
        <v/>
      </c>
      <c r="U403" s="11">
        <f>IF(AND(C403&lt;&gt;"",M403&lt;&gt;"",OR(H403&lt;&gt;"",O403&lt;&gt;"")),"COMPLETE",IF(OR(C403&lt;&gt;"",M403&lt;&gt;""),"PARTIAL","MISSING"))</f>
        <v/>
      </c>
      <c r="V403" s="11">
        <f>IF(Q403="UNKNOWN","Check fluid description",IF(AND(R403&lt;&gt;"",S403&lt;&gt;""),"Ready for contact screening","Needs TVD + thickness"))</f>
        <v/>
      </c>
    </row>
    <row r="404">
      <c r="A404" s="9" t="n"/>
      <c r="B404" s="9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9" t="n"/>
      <c r="N404" s="9" t="n"/>
      <c r="O404" s="10" t="n"/>
      <c r="P404" s="9" t="n"/>
      <c r="Q404" s="11">
        <f>IF(P404&lt;&gt;"",P404,IF(M404="","UNKNOWN",IF(AND(ISNUMBER(SEARCH("gas",LOWER(M404))),ISNUMBER(SEARCH("water",LOWER(M404)))),"GAS_WATER",IF(AND(ISNUMBER(SEARCH("oil",LOWER(M404))),ISNUMBER(SEARCH("water",LOWER(M404)))),"OIL_WATER",IF(ISNUMBER(SEARCH("gas",LOWER(M404))),"GAS",IF(ISNUMBER(SEARCH("water",LOWER(M404))),"WATER",IF(ISNUMBER(SEARCH("oil",LOWER(M404))),"OIL","UNKNOWN")))))))</f>
        <v/>
      </c>
      <c r="R404" s="12">
        <f>IF(C404="","",C404)</f>
        <v/>
      </c>
      <c r="S404" s="12">
        <f>IF(R404="","",R404+IF(O404&lt;&gt;"",O404,IF(H404="",0,H404)))</f>
        <v/>
      </c>
      <c r="T404" s="12">
        <f>IF(R404="","",MAX(Settings!$B$3,Settings!$B$4*IF(O404&lt;&gt;"",O404,IF(H404="",0,H404))))</f>
        <v/>
      </c>
      <c r="U404" s="11">
        <f>IF(AND(C404&lt;&gt;"",M404&lt;&gt;"",OR(H404&lt;&gt;"",O404&lt;&gt;"")),"COMPLETE",IF(OR(C404&lt;&gt;"",M404&lt;&gt;""),"PARTIAL","MISSING"))</f>
        <v/>
      </c>
      <c r="V404" s="11">
        <f>IF(Q404="UNKNOWN","Check fluid description",IF(AND(R404&lt;&gt;"",S404&lt;&gt;""),"Ready for contact screening","Needs TVD + thickness"))</f>
        <v/>
      </c>
    </row>
    <row r="405">
      <c r="A405" s="9" t="n"/>
      <c r="B405" s="9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9" t="n"/>
      <c r="N405" s="9" t="n"/>
      <c r="O405" s="10" t="n"/>
      <c r="P405" s="9" t="n"/>
      <c r="Q405" s="11">
        <f>IF(P405&lt;&gt;"",P405,IF(M405="","UNKNOWN",IF(AND(ISNUMBER(SEARCH("gas",LOWER(M405))),ISNUMBER(SEARCH("water",LOWER(M405)))),"GAS_WATER",IF(AND(ISNUMBER(SEARCH("oil",LOWER(M405))),ISNUMBER(SEARCH("water",LOWER(M405)))),"OIL_WATER",IF(ISNUMBER(SEARCH("gas",LOWER(M405))),"GAS",IF(ISNUMBER(SEARCH("water",LOWER(M405))),"WATER",IF(ISNUMBER(SEARCH("oil",LOWER(M405))),"OIL","UNKNOWN")))))))</f>
        <v/>
      </c>
      <c r="R405" s="12">
        <f>IF(C405="","",C405)</f>
        <v/>
      </c>
      <c r="S405" s="12">
        <f>IF(R405="","",R405+IF(O405&lt;&gt;"",O405,IF(H405="",0,H405)))</f>
        <v/>
      </c>
      <c r="T405" s="12">
        <f>IF(R405="","",MAX(Settings!$B$3,Settings!$B$4*IF(O405&lt;&gt;"",O405,IF(H405="",0,H405))))</f>
        <v/>
      </c>
      <c r="U405" s="11">
        <f>IF(AND(C405&lt;&gt;"",M405&lt;&gt;"",OR(H405&lt;&gt;"",O405&lt;&gt;"")),"COMPLETE",IF(OR(C405&lt;&gt;"",M405&lt;&gt;""),"PARTIAL","MISSING"))</f>
        <v/>
      </c>
      <c r="V405" s="11">
        <f>IF(Q405="UNKNOWN","Check fluid description",IF(AND(R405&lt;&gt;"",S405&lt;&gt;""),"Ready for contact screening","Needs TVD + thickness"))</f>
        <v/>
      </c>
    </row>
    <row r="406">
      <c r="A406" s="9" t="n"/>
      <c r="B406" s="9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9" t="n"/>
      <c r="N406" s="9" t="n"/>
      <c r="O406" s="10" t="n"/>
      <c r="P406" s="9" t="n"/>
      <c r="Q406" s="11">
        <f>IF(P406&lt;&gt;"",P406,IF(M406="","UNKNOWN",IF(AND(ISNUMBER(SEARCH("gas",LOWER(M406))),ISNUMBER(SEARCH("water",LOWER(M406)))),"GAS_WATER",IF(AND(ISNUMBER(SEARCH("oil",LOWER(M406))),ISNUMBER(SEARCH("water",LOWER(M406)))),"OIL_WATER",IF(ISNUMBER(SEARCH("gas",LOWER(M406))),"GAS",IF(ISNUMBER(SEARCH("water",LOWER(M406))),"WATER",IF(ISNUMBER(SEARCH("oil",LOWER(M406))),"OIL","UNKNOWN")))))))</f>
        <v/>
      </c>
      <c r="R406" s="12">
        <f>IF(C406="","",C406)</f>
        <v/>
      </c>
      <c r="S406" s="12">
        <f>IF(R406="","",R406+IF(O406&lt;&gt;"",O406,IF(H406="",0,H406)))</f>
        <v/>
      </c>
      <c r="T406" s="12">
        <f>IF(R406="","",MAX(Settings!$B$3,Settings!$B$4*IF(O406&lt;&gt;"",O406,IF(H406="",0,H406))))</f>
        <v/>
      </c>
      <c r="U406" s="11">
        <f>IF(AND(C406&lt;&gt;"",M406&lt;&gt;"",OR(H406&lt;&gt;"",O406&lt;&gt;"")),"COMPLETE",IF(OR(C406&lt;&gt;"",M406&lt;&gt;""),"PARTIAL","MISSING"))</f>
        <v/>
      </c>
      <c r="V406" s="11">
        <f>IF(Q406="UNKNOWN","Check fluid description",IF(AND(R406&lt;&gt;"",S406&lt;&gt;""),"Ready for contact screening","Needs TVD + thickness"))</f>
        <v/>
      </c>
    </row>
    <row r="407">
      <c r="A407" s="9" t="n"/>
      <c r="B407" s="9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9" t="n"/>
      <c r="N407" s="9" t="n"/>
      <c r="O407" s="10" t="n"/>
      <c r="P407" s="9" t="n"/>
      <c r="Q407" s="11">
        <f>IF(P407&lt;&gt;"",P407,IF(M407="","UNKNOWN",IF(AND(ISNUMBER(SEARCH("gas",LOWER(M407))),ISNUMBER(SEARCH("water",LOWER(M407)))),"GAS_WATER",IF(AND(ISNUMBER(SEARCH("oil",LOWER(M407))),ISNUMBER(SEARCH("water",LOWER(M407)))),"OIL_WATER",IF(ISNUMBER(SEARCH("gas",LOWER(M407))),"GAS",IF(ISNUMBER(SEARCH("water",LOWER(M407))),"WATER",IF(ISNUMBER(SEARCH("oil",LOWER(M407))),"OIL","UNKNOWN")))))))</f>
        <v/>
      </c>
      <c r="R407" s="12">
        <f>IF(C407="","",C407)</f>
        <v/>
      </c>
      <c r="S407" s="12">
        <f>IF(R407="","",R407+IF(O407&lt;&gt;"",O407,IF(H407="",0,H407)))</f>
        <v/>
      </c>
      <c r="T407" s="12">
        <f>IF(R407="","",MAX(Settings!$B$3,Settings!$B$4*IF(O407&lt;&gt;"",O407,IF(H407="",0,H407))))</f>
        <v/>
      </c>
      <c r="U407" s="11">
        <f>IF(AND(C407&lt;&gt;"",M407&lt;&gt;"",OR(H407&lt;&gt;"",O407&lt;&gt;"")),"COMPLETE",IF(OR(C407&lt;&gt;"",M407&lt;&gt;""),"PARTIAL","MISSING"))</f>
        <v/>
      </c>
      <c r="V407" s="11">
        <f>IF(Q407="UNKNOWN","Check fluid description",IF(AND(R407&lt;&gt;"",S407&lt;&gt;""),"Ready for contact screening","Needs TVD + thickness"))</f>
        <v/>
      </c>
    </row>
    <row r="408">
      <c r="A408" s="9" t="n"/>
      <c r="B408" s="9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9" t="n"/>
      <c r="N408" s="9" t="n"/>
      <c r="O408" s="10" t="n"/>
      <c r="P408" s="9" t="n"/>
      <c r="Q408" s="11">
        <f>IF(P408&lt;&gt;"",P408,IF(M408="","UNKNOWN",IF(AND(ISNUMBER(SEARCH("gas",LOWER(M408))),ISNUMBER(SEARCH("water",LOWER(M408)))),"GAS_WATER",IF(AND(ISNUMBER(SEARCH("oil",LOWER(M408))),ISNUMBER(SEARCH("water",LOWER(M408)))),"OIL_WATER",IF(ISNUMBER(SEARCH("gas",LOWER(M408))),"GAS",IF(ISNUMBER(SEARCH("water",LOWER(M408))),"WATER",IF(ISNUMBER(SEARCH("oil",LOWER(M408))),"OIL","UNKNOWN")))))))</f>
        <v/>
      </c>
      <c r="R408" s="12">
        <f>IF(C408="","",C408)</f>
        <v/>
      </c>
      <c r="S408" s="12">
        <f>IF(R408="","",R408+IF(O408&lt;&gt;"",O408,IF(H408="",0,H408)))</f>
        <v/>
      </c>
      <c r="T408" s="12">
        <f>IF(R408="","",MAX(Settings!$B$3,Settings!$B$4*IF(O408&lt;&gt;"",O408,IF(H408="",0,H408))))</f>
        <v/>
      </c>
      <c r="U408" s="11">
        <f>IF(AND(C408&lt;&gt;"",M408&lt;&gt;"",OR(H408&lt;&gt;"",O408&lt;&gt;"")),"COMPLETE",IF(OR(C408&lt;&gt;"",M408&lt;&gt;""),"PARTIAL","MISSING"))</f>
        <v/>
      </c>
      <c r="V408" s="11">
        <f>IF(Q408="UNKNOWN","Check fluid description",IF(AND(R408&lt;&gt;"",S408&lt;&gt;""),"Ready for contact screening","Needs TVD + thickness"))</f>
        <v/>
      </c>
    </row>
    <row r="409">
      <c r="A409" s="9" t="n"/>
      <c r="B409" s="9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9" t="n"/>
      <c r="N409" s="9" t="n"/>
      <c r="O409" s="10" t="n"/>
      <c r="P409" s="9" t="n"/>
      <c r="Q409" s="11">
        <f>IF(P409&lt;&gt;"",P409,IF(M409="","UNKNOWN",IF(AND(ISNUMBER(SEARCH("gas",LOWER(M409))),ISNUMBER(SEARCH("water",LOWER(M409)))),"GAS_WATER",IF(AND(ISNUMBER(SEARCH("oil",LOWER(M409))),ISNUMBER(SEARCH("water",LOWER(M409)))),"OIL_WATER",IF(ISNUMBER(SEARCH("gas",LOWER(M409))),"GAS",IF(ISNUMBER(SEARCH("water",LOWER(M409))),"WATER",IF(ISNUMBER(SEARCH("oil",LOWER(M409))),"OIL","UNKNOWN")))))))</f>
        <v/>
      </c>
      <c r="R409" s="12">
        <f>IF(C409="","",C409)</f>
        <v/>
      </c>
      <c r="S409" s="12">
        <f>IF(R409="","",R409+IF(O409&lt;&gt;"",O409,IF(H409="",0,H409)))</f>
        <v/>
      </c>
      <c r="T409" s="12">
        <f>IF(R409="","",MAX(Settings!$B$3,Settings!$B$4*IF(O409&lt;&gt;"",O409,IF(H409="",0,H409))))</f>
        <v/>
      </c>
      <c r="U409" s="11">
        <f>IF(AND(C409&lt;&gt;"",M409&lt;&gt;"",OR(H409&lt;&gt;"",O409&lt;&gt;"")),"COMPLETE",IF(OR(C409&lt;&gt;"",M409&lt;&gt;""),"PARTIAL","MISSING"))</f>
        <v/>
      </c>
      <c r="V409" s="11">
        <f>IF(Q409="UNKNOWN","Check fluid description",IF(AND(R409&lt;&gt;"",S409&lt;&gt;""),"Ready for contact screening","Needs TVD + thickness"))</f>
        <v/>
      </c>
    </row>
    <row r="410">
      <c r="A410" s="9" t="n"/>
      <c r="B410" s="9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9" t="n"/>
      <c r="N410" s="9" t="n"/>
      <c r="O410" s="10" t="n"/>
      <c r="P410" s="9" t="n"/>
      <c r="Q410" s="11">
        <f>IF(P410&lt;&gt;"",P410,IF(M410="","UNKNOWN",IF(AND(ISNUMBER(SEARCH("gas",LOWER(M410))),ISNUMBER(SEARCH("water",LOWER(M410)))),"GAS_WATER",IF(AND(ISNUMBER(SEARCH("oil",LOWER(M410))),ISNUMBER(SEARCH("water",LOWER(M410)))),"OIL_WATER",IF(ISNUMBER(SEARCH("gas",LOWER(M410))),"GAS",IF(ISNUMBER(SEARCH("water",LOWER(M410))),"WATER",IF(ISNUMBER(SEARCH("oil",LOWER(M410))),"OIL","UNKNOWN")))))))</f>
        <v/>
      </c>
      <c r="R410" s="12">
        <f>IF(C410="","",C410)</f>
        <v/>
      </c>
      <c r="S410" s="12">
        <f>IF(R410="","",R410+IF(O410&lt;&gt;"",O410,IF(H410="",0,H410)))</f>
        <v/>
      </c>
      <c r="T410" s="12">
        <f>IF(R410="","",MAX(Settings!$B$3,Settings!$B$4*IF(O410&lt;&gt;"",O410,IF(H410="",0,H410))))</f>
        <v/>
      </c>
      <c r="U410" s="11">
        <f>IF(AND(C410&lt;&gt;"",M410&lt;&gt;"",OR(H410&lt;&gt;"",O410&lt;&gt;"")),"COMPLETE",IF(OR(C410&lt;&gt;"",M410&lt;&gt;""),"PARTIAL","MISSING"))</f>
        <v/>
      </c>
      <c r="V410" s="11">
        <f>IF(Q410="UNKNOWN","Check fluid description",IF(AND(R410&lt;&gt;"",S410&lt;&gt;""),"Ready for contact screening","Needs TVD + thickness"))</f>
        <v/>
      </c>
    </row>
    <row r="411">
      <c r="A411" s="9" t="n"/>
      <c r="B411" s="9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9" t="n"/>
      <c r="N411" s="9" t="n"/>
      <c r="O411" s="10" t="n"/>
      <c r="P411" s="9" t="n"/>
      <c r="Q411" s="11">
        <f>IF(P411&lt;&gt;"",P411,IF(M411="","UNKNOWN",IF(AND(ISNUMBER(SEARCH("gas",LOWER(M411))),ISNUMBER(SEARCH("water",LOWER(M411)))),"GAS_WATER",IF(AND(ISNUMBER(SEARCH("oil",LOWER(M411))),ISNUMBER(SEARCH("water",LOWER(M411)))),"OIL_WATER",IF(ISNUMBER(SEARCH("gas",LOWER(M411))),"GAS",IF(ISNUMBER(SEARCH("water",LOWER(M411))),"WATER",IF(ISNUMBER(SEARCH("oil",LOWER(M411))),"OIL","UNKNOWN")))))))</f>
        <v/>
      </c>
      <c r="R411" s="12">
        <f>IF(C411="","",C411)</f>
        <v/>
      </c>
      <c r="S411" s="12">
        <f>IF(R411="","",R411+IF(O411&lt;&gt;"",O411,IF(H411="",0,H411)))</f>
        <v/>
      </c>
      <c r="T411" s="12">
        <f>IF(R411="","",MAX(Settings!$B$3,Settings!$B$4*IF(O411&lt;&gt;"",O411,IF(H411="",0,H411))))</f>
        <v/>
      </c>
      <c r="U411" s="11">
        <f>IF(AND(C411&lt;&gt;"",M411&lt;&gt;"",OR(H411&lt;&gt;"",O411&lt;&gt;"")),"COMPLETE",IF(OR(C411&lt;&gt;"",M411&lt;&gt;""),"PARTIAL","MISSING"))</f>
        <v/>
      </c>
      <c r="V411" s="11">
        <f>IF(Q411="UNKNOWN","Check fluid description",IF(AND(R411&lt;&gt;"",S411&lt;&gt;""),"Ready for contact screening","Needs TVD + thickness"))</f>
        <v/>
      </c>
    </row>
    <row r="412">
      <c r="A412" s="9" t="n"/>
      <c r="B412" s="9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9" t="n"/>
      <c r="N412" s="9" t="n"/>
      <c r="O412" s="10" t="n"/>
      <c r="P412" s="9" t="n"/>
      <c r="Q412" s="11">
        <f>IF(P412&lt;&gt;"",P412,IF(M412="","UNKNOWN",IF(AND(ISNUMBER(SEARCH("gas",LOWER(M412))),ISNUMBER(SEARCH("water",LOWER(M412)))),"GAS_WATER",IF(AND(ISNUMBER(SEARCH("oil",LOWER(M412))),ISNUMBER(SEARCH("water",LOWER(M412)))),"OIL_WATER",IF(ISNUMBER(SEARCH("gas",LOWER(M412))),"GAS",IF(ISNUMBER(SEARCH("water",LOWER(M412))),"WATER",IF(ISNUMBER(SEARCH("oil",LOWER(M412))),"OIL","UNKNOWN")))))))</f>
        <v/>
      </c>
      <c r="R412" s="12">
        <f>IF(C412="","",C412)</f>
        <v/>
      </c>
      <c r="S412" s="12">
        <f>IF(R412="","",R412+IF(O412&lt;&gt;"",O412,IF(H412="",0,H412)))</f>
        <v/>
      </c>
      <c r="T412" s="12">
        <f>IF(R412="","",MAX(Settings!$B$3,Settings!$B$4*IF(O412&lt;&gt;"",O412,IF(H412="",0,H412))))</f>
        <v/>
      </c>
      <c r="U412" s="11">
        <f>IF(AND(C412&lt;&gt;"",M412&lt;&gt;"",OR(H412&lt;&gt;"",O412&lt;&gt;"")),"COMPLETE",IF(OR(C412&lt;&gt;"",M412&lt;&gt;""),"PARTIAL","MISSING"))</f>
        <v/>
      </c>
      <c r="V412" s="11">
        <f>IF(Q412="UNKNOWN","Check fluid description",IF(AND(R412&lt;&gt;"",S412&lt;&gt;""),"Ready for contact screening","Needs TVD + thickness"))</f>
        <v/>
      </c>
    </row>
    <row r="413">
      <c r="A413" s="9" t="n"/>
      <c r="B413" s="9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9" t="n"/>
      <c r="N413" s="9" t="n"/>
      <c r="O413" s="10" t="n"/>
      <c r="P413" s="9" t="n"/>
      <c r="Q413" s="11">
        <f>IF(P413&lt;&gt;"",P413,IF(M413="","UNKNOWN",IF(AND(ISNUMBER(SEARCH("gas",LOWER(M413))),ISNUMBER(SEARCH("water",LOWER(M413)))),"GAS_WATER",IF(AND(ISNUMBER(SEARCH("oil",LOWER(M413))),ISNUMBER(SEARCH("water",LOWER(M413)))),"OIL_WATER",IF(ISNUMBER(SEARCH("gas",LOWER(M413))),"GAS",IF(ISNUMBER(SEARCH("water",LOWER(M413))),"WATER",IF(ISNUMBER(SEARCH("oil",LOWER(M413))),"OIL","UNKNOWN")))))))</f>
        <v/>
      </c>
      <c r="R413" s="12">
        <f>IF(C413="","",C413)</f>
        <v/>
      </c>
      <c r="S413" s="12">
        <f>IF(R413="","",R413+IF(O413&lt;&gt;"",O413,IF(H413="",0,H413)))</f>
        <v/>
      </c>
      <c r="T413" s="12">
        <f>IF(R413="","",MAX(Settings!$B$3,Settings!$B$4*IF(O413&lt;&gt;"",O413,IF(H413="",0,H413))))</f>
        <v/>
      </c>
      <c r="U413" s="11">
        <f>IF(AND(C413&lt;&gt;"",M413&lt;&gt;"",OR(H413&lt;&gt;"",O413&lt;&gt;"")),"COMPLETE",IF(OR(C413&lt;&gt;"",M413&lt;&gt;""),"PARTIAL","MISSING"))</f>
        <v/>
      </c>
      <c r="V413" s="11">
        <f>IF(Q413="UNKNOWN","Check fluid description",IF(AND(R413&lt;&gt;"",S413&lt;&gt;""),"Ready for contact screening","Needs TVD + thickness"))</f>
        <v/>
      </c>
    </row>
    <row r="414">
      <c r="A414" s="9" t="n"/>
      <c r="B414" s="9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9" t="n"/>
      <c r="N414" s="9" t="n"/>
      <c r="O414" s="10" t="n"/>
      <c r="P414" s="9" t="n"/>
      <c r="Q414" s="11">
        <f>IF(P414&lt;&gt;"",P414,IF(M414="","UNKNOWN",IF(AND(ISNUMBER(SEARCH("gas",LOWER(M414))),ISNUMBER(SEARCH("water",LOWER(M414)))),"GAS_WATER",IF(AND(ISNUMBER(SEARCH("oil",LOWER(M414))),ISNUMBER(SEARCH("water",LOWER(M414)))),"OIL_WATER",IF(ISNUMBER(SEARCH("gas",LOWER(M414))),"GAS",IF(ISNUMBER(SEARCH("water",LOWER(M414))),"WATER",IF(ISNUMBER(SEARCH("oil",LOWER(M414))),"OIL","UNKNOWN")))))))</f>
        <v/>
      </c>
      <c r="R414" s="12">
        <f>IF(C414="","",C414)</f>
        <v/>
      </c>
      <c r="S414" s="12">
        <f>IF(R414="","",R414+IF(O414&lt;&gt;"",O414,IF(H414="",0,H414)))</f>
        <v/>
      </c>
      <c r="T414" s="12">
        <f>IF(R414="","",MAX(Settings!$B$3,Settings!$B$4*IF(O414&lt;&gt;"",O414,IF(H414="",0,H414))))</f>
        <v/>
      </c>
      <c r="U414" s="11">
        <f>IF(AND(C414&lt;&gt;"",M414&lt;&gt;"",OR(H414&lt;&gt;"",O414&lt;&gt;"")),"COMPLETE",IF(OR(C414&lt;&gt;"",M414&lt;&gt;""),"PARTIAL","MISSING"))</f>
        <v/>
      </c>
      <c r="V414" s="11">
        <f>IF(Q414="UNKNOWN","Check fluid description",IF(AND(R414&lt;&gt;"",S414&lt;&gt;""),"Ready for contact screening","Needs TVD + thickness"))</f>
        <v/>
      </c>
    </row>
    <row r="415">
      <c r="A415" s="9" t="n"/>
      <c r="B415" s="9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9" t="n"/>
      <c r="N415" s="9" t="n"/>
      <c r="O415" s="10" t="n"/>
      <c r="P415" s="9" t="n"/>
      <c r="Q415" s="11">
        <f>IF(P415&lt;&gt;"",P415,IF(M415="","UNKNOWN",IF(AND(ISNUMBER(SEARCH("gas",LOWER(M415))),ISNUMBER(SEARCH("water",LOWER(M415)))),"GAS_WATER",IF(AND(ISNUMBER(SEARCH("oil",LOWER(M415))),ISNUMBER(SEARCH("water",LOWER(M415)))),"OIL_WATER",IF(ISNUMBER(SEARCH("gas",LOWER(M415))),"GAS",IF(ISNUMBER(SEARCH("water",LOWER(M415))),"WATER",IF(ISNUMBER(SEARCH("oil",LOWER(M415))),"OIL","UNKNOWN")))))))</f>
        <v/>
      </c>
      <c r="R415" s="12">
        <f>IF(C415="","",C415)</f>
        <v/>
      </c>
      <c r="S415" s="12">
        <f>IF(R415="","",R415+IF(O415&lt;&gt;"",O415,IF(H415="",0,H415)))</f>
        <v/>
      </c>
      <c r="T415" s="12">
        <f>IF(R415="","",MAX(Settings!$B$3,Settings!$B$4*IF(O415&lt;&gt;"",O415,IF(H415="",0,H415))))</f>
        <v/>
      </c>
      <c r="U415" s="11">
        <f>IF(AND(C415&lt;&gt;"",M415&lt;&gt;"",OR(H415&lt;&gt;"",O415&lt;&gt;"")),"COMPLETE",IF(OR(C415&lt;&gt;"",M415&lt;&gt;""),"PARTIAL","MISSING"))</f>
        <v/>
      </c>
      <c r="V415" s="11">
        <f>IF(Q415="UNKNOWN","Check fluid description",IF(AND(R415&lt;&gt;"",S415&lt;&gt;""),"Ready for contact screening","Needs TVD + thickness"))</f>
        <v/>
      </c>
    </row>
    <row r="416">
      <c r="A416" s="9" t="n"/>
      <c r="B416" s="9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9" t="n"/>
      <c r="N416" s="9" t="n"/>
      <c r="O416" s="10" t="n"/>
      <c r="P416" s="9" t="n"/>
      <c r="Q416" s="11">
        <f>IF(P416&lt;&gt;"",P416,IF(M416="","UNKNOWN",IF(AND(ISNUMBER(SEARCH("gas",LOWER(M416))),ISNUMBER(SEARCH("water",LOWER(M416)))),"GAS_WATER",IF(AND(ISNUMBER(SEARCH("oil",LOWER(M416))),ISNUMBER(SEARCH("water",LOWER(M416)))),"OIL_WATER",IF(ISNUMBER(SEARCH("gas",LOWER(M416))),"GAS",IF(ISNUMBER(SEARCH("water",LOWER(M416))),"WATER",IF(ISNUMBER(SEARCH("oil",LOWER(M416))),"OIL","UNKNOWN")))))))</f>
        <v/>
      </c>
      <c r="R416" s="12">
        <f>IF(C416="","",C416)</f>
        <v/>
      </c>
      <c r="S416" s="12">
        <f>IF(R416="","",R416+IF(O416&lt;&gt;"",O416,IF(H416="",0,H416)))</f>
        <v/>
      </c>
      <c r="T416" s="12">
        <f>IF(R416="","",MAX(Settings!$B$3,Settings!$B$4*IF(O416&lt;&gt;"",O416,IF(H416="",0,H416))))</f>
        <v/>
      </c>
      <c r="U416" s="11">
        <f>IF(AND(C416&lt;&gt;"",M416&lt;&gt;"",OR(H416&lt;&gt;"",O416&lt;&gt;"")),"COMPLETE",IF(OR(C416&lt;&gt;"",M416&lt;&gt;""),"PARTIAL","MISSING"))</f>
        <v/>
      </c>
      <c r="V416" s="11">
        <f>IF(Q416="UNKNOWN","Check fluid description",IF(AND(R416&lt;&gt;"",S416&lt;&gt;""),"Ready for contact screening","Needs TVD + thickness"))</f>
        <v/>
      </c>
    </row>
    <row r="417">
      <c r="A417" s="9" t="n"/>
      <c r="B417" s="9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9" t="n"/>
      <c r="N417" s="9" t="n"/>
      <c r="O417" s="10" t="n"/>
      <c r="P417" s="9" t="n"/>
      <c r="Q417" s="11">
        <f>IF(P417&lt;&gt;"",P417,IF(M417="","UNKNOWN",IF(AND(ISNUMBER(SEARCH("gas",LOWER(M417))),ISNUMBER(SEARCH("water",LOWER(M417)))),"GAS_WATER",IF(AND(ISNUMBER(SEARCH("oil",LOWER(M417))),ISNUMBER(SEARCH("water",LOWER(M417)))),"OIL_WATER",IF(ISNUMBER(SEARCH("gas",LOWER(M417))),"GAS",IF(ISNUMBER(SEARCH("water",LOWER(M417))),"WATER",IF(ISNUMBER(SEARCH("oil",LOWER(M417))),"OIL","UNKNOWN")))))))</f>
        <v/>
      </c>
      <c r="R417" s="12">
        <f>IF(C417="","",C417)</f>
        <v/>
      </c>
      <c r="S417" s="12">
        <f>IF(R417="","",R417+IF(O417&lt;&gt;"",O417,IF(H417="",0,H417)))</f>
        <v/>
      </c>
      <c r="T417" s="12">
        <f>IF(R417="","",MAX(Settings!$B$3,Settings!$B$4*IF(O417&lt;&gt;"",O417,IF(H417="",0,H417))))</f>
        <v/>
      </c>
      <c r="U417" s="11">
        <f>IF(AND(C417&lt;&gt;"",M417&lt;&gt;"",OR(H417&lt;&gt;"",O417&lt;&gt;"")),"COMPLETE",IF(OR(C417&lt;&gt;"",M417&lt;&gt;""),"PARTIAL","MISSING"))</f>
        <v/>
      </c>
      <c r="V417" s="11">
        <f>IF(Q417="UNKNOWN","Check fluid description",IF(AND(R417&lt;&gt;"",S417&lt;&gt;""),"Ready for contact screening","Needs TVD + thickness"))</f>
        <v/>
      </c>
    </row>
    <row r="418">
      <c r="A418" s="9" t="n"/>
      <c r="B418" s="9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9" t="n"/>
      <c r="N418" s="9" t="n"/>
      <c r="O418" s="10" t="n"/>
      <c r="P418" s="9" t="n"/>
      <c r="Q418" s="11">
        <f>IF(P418&lt;&gt;"",P418,IF(M418="","UNKNOWN",IF(AND(ISNUMBER(SEARCH("gas",LOWER(M418))),ISNUMBER(SEARCH("water",LOWER(M418)))),"GAS_WATER",IF(AND(ISNUMBER(SEARCH("oil",LOWER(M418))),ISNUMBER(SEARCH("water",LOWER(M418)))),"OIL_WATER",IF(ISNUMBER(SEARCH("gas",LOWER(M418))),"GAS",IF(ISNUMBER(SEARCH("water",LOWER(M418))),"WATER",IF(ISNUMBER(SEARCH("oil",LOWER(M418))),"OIL","UNKNOWN")))))))</f>
        <v/>
      </c>
      <c r="R418" s="12">
        <f>IF(C418="","",C418)</f>
        <v/>
      </c>
      <c r="S418" s="12">
        <f>IF(R418="","",R418+IF(O418&lt;&gt;"",O418,IF(H418="",0,H418)))</f>
        <v/>
      </c>
      <c r="T418" s="12">
        <f>IF(R418="","",MAX(Settings!$B$3,Settings!$B$4*IF(O418&lt;&gt;"",O418,IF(H418="",0,H418))))</f>
        <v/>
      </c>
      <c r="U418" s="11">
        <f>IF(AND(C418&lt;&gt;"",M418&lt;&gt;"",OR(H418&lt;&gt;"",O418&lt;&gt;"")),"COMPLETE",IF(OR(C418&lt;&gt;"",M418&lt;&gt;""),"PARTIAL","MISSING"))</f>
        <v/>
      </c>
      <c r="V418" s="11">
        <f>IF(Q418="UNKNOWN","Check fluid description",IF(AND(R418&lt;&gt;"",S418&lt;&gt;""),"Ready for contact screening","Needs TVD + thickness"))</f>
        <v/>
      </c>
    </row>
    <row r="419">
      <c r="A419" s="9" t="n"/>
      <c r="B419" s="9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9" t="n"/>
      <c r="N419" s="9" t="n"/>
      <c r="O419" s="10" t="n"/>
      <c r="P419" s="9" t="n"/>
      <c r="Q419" s="11">
        <f>IF(P419&lt;&gt;"",P419,IF(M419="","UNKNOWN",IF(AND(ISNUMBER(SEARCH("gas",LOWER(M419))),ISNUMBER(SEARCH("water",LOWER(M419)))),"GAS_WATER",IF(AND(ISNUMBER(SEARCH("oil",LOWER(M419))),ISNUMBER(SEARCH("water",LOWER(M419)))),"OIL_WATER",IF(ISNUMBER(SEARCH("gas",LOWER(M419))),"GAS",IF(ISNUMBER(SEARCH("water",LOWER(M419))),"WATER",IF(ISNUMBER(SEARCH("oil",LOWER(M419))),"OIL","UNKNOWN")))))))</f>
        <v/>
      </c>
      <c r="R419" s="12">
        <f>IF(C419="","",C419)</f>
        <v/>
      </c>
      <c r="S419" s="12">
        <f>IF(R419="","",R419+IF(O419&lt;&gt;"",O419,IF(H419="",0,H419)))</f>
        <v/>
      </c>
      <c r="T419" s="12">
        <f>IF(R419="","",MAX(Settings!$B$3,Settings!$B$4*IF(O419&lt;&gt;"",O419,IF(H419="",0,H419))))</f>
        <v/>
      </c>
      <c r="U419" s="11">
        <f>IF(AND(C419&lt;&gt;"",M419&lt;&gt;"",OR(H419&lt;&gt;"",O419&lt;&gt;"")),"COMPLETE",IF(OR(C419&lt;&gt;"",M419&lt;&gt;""),"PARTIAL","MISSING"))</f>
        <v/>
      </c>
      <c r="V419" s="11">
        <f>IF(Q419="UNKNOWN","Check fluid description",IF(AND(R419&lt;&gt;"",S419&lt;&gt;""),"Ready for contact screening","Needs TVD + thickness"))</f>
        <v/>
      </c>
    </row>
    <row r="420">
      <c r="A420" s="9" t="n"/>
      <c r="B420" s="9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9" t="n"/>
      <c r="N420" s="9" t="n"/>
      <c r="O420" s="10" t="n"/>
      <c r="P420" s="9" t="n"/>
      <c r="Q420" s="11">
        <f>IF(P420&lt;&gt;"",P420,IF(M420="","UNKNOWN",IF(AND(ISNUMBER(SEARCH("gas",LOWER(M420))),ISNUMBER(SEARCH("water",LOWER(M420)))),"GAS_WATER",IF(AND(ISNUMBER(SEARCH("oil",LOWER(M420))),ISNUMBER(SEARCH("water",LOWER(M420)))),"OIL_WATER",IF(ISNUMBER(SEARCH("gas",LOWER(M420))),"GAS",IF(ISNUMBER(SEARCH("water",LOWER(M420))),"WATER",IF(ISNUMBER(SEARCH("oil",LOWER(M420))),"OIL","UNKNOWN")))))))</f>
        <v/>
      </c>
      <c r="R420" s="12">
        <f>IF(C420="","",C420)</f>
        <v/>
      </c>
      <c r="S420" s="12">
        <f>IF(R420="","",R420+IF(O420&lt;&gt;"",O420,IF(H420="",0,H420)))</f>
        <v/>
      </c>
      <c r="T420" s="12">
        <f>IF(R420="","",MAX(Settings!$B$3,Settings!$B$4*IF(O420&lt;&gt;"",O420,IF(H420="",0,H420))))</f>
        <v/>
      </c>
      <c r="U420" s="11">
        <f>IF(AND(C420&lt;&gt;"",M420&lt;&gt;"",OR(H420&lt;&gt;"",O420&lt;&gt;"")),"COMPLETE",IF(OR(C420&lt;&gt;"",M420&lt;&gt;""),"PARTIAL","MISSING"))</f>
        <v/>
      </c>
      <c r="V420" s="11">
        <f>IF(Q420="UNKNOWN","Check fluid description",IF(AND(R420&lt;&gt;"",S420&lt;&gt;""),"Ready for contact screening","Needs TVD + thickness"))</f>
        <v/>
      </c>
    </row>
    <row r="421">
      <c r="A421" s="9" t="n"/>
      <c r="B421" s="9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9" t="n"/>
      <c r="N421" s="9" t="n"/>
      <c r="O421" s="10" t="n"/>
      <c r="P421" s="9" t="n"/>
      <c r="Q421" s="11">
        <f>IF(P421&lt;&gt;"",P421,IF(M421="","UNKNOWN",IF(AND(ISNUMBER(SEARCH("gas",LOWER(M421))),ISNUMBER(SEARCH("water",LOWER(M421)))),"GAS_WATER",IF(AND(ISNUMBER(SEARCH("oil",LOWER(M421))),ISNUMBER(SEARCH("water",LOWER(M421)))),"OIL_WATER",IF(ISNUMBER(SEARCH("gas",LOWER(M421))),"GAS",IF(ISNUMBER(SEARCH("water",LOWER(M421))),"WATER",IF(ISNUMBER(SEARCH("oil",LOWER(M421))),"OIL","UNKNOWN")))))))</f>
        <v/>
      </c>
      <c r="R421" s="12">
        <f>IF(C421="","",C421)</f>
        <v/>
      </c>
      <c r="S421" s="12">
        <f>IF(R421="","",R421+IF(O421&lt;&gt;"",O421,IF(H421="",0,H421)))</f>
        <v/>
      </c>
      <c r="T421" s="12">
        <f>IF(R421="","",MAX(Settings!$B$3,Settings!$B$4*IF(O421&lt;&gt;"",O421,IF(H421="",0,H421))))</f>
        <v/>
      </c>
      <c r="U421" s="11">
        <f>IF(AND(C421&lt;&gt;"",M421&lt;&gt;"",OR(H421&lt;&gt;"",O421&lt;&gt;"")),"COMPLETE",IF(OR(C421&lt;&gt;"",M421&lt;&gt;""),"PARTIAL","MISSING"))</f>
        <v/>
      </c>
      <c r="V421" s="11">
        <f>IF(Q421="UNKNOWN","Check fluid description",IF(AND(R421&lt;&gt;"",S421&lt;&gt;""),"Ready for contact screening","Needs TVD + thickness"))</f>
        <v/>
      </c>
    </row>
    <row r="422">
      <c r="A422" s="9" t="n"/>
      <c r="B422" s="9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9" t="n"/>
      <c r="N422" s="9" t="n"/>
      <c r="O422" s="10" t="n"/>
      <c r="P422" s="9" t="n"/>
      <c r="Q422" s="11">
        <f>IF(P422&lt;&gt;"",P422,IF(M422="","UNKNOWN",IF(AND(ISNUMBER(SEARCH("gas",LOWER(M422))),ISNUMBER(SEARCH("water",LOWER(M422)))),"GAS_WATER",IF(AND(ISNUMBER(SEARCH("oil",LOWER(M422))),ISNUMBER(SEARCH("water",LOWER(M422)))),"OIL_WATER",IF(ISNUMBER(SEARCH("gas",LOWER(M422))),"GAS",IF(ISNUMBER(SEARCH("water",LOWER(M422))),"WATER",IF(ISNUMBER(SEARCH("oil",LOWER(M422))),"OIL","UNKNOWN")))))))</f>
        <v/>
      </c>
      <c r="R422" s="12">
        <f>IF(C422="","",C422)</f>
        <v/>
      </c>
      <c r="S422" s="12">
        <f>IF(R422="","",R422+IF(O422&lt;&gt;"",O422,IF(H422="",0,H422)))</f>
        <v/>
      </c>
      <c r="T422" s="12">
        <f>IF(R422="","",MAX(Settings!$B$3,Settings!$B$4*IF(O422&lt;&gt;"",O422,IF(H422="",0,H422))))</f>
        <v/>
      </c>
      <c r="U422" s="11">
        <f>IF(AND(C422&lt;&gt;"",M422&lt;&gt;"",OR(H422&lt;&gt;"",O422&lt;&gt;"")),"COMPLETE",IF(OR(C422&lt;&gt;"",M422&lt;&gt;""),"PARTIAL","MISSING"))</f>
        <v/>
      </c>
      <c r="V422" s="11">
        <f>IF(Q422="UNKNOWN","Check fluid description",IF(AND(R422&lt;&gt;"",S422&lt;&gt;""),"Ready for contact screening","Needs TVD + thickness"))</f>
        <v/>
      </c>
    </row>
    <row r="423">
      <c r="A423" s="9" t="n"/>
      <c r="B423" s="9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9" t="n"/>
      <c r="N423" s="9" t="n"/>
      <c r="O423" s="10" t="n"/>
      <c r="P423" s="9" t="n"/>
      <c r="Q423" s="11">
        <f>IF(P423&lt;&gt;"",P423,IF(M423="","UNKNOWN",IF(AND(ISNUMBER(SEARCH("gas",LOWER(M423))),ISNUMBER(SEARCH("water",LOWER(M423)))),"GAS_WATER",IF(AND(ISNUMBER(SEARCH("oil",LOWER(M423))),ISNUMBER(SEARCH("water",LOWER(M423)))),"OIL_WATER",IF(ISNUMBER(SEARCH("gas",LOWER(M423))),"GAS",IF(ISNUMBER(SEARCH("water",LOWER(M423))),"WATER",IF(ISNUMBER(SEARCH("oil",LOWER(M423))),"OIL","UNKNOWN")))))))</f>
        <v/>
      </c>
      <c r="R423" s="12">
        <f>IF(C423="","",C423)</f>
        <v/>
      </c>
      <c r="S423" s="12">
        <f>IF(R423="","",R423+IF(O423&lt;&gt;"",O423,IF(H423="",0,H423)))</f>
        <v/>
      </c>
      <c r="T423" s="12">
        <f>IF(R423="","",MAX(Settings!$B$3,Settings!$B$4*IF(O423&lt;&gt;"",O423,IF(H423="",0,H423))))</f>
        <v/>
      </c>
      <c r="U423" s="11">
        <f>IF(AND(C423&lt;&gt;"",M423&lt;&gt;"",OR(H423&lt;&gt;"",O423&lt;&gt;"")),"COMPLETE",IF(OR(C423&lt;&gt;"",M423&lt;&gt;""),"PARTIAL","MISSING"))</f>
        <v/>
      </c>
      <c r="V423" s="11">
        <f>IF(Q423="UNKNOWN","Check fluid description",IF(AND(R423&lt;&gt;"",S423&lt;&gt;""),"Ready for contact screening","Needs TVD + thickness"))</f>
        <v/>
      </c>
    </row>
    <row r="424">
      <c r="A424" s="9" t="n"/>
      <c r="B424" s="9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9" t="n"/>
      <c r="N424" s="9" t="n"/>
      <c r="O424" s="10" t="n"/>
      <c r="P424" s="9" t="n"/>
      <c r="Q424" s="11">
        <f>IF(P424&lt;&gt;"",P424,IF(M424="","UNKNOWN",IF(AND(ISNUMBER(SEARCH("gas",LOWER(M424))),ISNUMBER(SEARCH("water",LOWER(M424)))),"GAS_WATER",IF(AND(ISNUMBER(SEARCH("oil",LOWER(M424))),ISNUMBER(SEARCH("water",LOWER(M424)))),"OIL_WATER",IF(ISNUMBER(SEARCH("gas",LOWER(M424))),"GAS",IF(ISNUMBER(SEARCH("water",LOWER(M424))),"WATER",IF(ISNUMBER(SEARCH("oil",LOWER(M424))),"OIL","UNKNOWN")))))))</f>
        <v/>
      </c>
      <c r="R424" s="12">
        <f>IF(C424="","",C424)</f>
        <v/>
      </c>
      <c r="S424" s="12">
        <f>IF(R424="","",R424+IF(O424&lt;&gt;"",O424,IF(H424="",0,H424)))</f>
        <v/>
      </c>
      <c r="T424" s="12">
        <f>IF(R424="","",MAX(Settings!$B$3,Settings!$B$4*IF(O424&lt;&gt;"",O424,IF(H424="",0,H424))))</f>
        <v/>
      </c>
      <c r="U424" s="11">
        <f>IF(AND(C424&lt;&gt;"",M424&lt;&gt;"",OR(H424&lt;&gt;"",O424&lt;&gt;"")),"COMPLETE",IF(OR(C424&lt;&gt;"",M424&lt;&gt;""),"PARTIAL","MISSING"))</f>
        <v/>
      </c>
      <c r="V424" s="11">
        <f>IF(Q424="UNKNOWN","Check fluid description",IF(AND(R424&lt;&gt;"",S424&lt;&gt;""),"Ready for contact screening","Needs TVD + thickness"))</f>
        <v/>
      </c>
    </row>
    <row r="425">
      <c r="A425" s="9" t="n"/>
      <c r="B425" s="9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9" t="n"/>
      <c r="N425" s="9" t="n"/>
      <c r="O425" s="10" t="n"/>
      <c r="P425" s="9" t="n"/>
      <c r="Q425" s="11">
        <f>IF(P425&lt;&gt;"",P425,IF(M425="","UNKNOWN",IF(AND(ISNUMBER(SEARCH("gas",LOWER(M425))),ISNUMBER(SEARCH("water",LOWER(M425)))),"GAS_WATER",IF(AND(ISNUMBER(SEARCH("oil",LOWER(M425))),ISNUMBER(SEARCH("water",LOWER(M425)))),"OIL_WATER",IF(ISNUMBER(SEARCH("gas",LOWER(M425))),"GAS",IF(ISNUMBER(SEARCH("water",LOWER(M425))),"WATER",IF(ISNUMBER(SEARCH("oil",LOWER(M425))),"OIL","UNKNOWN")))))))</f>
        <v/>
      </c>
      <c r="R425" s="12">
        <f>IF(C425="","",C425)</f>
        <v/>
      </c>
      <c r="S425" s="12">
        <f>IF(R425="","",R425+IF(O425&lt;&gt;"",O425,IF(H425="",0,H425)))</f>
        <v/>
      </c>
      <c r="T425" s="12">
        <f>IF(R425="","",MAX(Settings!$B$3,Settings!$B$4*IF(O425&lt;&gt;"",O425,IF(H425="",0,H425))))</f>
        <v/>
      </c>
      <c r="U425" s="11">
        <f>IF(AND(C425&lt;&gt;"",M425&lt;&gt;"",OR(H425&lt;&gt;"",O425&lt;&gt;"")),"COMPLETE",IF(OR(C425&lt;&gt;"",M425&lt;&gt;""),"PARTIAL","MISSING"))</f>
        <v/>
      </c>
      <c r="V425" s="11">
        <f>IF(Q425="UNKNOWN","Check fluid description",IF(AND(R425&lt;&gt;"",S425&lt;&gt;""),"Ready for contact screening","Needs TVD + thickness"))</f>
        <v/>
      </c>
    </row>
    <row r="426">
      <c r="A426" s="9" t="n"/>
      <c r="B426" s="9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9" t="n"/>
      <c r="N426" s="9" t="n"/>
      <c r="O426" s="10" t="n"/>
      <c r="P426" s="9" t="n"/>
      <c r="Q426" s="11">
        <f>IF(P426&lt;&gt;"",P426,IF(M426="","UNKNOWN",IF(AND(ISNUMBER(SEARCH("gas",LOWER(M426))),ISNUMBER(SEARCH("water",LOWER(M426)))),"GAS_WATER",IF(AND(ISNUMBER(SEARCH("oil",LOWER(M426))),ISNUMBER(SEARCH("water",LOWER(M426)))),"OIL_WATER",IF(ISNUMBER(SEARCH("gas",LOWER(M426))),"GAS",IF(ISNUMBER(SEARCH("water",LOWER(M426))),"WATER",IF(ISNUMBER(SEARCH("oil",LOWER(M426))),"OIL","UNKNOWN")))))))</f>
        <v/>
      </c>
      <c r="R426" s="12">
        <f>IF(C426="","",C426)</f>
        <v/>
      </c>
      <c r="S426" s="12">
        <f>IF(R426="","",R426+IF(O426&lt;&gt;"",O426,IF(H426="",0,H426)))</f>
        <v/>
      </c>
      <c r="T426" s="12">
        <f>IF(R426="","",MAX(Settings!$B$3,Settings!$B$4*IF(O426&lt;&gt;"",O426,IF(H426="",0,H426))))</f>
        <v/>
      </c>
      <c r="U426" s="11">
        <f>IF(AND(C426&lt;&gt;"",M426&lt;&gt;"",OR(H426&lt;&gt;"",O426&lt;&gt;"")),"COMPLETE",IF(OR(C426&lt;&gt;"",M426&lt;&gt;""),"PARTIAL","MISSING"))</f>
        <v/>
      </c>
      <c r="V426" s="11">
        <f>IF(Q426="UNKNOWN","Check fluid description",IF(AND(R426&lt;&gt;"",S426&lt;&gt;""),"Ready for contact screening","Needs TVD + thickness"))</f>
        <v/>
      </c>
    </row>
    <row r="427">
      <c r="A427" s="9" t="n"/>
      <c r="B427" s="9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9" t="n"/>
      <c r="N427" s="9" t="n"/>
      <c r="O427" s="10" t="n"/>
      <c r="P427" s="9" t="n"/>
      <c r="Q427" s="11">
        <f>IF(P427&lt;&gt;"",P427,IF(M427="","UNKNOWN",IF(AND(ISNUMBER(SEARCH("gas",LOWER(M427))),ISNUMBER(SEARCH("water",LOWER(M427)))),"GAS_WATER",IF(AND(ISNUMBER(SEARCH("oil",LOWER(M427))),ISNUMBER(SEARCH("water",LOWER(M427)))),"OIL_WATER",IF(ISNUMBER(SEARCH("gas",LOWER(M427))),"GAS",IF(ISNUMBER(SEARCH("water",LOWER(M427))),"WATER",IF(ISNUMBER(SEARCH("oil",LOWER(M427))),"OIL","UNKNOWN")))))))</f>
        <v/>
      </c>
      <c r="R427" s="12">
        <f>IF(C427="","",C427)</f>
        <v/>
      </c>
      <c r="S427" s="12">
        <f>IF(R427="","",R427+IF(O427&lt;&gt;"",O427,IF(H427="",0,H427)))</f>
        <v/>
      </c>
      <c r="T427" s="12">
        <f>IF(R427="","",MAX(Settings!$B$3,Settings!$B$4*IF(O427&lt;&gt;"",O427,IF(H427="",0,H427))))</f>
        <v/>
      </c>
      <c r="U427" s="11">
        <f>IF(AND(C427&lt;&gt;"",M427&lt;&gt;"",OR(H427&lt;&gt;"",O427&lt;&gt;"")),"COMPLETE",IF(OR(C427&lt;&gt;"",M427&lt;&gt;""),"PARTIAL","MISSING"))</f>
        <v/>
      </c>
      <c r="V427" s="11">
        <f>IF(Q427="UNKNOWN","Check fluid description",IF(AND(R427&lt;&gt;"",S427&lt;&gt;""),"Ready for contact screening","Needs TVD + thickness"))</f>
        <v/>
      </c>
    </row>
    <row r="428">
      <c r="A428" s="9" t="n"/>
      <c r="B428" s="9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9" t="n"/>
      <c r="N428" s="9" t="n"/>
      <c r="O428" s="10" t="n"/>
      <c r="P428" s="9" t="n"/>
      <c r="Q428" s="11">
        <f>IF(P428&lt;&gt;"",P428,IF(M428="","UNKNOWN",IF(AND(ISNUMBER(SEARCH("gas",LOWER(M428))),ISNUMBER(SEARCH("water",LOWER(M428)))),"GAS_WATER",IF(AND(ISNUMBER(SEARCH("oil",LOWER(M428))),ISNUMBER(SEARCH("water",LOWER(M428)))),"OIL_WATER",IF(ISNUMBER(SEARCH("gas",LOWER(M428))),"GAS",IF(ISNUMBER(SEARCH("water",LOWER(M428))),"WATER",IF(ISNUMBER(SEARCH("oil",LOWER(M428))),"OIL","UNKNOWN")))))))</f>
        <v/>
      </c>
      <c r="R428" s="12">
        <f>IF(C428="","",C428)</f>
        <v/>
      </c>
      <c r="S428" s="12">
        <f>IF(R428="","",R428+IF(O428&lt;&gt;"",O428,IF(H428="",0,H428)))</f>
        <v/>
      </c>
      <c r="T428" s="12">
        <f>IF(R428="","",MAX(Settings!$B$3,Settings!$B$4*IF(O428&lt;&gt;"",O428,IF(H428="",0,H428))))</f>
        <v/>
      </c>
      <c r="U428" s="11">
        <f>IF(AND(C428&lt;&gt;"",M428&lt;&gt;"",OR(H428&lt;&gt;"",O428&lt;&gt;"")),"COMPLETE",IF(OR(C428&lt;&gt;"",M428&lt;&gt;""),"PARTIAL","MISSING"))</f>
        <v/>
      </c>
      <c r="V428" s="11">
        <f>IF(Q428="UNKNOWN","Check fluid description",IF(AND(R428&lt;&gt;"",S428&lt;&gt;""),"Ready for contact screening","Needs TVD + thickness"))</f>
        <v/>
      </c>
    </row>
    <row r="429">
      <c r="A429" s="9" t="n"/>
      <c r="B429" s="9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9" t="n"/>
      <c r="N429" s="9" t="n"/>
      <c r="O429" s="10" t="n"/>
      <c r="P429" s="9" t="n"/>
      <c r="Q429" s="11">
        <f>IF(P429&lt;&gt;"",P429,IF(M429="","UNKNOWN",IF(AND(ISNUMBER(SEARCH("gas",LOWER(M429))),ISNUMBER(SEARCH("water",LOWER(M429)))),"GAS_WATER",IF(AND(ISNUMBER(SEARCH("oil",LOWER(M429))),ISNUMBER(SEARCH("water",LOWER(M429)))),"OIL_WATER",IF(ISNUMBER(SEARCH("gas",LOWER(M429))),"GAS",IF(ISNUMBER(SEARCH("water",LOWER(M429))),"WATER",IF(ISNUMBER(SEARCH("oil",LOWER(M429))),"OIL","UNKNOWN")))))))</f>
        <v/>
      </c>
      <c r="R429" s="12">
        <f>IF(C429="","",C429)</f>
        <v/>
      </c>
      <c r="S429" s="12">
        <f>IF(R429="","",R429+IF(O429&lt;&gt;"",O429,IF(H429="",0,H429)))</f>
        <v/>
      </c>
      <c r="T429" s="12">
        <f>IF(R429="","",MAX(Settings!$B$3,Settings!$B$4*IF(O429&lt;&gt;"",O429,IF(H429="",0,H429))))</f>
        <v/>
      </c>
      <c r="U429" s="11">
        <f>IF(AND(C429&lt;&gt;"",M429&lt;&gt;"",OR(H429&lt;&gt;"",O429&lt;&gt;"")),"COMPLETE",IF(OR(C429&lt;&gt;"",M429&lt;&gt;""),"PARTIAL","MISSING"))</f>
        <v/>
      </c>
      <c r="V429" s="11">
        <f>IF(Q429="UNKNOWN","Check fluid description",IF(AND(R429&lt;&gt;"",S429&lt;&gt;""),"Ready for contact screening","Needs TVD + thickness"))</f>
        <v/>
      </c>
    </row>
    <row r="430">
      <c r="A430" s="9" t="n"/>
      <c r="B430" s="9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9" t="n"/>
      <c r="N430" s="9" t="n"/>
      <c r="O430" s="10" t="n"/>
      <c r="P430" s="9" t="n"/>
      <c r="Q430" s="11">
        <f>IF(P430&lt;&gt;"",P430,IF(M430="","UNKNOWN",IF(AND(ISNUMBER(SEARCH("gas",LOWER(M430))),ISNUMBER(SEARCH("water",LOWER(M430)))),"GAS_WATER",IF(AND(ISNUMBER(SEARCH("oil",LOWER(M430))),ISNUMBER(SEARCH("water",LOWER(M430)))),"OIL_WATER",IF(ISNUMBER(SEARCH("gas",LOWER(M430))),"GAS",IF(ISNUMBER(SEARCH("water",LOWER(M430))),"WATER",IF(ISNUMBER(SEARCH("oil",LOWER(M430))),"OIL","UNKNOWN")))))))</f>
        <v/>
      </c>
      <c r="R430" s="12">
        <f>IF(C430="","",C430)</f>
        <v/>
      </c>
      <c r="S430" s="12">
        <f>IF(R430="","",R430+IF(O430&lt;&gt;"",O430,IF(H430="",0,H430)))</f>
        <v/>
      </c>
      <c r="T430" s="12">
        <f>IF(R430="","",MAX(Settings!$B$3,Settings!$B$4*IF(O430&lt;&gt;"",O430,IF(H430="",0,H430))))</f>
        <v/>
      </c>
      <c r="U430" s="11">
        <f>IF(AND(C430&lt;&gt;"",M430&lt;&gt;"",OR(H430&lt;&gt;"",O430&lt;&gt;"")),"COMPLETE",IF(OR(C430&lt;&gt;"",M430&lt;&gt;""),"PARTIAL","MISSING"))</f>
        <v/>
      </c>
      <c r="V430" s="11">
        <f>IF(Q430="UNKNOWN","Check fluid description",IF(AND(R430&lt;&gt;"",S430&lt;&gt;""),"Ready for contact screening","Needs TVD + thickness"))</f>
        <v/>
      </c>
    </row>
    <row r="431">
      <c r="A431" s="9" t="n"/>
      <c r="B431" s="9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9" t="n"/>
      <c r="N431" s="9" t="n"/>
      <c r="O431" s="10" t="n"/>
      <c r="P431" s="9" t="n"/>
      <c r="Q431" s="11">
        <f>IF(P431&lt;&gt;"",P431,IF(M431="","UNKNOWN",IF(AND(ISNUMBER(SEARCH("gas",LOWER(M431))),ISNUMBER(SEARCH("water",LOWER(M431)))),"GAS_WATER",IF(AND(ISNUMBER(SEARCH("oil",LOWER(M431))),ISNUMBER(SEARCH("water",LOWER(M431)))),"OIL_WATER",IF(ISNUMBER(SEARCH("gas",LOWER(M431))),"GAS",IF(ISNUMBER(SEARCH("water",LOWER(M431))),"WATER",IF(ISNUMBER(SEARCH("oil",LOWER(M431))),"OIL","UNKNOWN")))))))</f>
        <v/>
      </c>
      <c r="R431" s="12">
        <f>IF(C431="","",C431)</f>
        <v/>
      </c>
      <c r="S431" s="12">
        <f>IF(R431="","",R431+IF(O431&lt;&gt;"",O431,IF(H431="",0,H431)))</f>
        <v/>
      </c>
      <c r="T431" s="12">
        <f>IF(R431="","",MAX(Settings!$B$3,Settings!$B$4*IF(O431&lt;&gt;"",O431,IF(H431="",0,H431))))</f>
        <v/>
      </c>
      <c r="U431" s="11">
        <f>IF(AND(C431&lt;&gt;"",M431&lt;&gt;"",OR(H431&lt;&gt;"",O431&lt;&gt;"")),"COMPLETE",IF(OR(C431&lt;&gt;"",M431&lt;&gt;""),"PARTIAL","MISSING"))</f>
        <v/>
      </c>
      <c r="V431" s="11">
        <f>IF(Q431="UNKNOWN","Check fluid description",IF(AND(R431&lt;&gt;"",S431&lt;&gt;""),"Ready for contact screening","Needs TVD + thickness"))</f>
        <v/>
      </c>
    </row>
    <row r="432">
      <c r="A432" s="9" t="n"/>
      <c r="B432" s="9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9" t="n"/>
      <c r="N432" s="9" t="n"/>
      <c r="O432" s="10" t="n"/>
      <c r="P432" s="9" t="n"/>
      <c r="Q432" s="11">
        <f>IF(P432&lt;&gt;"",P432,IF(M432="","UNKNOWN",IF(AND(ISNUMBER(SEARCH("gas",LOWER(M432))),ISNUMBER(SEARCH("water",LOWER(M432)))),"GAS_WATER",IF(AND(ISNUMBER(SEARCH("oil",LOWER(M432))),ISNUMBER(SEARCH("water",LOWER(M432)))),"OIL_WATER",IF(ISNUMBER(SEARCH("gas",LOWER(M432))),"GAS",IF(ISNUMBER(SEARCH("water",LOWER(M432))),"WATER",IF(ISNUMBER(SEARCH("oil",LOWER(M432))),"OIL","UNKNOWN")))))))</f>
        <v/>
      </c>
      <c r="R432" s="12">
        <f>IF(C432="","",C432)</f>
        <v/>
      </c>
      <c r="S432" s="12">
        <f>IF(R432="","",R432+IF(O432&lt;&gt;"",O432,IF(H432="",0,H432)))</f>
        <v/>
      </c>
      <c r="T432" s="12">
        <f>IF(R432="","",MAX(Settings!$B$3,Settings!$B$4*IF(O432&lt;&gt;"",O432,IF(H432="",0,H432))))</f>
        <v/>
      </c>
      <c r="U432" s="11">
        <f>IF(AND(C432&lt;&gt;"",M432&lt;&gt;"",OR(H432&lt;&gt;"",O432&lt;&gt;"")),"COMPLETE",IF(OR(C432&lt;&gt;"",M432&lt;&gt;""),"PARTIAL","MISSING"))</f>
        <v/>
      </c>
      <c r="V432" s="11">
        <f>IF(Q432="UNKNOWN","Check fluid description",IF(AND(R432&lt;&gt;"",S432&lt;&gt;""),"Ready for contact screening","Needs TVD + thickness"))</f>
        <v/>
      </c>
    </row>
    <row r="433">
      <c r="A433" s="9" t="n"/>
      <c r="B433" s="9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9" t="n"/>
      <c r="N433" s="9" t="n"/>
      <c r="O433" s="10" t="n"/>
      <c r="P433" s="9" t="n"/>
      <c r="Q433" s="11">
        <f>IF(P433&lt;&gt;"",P433,IF(M433="","UNKNOWN",IF(AND(ISNUMBER(SEARCH("gas",LOWER(M433))),ISNUMBER(SEARCH("water",LOWER(M433)))),"GAS_WATER",IF(AND(ISNUMBER(SEARCH("oil",LOWER(M433))),ISNUMBER(SEARCH("water",LOWER(M433)))),"OIL_WATER",IF(ISNUMBER(SEARCH("gas",LOWER(M433))),"GAS",IF(ISNUMBER(SEARCH("water",LOWER(M433))),"WATER",IF(ISNUMBER(SEARCH("oil",LOWER(M433))),"OIL","UNKNOWN")))))))</f>
        <v/>
      </c>
      <c r="R433" s="12">
        <f>IF(C433="","",C433)</f>
        <v/>
      </c>
      <c r="S433" s="12">
        <f>IF(R433="","",R433+IF(O433&lt;&gt;"",O433,IF(H433="",0,H433)))</f>
        <v/>
      </c>
      <c r="T433" s="12">
        <f>IF(R433="","",MAX(Settings!$B$3,Settings!$B$4*IF(O433&lt;&gt;"",O433,IF(H433="",0,H433))))</f>
        <v/>
      </c>
      <c r="U433" s="11">
        <f>IF(AND(C433&lt;&gt;"",M433&lt;&gt;"",OR(H433&lt;&gt;"",O433&lt;&gt;"")),"COMPLETE",IF(OR(C433&lt;&gt;"",M433&lt;&gt;""),"PARTIAL","MISSING"))</f>
        <v/>
      </c>
      <c r="V433" s="11">
        <f>IF(Q433="UNKNOWN","Check fluid description",IF(AND(R433&lt;&gt;"",S433&lt;&gt;""),"Ready for contact screening","Needs TVD + thickness"))</f>
        <v/>
      </c>
    </row>
    <row r="434">
      <c r="A434" s="9" t="n"/>
      <c r="B434" s="9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9" t="n"/>
      <c r="N434" s="9" t="n"/>
      <c r="O434" s="10" t="n"/>
      <c r="P434" s="9" t="n"/>
      <c r="Q434" s="11">
        <f>IF(P434&lt;&gt;"",P434,IF(M434="","UNKNOWN",IF(AND(ISNUMBER(SEARCH("gas",LOWER(M434))),ISNUMBER(SEARCH("water",LOWER(M434)))),"GAS_WATER",IF(AND(ISNUMBER(SEARCH("oil",LOWER(M434))),ISNUMBER(SEARCH("water",LOWER(M434)))),"OIL_WATER",IF(ISNUMBER(SEARCH("gas",LOWER(M434))),"GAS",IF(ISNUMBER(SEARCH("water",LOWER(M434))),"WATER",IF(ISNUMBER(SEARCH("oil",LOWER(M434))),"OIL","UNKNOWN")))))))</f>
        <v/>
      </c>
      <c r="R434" s="12">
        <f>IF(C434="","",C434)</f>
        <v/>
      </c>
      <c r="S434" s="12">
        <f>IF(R434="","",R434+IF(O434&lt;&gt;"",O434,IF(H434="",0,H434)))</f>
        <v/>
      </c>
      <c r="T434" s="12">
        <f>IF(R434="","",MAX(Settings!$B$3,Settings!$B$4*IF(O434&lt;&gt;"",O434,IF(H434="",0,H434))))</f>
        <v/>
      </c>
      <c r="U434" s="11">
        <f>IF(AND(C434&lt;&gt;"",M434&lt;&gt;"",OR(H434&lt;&gt;"",O434&lt;&gt;"")),"COMPLETE",IF(OR(C434&lt;&gt;"",M434&lt;&gt;""),"PARTIAL","MISSING"))</f>
        <v/>
      </c>
      <c r="V434" s="11">
        <f>IF(Q434="UNKNOWN","Check fluid description",IF(AND(R434&lt;&gt;"",S434&lt;&gt;""),"Ready for contact screening","Needs TVD + thickness"))</f>
        <v/>
      </c>
    </row>
    <row r="435">
      <c r="A435" s="9" t="n"/>
      <c r="B435" s="9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9" t="n"/>
      <c r="N435" s="9" t="n"/>
      <c r="O435" s="10" t="n"/>
      <c r="P435" s="9" t="n"/>
      <c r="Q435" s="11">
        <f>IF(P435&lt;&gt;"",P435,IF(M435="","UNKNOWN",IF(AND(ISNUMBER(SEARCH("gas",LOWER(M435))),ISNUMBER(SEARCH("water",LOWER(M435)))),"GAS_WATER",IF(AND(ISNUMBER(SEARCH("oil",LOWER(M435))),ISNUMBER(SEARCH("water",LOWER(M435)))),"OIL_WATER",IF(ISNUMBER(SEARCH("gas",LOWER(M435))),"GAS",IF(ISNUMBER(SEARCH("water",LOWER(M435))),"WATER",IF(ISNUMBER(SEARCH("oil",LOWER(M435))),"OIL","UNKNOWN")))))))</f>
        <v/>
      </c>
      <c r="R435" s="12">
        <f>IF(C435="","",C435)</f>
        <v/>
      </c>
      <c r="S435" s="12">
        <f>IF(R435="","",R435+IF(O435&lt;&gt;"",O435,IF(H435="",0,H435)))</f>
        <v/>
      </c>
      <c r="T435" s="12">
        <f>IF(R435="","",MAX(Settings!$B$3,Settings!$B$4*IF(O435&lt;&gt;"",O435,IF(H435="",0,H435))))</f>
        <v/>
      </c>
      <c r="U435" s="11">
        <f>IF(AND(C435&lt;&gt;"",M435&lt;&gt;"",OR(H435&lt;&gt;"",O435&lt;&gt;"")),"COMPLETE",IF(OR(C435&lt;&gt;"",M435&lt;&gt;""),"PARTIAL","MISSING"))</f>
        <v/>
      </c>
      <c r="V435" s="11">
        <f>IF(Q435="UNKNOWN","Check fluid description",IF(AND(R435&lt;&gt;"",S435&lt;&gt;""),"Ready for contact screening","Needs TVD + thickness"))</f>
        <v/>
      </c>
    </row>
    <row r="436">
      <c r="A436" s="9" t="n"/>
      <c r="B436" s="9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9" t="n"/>
      <c r="N436" s="9" t="n"/>
      <c r="O436" s="10" t="n"/>
      <c r="P436" s="9" t="n"/>
      <c r="Q436" s="11">
        <f>IF(P436&lt;&gt;"",P436,IF(M436="","UNKNOWN",IF(AND(ISNUMBER(SEARCH("gas",LOWER(M436))),ISNUMBER(SEARCH("water",LOWER(M436)))),"GAS_WATER",IF(AND(ISNUMBER(SEARCH("oil",LOWER(M436))),ISNUMBER(SEARCH("water",LOWER(M436)))),"OIL_WATER",IF(ISNUMBER(SEARCH("gas",LOWER(M436))),"GAS",IF(ISNUMBER(SEARCH("water",LOWER(M436))),"WATER",IF(ISNUMBER(SEARCH("oil",LOWER(M436))),"OIL","UNKNOWN")))))))</f>
        <v/>
      </c>
      <c r="R436" s="12">
        <f>IF(C436="","",C436)</f>
        <v/>
      </c>
      <c r="S436" s="12">
        <f>IF(R436="","",R436+IF(O436&lt;&gt;"",O436,IF(H436="",0,H436)))</f>
        <v/>
      </c>
      <c r="T436" s="12">
        <f>IF(R436="","",MAX(Settings!$B$3,Settings!$B$4*IF(O436&lt;&gt;"",O436,IF(H436="",0,H436))))</f>
        <v/>
      </c>
      <c r="U436" s="11">
        <f>IF(AND(C436&lt;&gt;"",M436&lt;&gt;"",OR(H436&lt;&gt;"",O436&lt;&gt;"")),"COMPLETE",IF(OR(C436&lt;&gt;"",M436&lt;&gt;""),"PARTIAL","MISSING"))</f>
        <v/>
      </c>
      <c r="V436" s="11">
        <f>IF(Q436="UNKNOWN","Check fluid description",IF(AND(R436&lt;&gt;"",S436&lt;&gt;""),"Ready for contact screening","Needs TVD + thickness"))</f>
        <v/>
      </c>
    </row>
    <row r="437">
      <c r="A437" s="9" t="n"/>
      <c r="B437" s="9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9" t="n"/>
      <c r="N437" s="9" t="n"/>
      <c r="O437" s="10" t="n"/>
      <c r="P437" s="9" t="n"/>
      <c r="Q437" s="11">
        <f>IF(P437&lt;&gt;"",P437,IF(M437="","UNKNOWN",IF(AND(ISNUMBER(SEARCH("gas",LOWER(M437))),ISNUMBER(SEARCH("water",LOWER(M437)))),"GAS_WATER",IF(AND(ISNUMBER(SEARCH("oil",LOWER(M437))),ISNUMBER(SEARCH("water",LOWER(M437)))),"OIL_WATER",IF(ISNUMBER(SEARCH("gas",LOWER(M437))),"GAS",IF(ISNUMBER(SEARCH("water",LOWER(M437))),"WATER",IF(ISNUMBER(SEARCH("oil",LOWER(M437))),"OIL","UNKNOWN")))))))</f>
        <v/>
      </c>
      <c r="R437" s="12">
        <f>IF(C437="","",C437)</f>
        <v/>
      </c>
      <c r="S437" s="12">
        <f>IF(R437="","",R437+IF(O437&lt;&gt;"",O437,IF(H437="",0,H437)))</f>
        <v/>
      </c>
      <c r="T437" s="12">
        <f>IF(R437="","",MAX(Settings!$B$3,Settings!$B$4*IF(O437&lt;&gt;"",O437,IF(H437="",0,H437))))</f>
        <v/>
      </c>
      <c r="U437" s="11">
        <f>IF(AND(C437&lt;&gt;"",M437&lt;&gt;"",OR(H437&lt;&gt;"",O437&lt;&gt;"")),"COMPLETE",IF(OR(C437&lt;&gt;"",M437&lt;&gt;""),"PARTIAL","MISSING"))</f>
        <v/>
      </c>
      <c r="V437" s="11">
        <f>IF(Q437="UNKNOWN","Check fluid description",IF(AND(R437&lt;&gt;"",S437&lt;&gt;""),"Ready for contact screening","Needs TVD + thickness"))</f>
        <v/>
      </c>
    </row>
    <row r="438">
      <c r="A438" s="9" t="n"/>
      <c r="B438" s="9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9" t="n"/>
      <c r="N438" s="9" t="n"/>
      <c r="O438" s="10" t="n"/>
      <c r="P438" s="9" t="n"/>
      <c r="Q438" s="11">
        <f>IF(P438&lt;&gt;"",P438,IF(M438="","UNKNOWN",IF(AND(ISNUMBER(SEARCH("gas",LOWER(M438))),ISNUMBER(SEARCH("water",LOWER(M438)))),"GAS_WATER",IF(AND(ISNUMBER(SEARCH("oil",LOWER(M438))),ISNUMBER(SEARCH("water",LOWER(M438)))),"OIL_WATER",IF(ISNUMBER(SEARCH("gas",LOWER(M438))),"GAS",IF(ISNUMBER(SEARCH("water",LOWER(M438))),"WATER",IF(ISNUMBER(SEARCH("oil",LOWER(M438))),"OIL","UNKNOWN")))))))</f>
        <v/>
      </c>
      <c r="R438" s="12">
        <f>IF(C438="","",C438)</f>
        <v/>
      </c>
      <c r="S438" s="12">
        <f>IF(R438="","",R438+IF(O438&lt;&gt;"",O438,IF(H438="",0,H438)))</f>
        <v/>
      </c>
      <c r="T438" s="12">
        <f>IF(R438="","",MAX(Settings!$B$3,Settings!$B$4*IF(O438&lt;&gt;"",O438,IF(H438="",0,H438))))</f>
        <v/>
      </c>
      <c r="U438" s="11">
        <f>IF(AND(C438&lt;&gt;"",M438&lt;&gt;"",OR(H438&lt;&gt;"",O438&lt;&gt;"")),"COMPLETE",IF(OR(C438&lt;&gt;"",M438&lt;&gt;""),"PARTIAL","MISSING"))</f>
        <v/>
      </c>
      <c r="V438" s="11">
        <f>IF(Q438="UNKNOWN","Check fluid description",IF(AND(R438&lt;&gt;"",S438&lt;&gt;""),"Ready for contact screening","Needs TVD + thickness"))</f>
        <v/>
      </c>
    </row>
    <row r="439">
      <c r="A439" s="9" t="n"/>
      <c r="B439" s="9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9" t="n"/>
      <c r="N439" s="9" t="n"/>
      <c r="O439" s="10" t="n"/>
      <c r="P439" s="9" t="n"/>
      <c r="Q439" s="11">
        <f>IF(P439&lt;&gt;"",P439,IF(M439="","UNKNOWN",IF(AND(ISNUMBER(SEARCH("gas",LOWER(M439))),ISNUMBER(SEARCH("water",LOWER(M439)))),"GAS_WATER",IF(AND(ISNUMBER(SEARCH("oil",LOWER(M439))),ISNUMBER(SEARCH("water",LOWER(M439)))),"OIL_WATER",IF(ISNUMBER(SEARCH("gas",LOWER(M439))),"GAS",IF(ISNUMBER(SEARCH("water",LOWER(M439))),"WATER",IF(ISNUMBER(SEARCH("oil",LOWER(M439))),"OIL","UNKNOWN")))))))</f>
        <v/>
      </c>
      <c r="R439" s="12">
        <f>IF(C439="","",C439)</f>
        <v/>
      </c>
      <c r="S439" s="12">
        <f>IF(R439="","",R439+IF(O439&lt;&gt;"",O439,IF(H439="",0,H439)))</f>
        <v/>
      </c>
      <c r="T439" s="12">
        <f>IF(R439="","",MAX(Settings!$B$3,Settings!$B$4*IF(O439&lt;&gt;"",O439,IF(H439="",0,H439))))</f>
        <v/>
      </c>
      <c r="U439" s="11">
        <f>IF(AND(C439&lt;&gt;"",M439&lt;&gt;"",OR(H439&lt;&gt;"",O439&lt;&gt;"")),"COMPLETE",IF(OR(C439&lt;&gt;"",M439&lt;&gt;""),"PARTIAL","MISSING"))</f>
        <v/>
      </c>
      <c r="V439" s="11">
        <f>IF(Q439="UNKNOWN","Check fluid description",IF(AND(R439&lt;&gt;"",S439&lt;&gt;""),"Ready for contact screening","Needs TVD + thickness"))</f>
        <v/>
      </c>
    </row>
    <row r="440">
      <c r="A440" s="9" t="n"/>
      <c r="B440" s="9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9" t="n"/>
      <c r="N440" s="9" t="n"/>
      <c r="O440" s="10" t="n"/>
      <c r="P440" s="9" t="n"/>
      <c r="Q440" s="11">
        <f>IF(P440&lt;&gt;"",P440,IF(M440="","UNKNOWN",IF(AND(ISNUMBER(SEARCH("gas",LOWER(M440))),ISNUMBER(SEARCH("water",LOWER(M440)))),"GAS_WATER",IF(AND(ISNUMBER(SEARCH("oil",LOWER(M440))),ISNUMBER(SEARCH("water",LOWER(M440)))),"OIL_WATER",IF(ISNUMBER(SEARCH("gas",LOWER(M440))),"GAS",IF(ISNUMBER(SEARCH("water",LOWER(M440))),"WATER",IF(ISNUMBER(SEARCH("oil",LOWER(M440))),"OIL","UNKNOWN")))))))</f>
        <v/>
      </c>
      <c r="R440" s="12">
        <f>IF(C440="","",C440)</f>
        <v/>
      </c>
      <c r="S440" s="12">
        <f>IF(R440="","",R440+IF(O440&lt;&gt;"",O440,IF(H440="",0,H440)))</f>
        <v/>
      </c>
      <c r="T440" s="12">
        <f>IF(R440="","",MAX(Settings!$B$3,Settings!$B$4*IF(O440&lt;&gt;"",O440,IF(H440="",0,H440))))</f>
        <v/>
      </c>
      <c r="U440" s="11">
        <f>IF(AND(C440&lt;&gt;"",M440&lt;&gt;"",OR(H440&lt;&gt;"",O440&lt;&gt;"")),"COMPLETE",IF(OR(C440&lt;&gt;"",M440&lt;&gt;""),"PARTIAL","MISSING"))</f>
        <v/>
      </c>
      <c r="V440" s="11">
        <f>IF(Q440="UNKNOWN","Check fluid description",IF(AND(R440&lt;&gt;"",S440&lt;&gt;""),"Ready for contact screening","Needs TVD + thickness"))</f>
        <v/>
      </c>
    </row>
    <row r="441">
      <c r="A441" s="9" t="n"/>
      <c r="B441" s="9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9" t="n"/>
      <c r="N441" s="9" t="n"/>
      <c r="O441" s="10" t="n"/>
      <c r="P441" s="9" t="n"/>
      <c r="Q441" s="11">
        <f>IF(P441&lt;&gt;"",P441,IF(M441="","UNKNOWN",IF(AND(ISNUMBER(SEARCH("gas",LOWER(M441))),ISNUMBER(SEARCH("water",LOWER(M441)))),"GAS_WATER",IF(AND(ISNUMBER(SEARCH("oil",LOWER(M441))),ISNUMBER(SEARCH("water",LOWER(M441)))),"OIL_WATER",IF(ISNUMBER(SEARCH("gas",LOWER(M441))),"GAS",IF(ISNUMBER(SEARCH("water",LOWER(M441))),"WATER",IF(ISNUMBER(SEARCH("oil",LOWER(M441))),"OIL","UNKNOWN")))))))</f>
        <v/>
      </c>
      <c r="R441" s="12">
        <f>IF(C441="","",C441)</f>
        <v/>
      </c>
      <c r="S441" s="12">
        <f>IF(R441="","",R441+IF(O441&lt;&gt;"",O441,IF(H441="",0,H441)))</f>
        <v/>
      </c>
      <c r="T441" s="12">
        <f>IF(R441="","",MAX(Settings!$B$3,Settings!$B$4*IF(O441&lt;&gt;"",O441,IF(H441="",0,H441))))</f>
        <v/>
      </c>
      <c r="U441" s="11">
        <f>IF(AND(C441&lt;&gt;"",M441&lt;&gt;"",OR(H441&lt;&gt;"",O441&lt;&gt;"")),"COMPLETE",IF(OR(C441&lt;&gt;"",M441&lt;&gt;""),"PARTIAL","MISSING"))</f>
        <v/>
      </c>
      <c r="V441" s="11">
        <f>IF(Q441="UNKNOWN","Check fluid description",IF(AND(R441&lt;&gt;"",S441&lt;&gt;""),"Ready for contact screening","Needs TVD + thickness"))</f>
        <v/>
      </c>
    </row>
    <row r="442">
      <c r="A442" s="9" t="n"/>
      <c r="B442" s="9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9" t="n"/>
      <c r="N442" s="9" t="n"/>
      <c r="O442" s="10" t="n"/>
      <c r="P442" s="9" t="n"/>
      <c r="Q442" s="11">
        <f>IF(P442&lt;&gt;"",P442,IF(M442="","UNKNOWN",IF(AND(ISNUMBER(SEARCH("gas",LOWER(M442))),ISNUMBER(SEARCH("water",LOWER(M442)))),"GAS_WATER",IF(AND(ISNUMBER(SEARCH("oil",LOWER(M442))),ISNUMBER(SEARCH("water",LOWER(M442)))),"OIL_WATER",IF(ISNUMBER(SEARCH("gas",LOWER(M442))),"GAS",IF(ISNUMBER(SEARCH("water",LOWER(M442))),"WATER",IF(ISNUMBER(SEARCH("oil",LOWER(M442))),"OIL","UNKNOWN")))))))</f>
        <v/>
      </c>
      <c r="R442" s="12">
        <f>IF(C442="","",C442)</f>
        <v/>
      </c>
      <c r="S442" s="12">
        <f>IF(R442="","",R442+IF(O442&lt;&gt;"",O442,IF(H442="",0,H442)))</f>
        <v/>
      </c>
      <c r="T442" s="12">
        <f>IF(R442="","",MAX(Settings!$B$3,Settings!$B$4*IF(O442&lt;&gt;"",O442,IF(H442="",0,H442))))</f>
        <v/>
      </c>
      <c r="U442" s="11">
        <f>IF(AND(C442&lt;&gt;"",M442&lt;&gt;"",OR(H442&lt;&gt;"",O442&lt;&gt;"")),"COMPLETE",IF(OR(C442&lt;&gt;"",M442&lt;&gt;""),"PARTIAL","MISSING"))</f>
        <v/>
      </c>
      <c r="V442" s="11">
        <f>IF(Q442="UNKNOWN","Check fluid description",IF(AND(R442&lt;&gt;"",S442&lt;&gt;""),"Ready for contact screening","Needs TVD + thickness"))</f>
        <v/>
      </c>
    </row>
    <row r="443">
      <c r="A443" s="9" t="n"/>
      <c r="B443" s="9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9" t="n"/>
      <c r="N443" s="9" t="n"/>
      <c r="O443" s="10" t="n"/>
      <c r="P443" s="9" t="n"/>
      <c r="Q443" s="11">
        <f>IF(P443&lt;&gt;"",P443,IF(M443="","UNKNOWN",IF(AND(ISNUMBER(SEARCH("gas",LOWER(M443))),ISNUMBER(SEARCH("water",LOWER(M443)))),"GAS_WATER",IF(AND(ISNUMBER(SEARCH("oil",LOWER(M443))),ISNUMBER(SEARCH("water",LOWER(M443)))),"OIL_WATER",IF(ISNUMBER(SEARCH("gas",LOWER(M443))),"GAS",IF(ISNUMBER(SEARCH("water",LOWER(M443))),"WATER",IF(ISNUMBER(SEARCH("oil",LOWER(M443))),"OIL","UNKNOWN")))))))</f>
        <v/>
      </c>
      <c r="R443" s="12">
        <f>IF(C443="","",C443)</f>
        <v/>
      </c>
      <c r="S443" s="12">
        <f>IF(R443="","",R443+IF(O443&lt;&gt;"",O443,IF(H443="",0,H443)))</f>
        <v/>
      </c>
      <c r="T443" s="12">
        <f>IF(R443="","",MAX(Settings!$B$3,Settings!$B$4*IF(O443&lt;&gt;"",O443,IF(H443="",0,H443))))</f>
        <v/>
      </c>
      <c r="U443" s="11">
        <f>IF(AND(C443&lt;&gt;"",M443&lt;&gt;"",OR(H443&lt;&gt;"",O443&lt;&gt;"")),"COMPLETE",IF(OR(C443&lt;&gt;"",M443&lt;&gt;""),"PARTIAL","MISSING"))</f>
        <v/>
      </c>
      <c r="V443" s="11">
        <f>IF(Q443="UNKNOWN","Check fluid description",IF(AND(R443&lt;&gt;"",S443&lt;&gt;""),"Ready for contact screening","Needs TVD + thickness"))</f>
        <v/>
      </c>
    </row>
    <row r="444">
      <c r="A444" s="9" t="n"/>
      <c r="B444" s="9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9" t="n"/>
      <c r="N444" s="9" t="n"/>
      <c r="O444" s="10" t="n"/>
      <c r="P444" s="9" t="n"/>
      <c r="Q444" s="11">
        <f>IF(P444&lt;&gt;"",P444,IF(M444="","UNKNOWN",IF(AND(ISNUMBER(SEARCH("gas",LOWER(M444))),ISNUMBER(SEARCH("water",LOWER(M444)))),"GAS_WATER",IF(AND(ISNUMBER(SEARCH("oil",LOWER(M444))),ISNUMBER(SEARCH("water",LOWER(M444)))),"OIL_WATER",IF(ISNUMBER(SEARCH("gas",LOWER(M444))),"GAS",IF(ISNUMBER(SEARCH("water",LOWER(M444))),"WATER",IF(ISNUMBER(SEARCH("oil",LOWER(M444))),"OIL","UNKNOWN")))))))</f>
        <v/>
      </c>
      <c r="R444" s="12">
        <f>IF(C444="","",C444)</f>
        <v/>
      </c>
      <c r="S444" s="12">
        <f>IF(R444="","",R444+IF(O444&lt;&gt;"",O444,IF(H444="",0,H444)))</f>
        <v/>
      </c>
      <c r="T444" s="12">
        <f>IF(R444="","",MAX(Settings!$B$3,Settings!$B$4*IF(O444&lt;&gt;"",O444,IF(H444="",0,H444))))</f>
        <v/>
      </c>
      <c r="U444" s="11">
        <f>IF(AND(C444&lt;&gt;"",M444&lt;&gt;"",OR(H444&lt;&gt;"",O444&lt;&gt;"")),"COMPLETE",IF(OR(C444&lt;&gt;"",M444&lt;&gt;""),"PARTIAL","MISSING"))</f>
        <v/>
      </c>
      <c r="V444" s="11">
        <f>IF(Q444="UNKNOWN","Check fluid description",IF(AND(R444&lt;&gt;"",S444&lt;&gt;""),"Ready for contact screening","Needs TVD + thickness"))</f>
        <v/>
      </c>
    </row>
    <row r="445">
      <c r="A445" s="9" t="n"/>
      <c r="B445" s="9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9" t="n"/>
      <c r="N445" s="9" t="n"/>
      <c r="O445" s="10" t="n"/>
      <c r="P445" s="9" t="n"/>
      <c r="Q445" s="11">
        <f>IF(P445&lt;&gt;"",P445,IF(M445="","UNKNOWN",IF(AND(ISNUMBER(SEARCH("gas",LOWER(M445))),ISNUMBER(SEARCH("water",LOWER(M445)))),"GAS_WATER",IF(AND(ISNUMBER(SEARCH("oil",LOWER(M445))),ISNUMBER(SEARCH("water",LOWER(M445)))),"OIL_WATER",IF(ISNUMBER(SEARCH("gas",LOWER(M445))),"GAS",IF(ISNUMBER(SEARCH("water",LOWER(M445))),"WATER",IF(ISNUMBER(SEARCH("oil",LOWER(M445))),"OIL","UNKNOWN")))))))</f>
        <v/>
      </c>
      <c r="R445" s="12">
        <f>IF(C445="","",C445)</f>
        <v/>
      </c>
      <c r="S445" s="12">
        <f>IF(R445="","",R445+IF(O445&lt;&gt;"",O445,IF(H445="",0,H445)))</f>
        <v/>
      </c>
      <c r="T445" s="12">
        <f>IF(R445="","",MAX(Settings!$B$3,Settings!$B$4*IF(O445&lt;&gt;"",O445,IF(H445="",0,H445))))</f>
        <v/>
      </c>
      <c r="U445" s="11">
        <f>IF(AND(C445&lt;&gt;"",M445&lt;&gt;"",OR(H445&lt;&gt;"",O445&lt;&gt;"")),"COMPLETE",IF(OR(C445&lt;&gt;"",M445&lt;&gt;""),"PARTIAL","MISSING"))</f>
        <v/>
      </c>
      <c r="V445" s="11">
        <f>IF(Q445="UNKNOWN","Check fluid description",IF(AND(R445&lt;&gt;"",S445&lt;&gt;""),"Ready for contact screening","Needs TVD + thickness"))</f>
        <v/>
      </c>
    </row>
    <row r="446">
      <c r="A446" s="9" t="n"/>
      <c r="B446" s="9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9" t="n"/>
      <c r="N446" s="9" t="n"/>
      <c r="O446" s="10" t="n"/>
      <c r="P446" s="9" t="n"/>
      <c r="Q446" s="11">
        <f>IF(P446&lt;&gt;"",P446,IF(M446="","UNKNOWN",IF(AND(ISNUMBER(SEARCH("gas",LOWER(M446))),ISNUMBER(SEARCH("water",LOWER(M446)))),"GAS_WATER",IF(AND(ISNUMBER(SEARCH("oil",LOWER(M446))),ISNUMBER(SEARCH("water",LOWER(M446)))),"OIL_WATER",IF(ISNUMBER(SEARCH("gas",LOWER(M446))),"GAS",IF(ISNUMBER(SEARCH("water",LOWER(M446))),"WATER",IF(ISNUMBER(SEARCH("oil",LOWER(M446))),"OIL","UNKNOWN")))))))</f>
        <v/>
      </c>
      <c r="R446" s="12">
        <f>IF(C446="","",C446)</f>
        <v/>
      </c>
      <c r="S446" s="12">
        <f>IF(R446="","",R446+IF(O446&lt;&gt;"",O446,IF(H446="",0,H446)))</f>
        <v/>
      </c>
      <c r="T446" s="12">
        <f>IF(R446="","",MAX(Settings!$B$3,Settings!$B$4*IF(O446&lt;&gt;"",O446,IF(H446="",0,H446))))</f>
        <v/>
      </c>
      <c r="U446" s="11">
        <f>IF(AND(C446&lt;&gt;"",M446&lt;&gt;"",OR(H446&lt;&gt;"",O446&lt;&gt;"")),"COMPLETE",IF(OR(C446&lt;&gt;"",M446&lt;&gt;""),"PARTIAL","MISSING"))</f>
        <v/>
      </c>
      <c r="V446" s="11">
        <f>IF(Q446="UNKNOWN","Check fluid description",IF(AND(R446&lt;&gt;"",S446&lt;&gt;""),"Ready for contact screening","Needs TVD + thickness"))</f>
        <v/>
      </c>
    </row>
    <row r="447">
      <c r="A447" s="9" t="n"/>
      <c r="B447" s="9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9" t="n"/>
      <c r="N447" s="9" t="n"/>
      <c r="O447" s="10" t="n"/>
      <c r="P447" s="9" t="n"/>
      <c r="Q447" s="11">
        <f>IF(P447&lt;&gt;"",P447,IF(M447="","UNKNOWN",IF(AND(ISNUMBER(SEARCH("gas",LOWER(M447))),ISNUMBER(SEARCH("water",LOWER(M447)))),"GAS_WATER",IF(AND(ISNUMBER(SEARCH("oil",LOWER(M447))),ISNUMBER(SEARCH("water",LOWER(M447)))),"OIL_WATER",IF(ISNUMBER(SEARCH("gas",LOWER(M447))),"GAS",IF(ISNUMBER(SEARCH("water",LOWER(M447))),"WATER",IF(ISNUMBER(SEARCH("oil",LOWER(M447))),"OIL","UNKNOWN")))))))</f>
        <v/>
      </c>
      <c r="R447" s="12">
        <f>IF(C447="","",C447)</f>
        <v/>
      </c>
      <c r="S447" s="12">
        <f>IF(R447="","",R447+IF(O447&lt;&gt;"",O447,IF(H447="",0,H447)))</f>
        <v/>
      </c>
      <c r="T447" s="12">
        <f>IF(R447="","",MAX(Settings!$B$3,Settings!$B$4*IF(O447&lt;&gt;"",O447,IF(H447="",0,H447))))</f>
        <v/>
      </c>
      <c r="U447" s="11">
        <f>IF(AND(C447&lt;&gt;"",M447&lt;&gt;"",OR(H447&lt;&gt;"",O447&lt;&gt;"")),"COMPLETE",IF(OR(C447&lt;&gt;"",M447&lt;&gt;""),"PARTIAL","MISSING"))</f>
        <v/>
      </c>
      <c r="V447" s="11">
        <f>IF(Q447="UNKNOWN","Check fluid description",IF(AND(R447&lt;&gt;"",S447&lt;&gt;""),"Ready for contact screening","Needs TVD + thickness"))</f>
        <v/>
      </c>
    </row>
    <row r="448">
      <c r="A448" s="9" t="n"/>
      <c r="B448" s="9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9" t="n"/>
      <c r="N448" s="9" t="n"/>
      <c r="O448" s="10" t="n"/>
      <c r="P448" s="9" t="n"/>
      <c r="Q448" s="11">
        <f>IF(P448&lt;&gt;"",P448,IF(M448="","UNKNOWN",IF(AND(ISNUMBER(SEARCH("gas",LOWER(M448))),ISNUMBER(SEARCH("water",LOWER(M448)))),"GAS_WATER",IF(AND(ISNUMBER(SEARCH("oil",LOWER(M448))),ISNUMBER(SEARCH("water",LOWER(M448)))),"OIL_WATER",IF(ISNUMBER(SEARCH("gas",LOWER(M448))),"GAS",IF(ISNUMBER(SEARCH("water",LOWER(M448))),"WATER",IF(ISNUMBER(SEARCH("oil",LOWER(M448))),"OIL","UNKNOWN")))))))</f>
        <v/>
      </c>
      <c r="R448" s="12">
        <f>IF(C448="","",C448)</f>
        <v/>
      </c>
      <c r="S448" s="12">
        <f>IF(R448="","",R448+IF(O448&lt;&gt;"",O448,IF(H448="",0,H448)))</f>
        <v/>
      </c>
      <c r="T448" s="12">
        <f>IF(R448="","",MAX(Settings!$B$3,Settings!$B$4*IF(O448&lt;&gt;"",O448,IF(H448="",0,H448))))</f>
        <v/>
      </c>
      <c r="U448" s="11">
        <f>IF(AND(C448&lt;&gt;"",M448&lt;&gt;"",OR(H448&lt;&gt;"",O448&lt;&gt;"")),"COMPLETE",IF(OR(C448&lt;&gt;"",M448&lt;&gt;""),"PARTIAL","MISSING"))</f>
        <v/>
      </c>
      <c r="V448" s="11">
        <f>IF(Q448="UNKNOWN","Check fluid description",IF(AND(R448&lt;&gt;"",S448&lt;&gt;""),"Ready for contact screening","Needs TVD + thickness"))</f>
        <v/>
      </c>
    </row>
    <row r="449">
      <c r="A449" s="9" t="n"/>
      <c r="B449" s="9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9" t="n"/>
      <c r="N449" s="9" t="n"/>
      <c r="O449" s="10" t="n"/>
      <c r="P449" s="9" t="n"/>
      <c r="Q449" s="11">
        <f>IF(P449&lt;&gt;"",P449,IF(M449="","UNKNOWN",IF(AND(ISNUMBER(SEARCH("gas",LOWER(M449))),ISNUMBER(SEARCH("water",LOWER(M449)))),"GAS_WATER",IF(AND(ISNUMBER(SEARCH("oil",LOWER(M449))),ISNUMBER(SEARCH("water",LOWER(M449)))),"OIL_WATER",IF(ISNUMBER(SEARCH("gas",LOWER(M449))),"GAS",IF(ISNUMBER(SEARCH("water",LOWER(M449))),"WATER",IF(ISNUMBER(SEARCH("oil",LOWER(M449))),"OIL","UNKNOWN")))))))</f>
        <v/>
      </c>
      <c r="R449" s="12">
        <f>IF(C449="","",C449)</f>
        <v/>
      </c>
      <c r="S449" s="12">
        <f>IF(R449="","",R449+IF(O449&lt;&gt;"",O449,IF(H449="",0,H449)))</f>
        <v/>
      </c>
      <c r="T449" s="12">
        <f>IF(R449="","",MAX(Settings!$B$3,Settings!$B$4*IF(O449&lt;&gt;"",O449,IF(H449="",0,H449))))</f>
        <v/>
      </c>
      <c r="U449" s="11">
        <f>IF(AND(C449&lt;&gt;"",M449&lt;&gt;"",OR(H449&lt;&gt;"",O449&lt;&gt;"")),"COMPLETE",IF(OR(C449&lt;&gt;"",M449&lt;&gt;""),"PARTIAL","MISSING"))</f>
        <v/>
      </c>
      <c r="V449" s="11">
        <f>IF(Q449="UNKNOWN","Check fluid description",IF(AND(R449&lt;&gt;"",S449&lt;&gt;""),"Ready for contact screening","Needs TVD + thickness"))</f>
        <v/>
      </c>
    </row>
    <row r="450">
      <c r="A450" s="9" t="n"/>
      <c r="B450" s="9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9" t="n"/>
      <c r="N450" s="9" t="n"/>
      <c r="O450" s="10" t="n"/>
      <c r="P450" s="9" t="n"/>
      <c r="Q450" s="11">
        <f>IF(P450&lt;&gt;"",P450,IF(M450="","UNKNOWN",IF(AND(ISNUMBER(SEARCH("gas",LOWER(M450))),ISNUMBER(SEARCH("water",LOWER(M450)))),"GAS_WATER",IF(AND(ISNUMBER(SEARCH("oil",LOWER(M450))),ISNUMBER(SEARCH("water",LOWER(M450)))),"OIL_WATER",IF(ISNUMBER(SEARCH("gas",LOWER(M450))),"GAS",IF(ISNUMBER(SEARCH("water",LOWER(M450))),"WATER",IF(ISNUMBER(SEARCH("oil",LOWER(M450))),"OIL","UNKNOWN")))))))</f>
        <v/>
      </c>
      <c r="R450" s="12">
        <f>IF(C450="","",C450)</f>
        <v/>
      </c>
      <c r="S450" s="12">
        <f>IF(R450="","",R450+IF(O450&lt;&gt;"",O450,IF(H450="",0,H450)))</f>
        <v/>
      </c>
      <c r="T450" s="12">
        <f>IF(R450="","",MAX(Settings!$B$3,Settings!$B$4*IF(O450&lt;&gt;"",O450,IF(H450="",0,H450))))</f>
        <v/>
      </c>
      <c r="U450" s="11">
        <f>IF(AND(C450&lt;&gt;"",M450&lt;&gt;"",OR(H450&lt;&gt;"",O450&lt;&gt;"")),"COMPLETE",IF(OR(C450&lt;&gt;"",M450&lt;&gt;""),"PARTIAL","MISSING"))</f>
        <v/>
      </c>
      <c r="V450" s="11">
        <f>IF(Q450="UNKNOWN","Check fluid description",IF(AND(R450&lt;&gt;"",S450&lt;&gt;""),"Ready for contact screening","Needs TVD + thickness"))</f>
        <v/>
      </c>
    </row>
    <row r="451">
      <c r="A451" s="9" t="n"/>
      <c r="B451" s="9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9" t="n"/>
      <c r="N451" s="9" t="n"/>
      <c r="O451" s="10" t="n"/>
      <c r="P451" s="9" t="n"/>
      <c r="Q451" s="11">
        <f>IF(P451&lt;&gt;"",P451,IF(M451="","UNKNOWN",IF(AND(ISNUMBER(SEARCH("gas",LOWER(M451))),ISNUMBER(SEARCH("water",LOWER(M451)))),"GAS_WATER",IF(AND(ISNUMBER(SEARCH("oil",LOWER(M451))),ISNUMBER(SEARCH("water",LOWER(M451)))),"OIL_WATER",IF(ISNUMBER(SEARCH("gas",LOWER(M451))),"GAS",IF(ISNUMBER(SEARCH("water",LOWER(M451))),"WATER",IF(ISNUMBER(SEARCH("oil",LOWER(M451))),"OIL","UNKNOWN")))))))</f>
        <v/>
      </c>
      <c r="R451" s="12">
        <f>IF(C451="","",C451)</f>
        <v/>
      </c>
      <c r="S451" s="12">
        <f>IF(R451="","",R451+IF(O451&lt;&gt;"",O451,IF(H451="",0,H451)))</f>
        <v/>
      </c>
      <c r="T451" s="12">
        <f>IF(R451="","",MAX(Settings!$B$3,Settings!$B$4*IF(O451&lt;&gt;"",O451,IF(H451="",0,H451))))</f>
        <v/>
      </c>
      <c r="U451" s="11">
        <f>IF(AND(C451&lt;&gt;"",M451&lt;&gt;"",OR(H451&lt;&gt;"",O451&lt;&gt;"")),"COMPLETE",IF(OR(C451&lt;&gt;"",M451&lt;&gt;""),"PARTIAL","MISSING"))</f>
        <v/>
      </c>
      <c r="V451" s="11">
        <f>IF(Q451="UNKNOWN","Check fluid description",IF(AND(R451&lt;&gt;"",S451&lt;&gt;""),"Ready for contact screening","Needs TVD + thickness"))</f>
        <v/>
      </c>
    </row>
    <row r="452">
      <c r="A452" s="9" t="n"/>
      <c r="B452" s="9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9" t="n"/>
      <c r="N452" s="9" t="n"/>
      <c r="O452" s="10" t="n"/>
      <c r="P452" s="9" t="n"/>
      <c r="Q452" s="11">
        <f>IF(P452&lt;&gt;"",P452,IF(M452="","UNKNOWN",IF(AND(ISNUMBER(SEARCH("gas",LOWER(M452))),ISNUMBER(SEARCH("water",LOWER(M452)))),"GAS_WATER",IF(AND(ISNUMBER(SEARCH("oil",LOWER(M452))),ISNUMBER(SEARCH("water",LOWER(M452)))),"OIL_WATER",IF(ISNUMBER(SEARCH("gas",LOWER(M452))),"GAS",IF(ISNUMBER(SEARCH("water",LOWER(M452))),"WATER",IF(ISNUMBER(SEARCH("oil",LOWER(M452))),"OIL","UNKNOWN")))))))</f>
        <v/>
      </c>
      <c r="R452" s="12">
        <f>IF(C452="","",C452)</f>
        <v/>
      </c>
      <c r="S452" s="12">
        <f>IF(R452="","",R452+IF(O452&lt;&gt;"",O452,IF(H452="",0,H452)))</f>
        <v/>
      </c>
      <c r="T452" s="12">
        <f>IF(R452="","",MAX(Settings!$B$3,Settings!$B$4*IF(O452&lt;&gt;"",O452,IF(H452="",0,H452))))</f>
        <v/>
      </c>
      <c r="U452" s="11">
        <f>IF(AND(C452&lt;&gt;"",M452&lt;&gt;"",OR(H452&lt;&gt;"",O452&lt;&gt;"")),"COMPLETE",IF(OR(C452&lt;&gt;"",M452&lt;&gt;""),"PARTIAL","MISSING"))</f>
        <v/>
      </c>
      <c r="V452" s="11">
        <f>IF(Q452="UNKNOWN","Check fluid description",IF(AND(R452&lt;&gt;"",S452&lt;&gt;""),"Ready for contact screening","Needs TVD + thickness"))</f>
        <v/>
      </c>
    </row>
    <row r="453">
      <c r="A453" s="9" t="n"/>
      <c r="B453" s="9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9" t="n"/>
      <c r="N453" s="9" t="n"/>
      <c r="O453" s="10" t="n"/>
      <c r="P453" s="9" t="n"/>
      <c r="Q453" s="11">
        <f>IF(P453&lt;&gt;"",P453,IF(M453="","UNKNOWN",IF(AND(ISNUMBER(SEARCH("gas",LOWER(M453))),ISNUMBER(SEARCH("water",LOWER(M453)))),"GAS_WATER",IF(AND(ISNUMBER(SEARCH("oil",LOWER(M453))),ISNUMBER(SEARCH("water",LOWER(M453)))),"OIL_WATER",IF(ISNUMBER(SEARCH("gas",LOWER(M453))),"GAS",IF(ISNUMBER(SEARCH("water",LOWER(M453))),"WATER",IF(ISNUMBER(SEARCH("oil",LOWER(M453))),"OIL","UNKNOWN")))))))</f>
        <v/>
      </c>
      <c r="R453" s="12">
        <f>IF(C453="","",C453)</f>
        <v/>
      </c>
      <c r="S453" s="12">
        <f>IF(R453="","",R453+IF(O453&lt;&gt;"",O453,IF(H453="",0,H453)))</f>
        <v/>
      </c>
      <c r="T453" s="12">
        <f>IF(R453="","",MAX(Settings!$B$3,Settings!$B$4*IF(O453&lt;&gt;"",O453,IF(H453="",0,H453))))</f>
        <v/>
      </c>
      <c r="U453" s="11">
        <f>IF(AND(C453&lt;&gt;"",M453&lt;&gt;"",OR(H453&lt;&gt;"",O453&lt;&gt;"")),"COMPLETE",IF(OR(C453&lt;&gt;"",M453&lt;&gt;""),"PARTIAL","MISSING"))</f>
        <v/>
      </c>
      <c r="V453" s="11">
        <f>IF(Q453="UNKNOWN","Check fluid description",IF(AND(R453&lt;&gt;"",S453&lt;&gt;""),"Ready for contact screening","Needs TVD + thickness"))</f>
        <v/>
      </c>
    </row>
    <row r="454">
      <c r="A454" s="9" t="n"/>
      <c r="B454" s="9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9" t="n"/>
      <c r="N454" s="9" t="n"/>
      <c r="O454" s="10" t="n"/>
      <c r="P454" s="9" t="n"/>
      <c r="Q454" s="11">
        <f>IF(P454&lt;&gt;"",P454,IF(M454="","UNKNOWN",IF(AND(ISNUMBER(SEARCH("gas",LOWER(M454))),ISNUMBER(SEARCH("water",LOWER(M454)))),"GAS_WATER",IF(AND(ISNUMBER(SEARCH("oil",LOWER(M454))),ISNUMBER(SEARCH("water",LOWER(M454)))),"OIL_WATER",IF(ISNUMBER(SEARCH("gas",LOWER(M454))),"GAS",IF(ISNUMBER(SEARCH("water",LOWER(M454))),"WATER",IF(ISNUMBER(SEARCH("oil",LOWER(M454))),"OIL","UNKNOWN")))))))</f>
        <v/>
      </c>
      <c r="R454" s="12">
        <f>IF(C454="","",C454)</f>
        <v/>
      </c>
      <c r="S454" s="12">
        <f>IF(R454="","",R454+IF(O454&lt;&gt;"",O454,IF(H454="",0,H454)))</f>
        <v/>
      </c>
      <c r="T454" s="12">
        <f>IF(R454="","",MAX(Settings!$B$3,Settings!$B$4*IF(O454&lt;&gt;"",O454,IF(H454="",0,H454))))</f>
        <v/>
      </c>
      <c r="U454" s="11">
        <f>IF(AND(C454&lt;&gt;"",M454&lt;&gt;"",OR(H454&lt;&gt;"",O454&lt;&gt;"")),"COMPLETE",IF(OR(C454&lt;&gt;"",M454&lt;&gt;""),"PARTIAL","MISSING"))</f>
        <v/>
      </c>
      <c r="V454" s="11">
        <f>IF(Q454="UNKNOWN","Check fluid description",IF(AND(R454&lt;&gt;"",S454&lt;&gt;""),"Ready for contact screening","Needs TVD + thickness"))</f>
        <v/>
      </c>
    </row>
    <row r="455">
      <c r="A455" s="9" t="n"/>
      <c r="B455" s="9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9" t="n"/>
      <c r="N455" s="9" t="n"/>
      <c r="O455" s="10" t="n"/>
      <c r="P455" s="9" t="n"/>
      <c r="Q455" s="11">
        <f>IF(P455&lt;&gt;"",P455,IF(M455="","UNKNOWN",IF(AND(ISNUMBER(SEARCH("gas",LOWER(M455))),ISNUMBER(SEARCH("water",LOWER(M455)))),"GAS_WATER",IF(AND(ISNUMBER(SEARCH("oil",LOWER(M455))),ISNUMBER(SEARCH("water",LOWER(M455)))),"OIL_WATER",IF(ISNUMBER(SEARCH("gas",LOWER(M455))),"GAS",IF(ISNUMBER(SEARCH("water",LOWER(M455))),"WATER",IF(ISNUMBER(SEARCH("oil",LOWER(M455))),"OIL","UNKNOWN")))))))</f>
        <v/>
      </c>
      <c r="R455" s="12">
        <f>IF(C455="","",C455)</f>
        <v/>
      </c>
      <c r="S455" s="12">
        <f>IF(R455="","",R455+IF(O455&lt;&gt;"",O455,IF(H455="",0,H455)))</f>
        <v/>
      </c>
      <c r="T455" s="12">
        <f>IF(R455="","",MAX(Settings!$B$3,Settings!$B$4*IF(O455&lt;&gt;"",O455,IF(H455="",0,H455))))</f>
        <v/>
      </c>
      <c r="U455" s="11">
        <f>IF(AND(C455&lt;&gt;"",M455&lt;&gt;"",OR(H455&lt;&gt;"",O455&lt;&gt;"")),"COMPLETE",IF(OR(C455&lt;&gt;"",M455&lt;&gt;""),"PARTIAL","MISSING"))</f>
        <v/>
      </c>
      <c r="V455" s="11">
        <f>IF(Q455="UNKNOWN","Check fluid description",IF(AND(R455&lt;&gt;"",S455&lt;&gt;""),"Ready for contact screening","Needs TVD + thickness"))</f>
        <v/>
      </c>
    </row>
    <row r="456">
      <c r="A456" s="9" t="n"/>
      <c r="B456" s="9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9" t="n"/>
      <c r="N456" s="9" t="n"/>
      <c r="O456" s="10" t="n"/>
      <c r="P456" s="9" t="n"/>
      <c r="Q456" s="11">
        <f>IF(P456&lt;&gt;"",P456,IF(M456="","UNKNOWN",IF(AND(ISNUMBER(SEARCH("gas",LOWER(M456))),ISNUMBER(SEARCH("water",LOWER(M456)))),"GAS_WATER",IF(AND(ISNUMBER(SEARCH("oil",LOWER(M456))),ISNUMBER(SEARCH("water",LOWER(M456)))),"OIL_WATER",IF(ISNUMBER(SEARCH("gas",LOWER(M456))),"GAS",IF(ISNUMBER(SEARCH("water",LOWER(M456))),"WATER",IF(ISNUMBER(SEARCH("oil",LOWER(M456))),"OIL","UNKNOWN")))))))</f>
        <v/>
      </c>
      <c r="R456" s="12">
        <f>IF(C456="","",C456)</f>
        <v/>
      </c>
      <c r="S456" s="12">
        <f>IF(R456="","",R456+IF(O456&lt;&gt;"",O456,IF(H456="",0,H456)))</f>
        <v/>
      </c>
      <c r="T456" s="12">
        <f>IF(R456="","",MAX(Settings!$B$3,Settings!$B$4*IF(O456&lt;&gt;"",O456,IF(H456="",0,H456))))</f>
        <v/>
      </c>
      <c r="U456" s="11">
        <f>IF(AND(C456&lt;&gt;"",M456&lt;&gt;"",OR(H456&lt;&gt;"",O456&lt;&gt;"")),"COMPLETE",IF(OR(C456&lt;&gt;"",M456&lt;&gt;""),"PARTIAL","MISSING"))</f>
        <v/>
      </c>
      <c r="V456" s="11">
        <f>IF(Q456="UNKNOWN","Check fluid description",IF(AND(R456&lt;&gt;"",S456&lt;&gt;""),"Ready for contact screening","Needs TVD + thickness"))</f>
        <v/>
      </c>
    </row>
    <row r="457">
      <c r="A457" s="9" t="n"/>
      <c r="B457" s="9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9" t="n"/>
      <c r="N457" s="9" t="n"/>
      <c r="O457" s="10" t="n"/>
      <c r="P457" s="9" t="n"/>
      <c r="Q457" s="11">
        <f>IF(P457&lt;&gt;"",P457,IF(M457="","UNKNOWN",IF(AND(ISNUMBER(SEARCH("gas",LOWER(M457))),ISNUMBER(SEARCH("water",LOWER(M457)))),"GAS_WATER",IF(AND(ISNUMBER(SEARCH("oil",LOWER(M457))),ISNUMBER(SEARCH("water",LOWER(M457)))),"OIL_WATER",IF(ISNUMBER(SEARCH("gas",LOWER(M457))),"GAS",IF(ISNUMBER(SEARCH("water",LOWER(M457))),"WATER",IF(ISNUMBER(SEARCH("oil",LOWER(M457))),"OIL","UNKNOWN")))))))</f>
        <v/>
      </c>
      <c r="R457" s="12">
        <f>IF(C457="","",C457)</f>
        <v/>
      </c>
      <c r="S457" s="12">
        <f>IF(R457="","",R457+IF(O457&lt;&gt;"",O457,IF(H457="",0,H457)))</f>
        <v/>
      </c>
      <c r="T457" s="12">
        <f>IF(R457="","",MAX(Settings!$B$3,Settings!$B$4*IF(O457&lt;&gt;"",O457,IF(H457="",0,H457))))</f>
        <v/>
      </c>
      <c r="U457" s="11">
        <f>IF(AND(C457&lt;&gt;"",M457&lt;&gt;"",OR(H457&lt;&gt;"",O457&lt;&gt;"")),"COMPLETE",IF(OR(C457&lt;&gt;"",M457&lt;&gt;""),"PARTIAL","MISSING"))</f>
        <v/>
      </c>
      <c r="V457" s="11">
        <f>IF(Q457="UNKNOWN","Check fluid description",IF(AND(R457&lt;&gt;"",S457&lt;&gt;""),"Ready for contact screening","Needs TVD + thickness"))</f>
        <v/>
      </c>
    </row>
    <row r="458">
      <c r="A458" s="9" t="n"/>
      <c r="B458" s="9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9" t="n"/>
      <c r="N458" s="9" t="n"/>
      <c r="O458" s="10" t="n"/>
      <c r="P458" s="9" t="n"/>
      <c r="Q458" s="11">
        <f>IF(P458&lt;&gt;"",P458,IF(M458="","UNKNOWN",IF(AND(ISNUMBER(SEARCH("gas",LOWER(M458))),ISNUMBER(SEARCH("water",LOWER(M458)))),"GAS_WATER",IF(AND(ISNUMBER(SEARCH("oil",LOWER(M458))),ISNUMBER(SEARCH("water",LOWER(M458)))),"OIL_WATER",IF(ISNUMBER(SEARCH("gas",LOWER(M458))),"GAS",IF(ISNUMBER(SEARCH("water",LOWER(M458))),"WATER",IF(ISNUMBER(SEARCH("oil",LOWER(M458))),"OIL","UNKNOWN")))))))</f>
        <v/>
      </c>
      <c r="R458" s="12">
        <f>IF(C458="","",C458)</f>
        <v/>
      </c>
      <c r="S458" s="12">
        <f>IF(R458="","",R458+IF(O458&lt;&gt;"",O458,IF(H458="",0,H458)))</f>
        <v/>
      </c>
      <c r="T458" s="12">
        <f>IF(R458="","",MAX(Settings!$B$3,Settings!$B$4*IF(O458&lt;&gt;"",O458,IF(H458="",0,H458))))</f>
        <v/>
      </c>
      <c r="U458" s="11">
        <f>IF(AND(C458&lt;&gt;"",M458&lt;&gt;"",OR(H458&lt;&gt;"",O458&lt;&gt;"")),"COMPLETE",IF(OR(C458&lt;&gt;"",M458&lt;&gt;""),"PARTIAL","MISSING"))</f>
        <v/>
      </c>
      <c r="V458" s="11">
        <f>IF(Q458="UNKNOWN","Check fluid description",IF(AND(R458&lt;&gt;"",S458&lt;&gt;""),"Ready for contact screening","Needs TVD + thickness"))</f>
        <v/>
      </c>
    </row>
    <row r="459">
      <c r="A459" s="9" t="n"/>
      <c r="B459" s="9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9" t="n"/>
      <c r="N459" s="9" t="n"/>
      <c r="O459" s="10" t="n"/>
      <c r="P459" s="9" t="n"/>
      <c r="Q459" s="11">
        <f>IF(P459&lt;&gt;"",P459,IF(M459="","UNKNOWN",IF(AND(ISNUMBER(SEARCH("gas",LOWER(M459))),ISNUMBER(SEARCH("water",LOWER(M459)))),"GAS_WATER",IF(AND(ISNUMBER(SEARCH("oil",LOWER(M459))),ISNUMBER(SEARCH("water",LOWER(M459)))),"OIL_WATER",IF(ISNUMBER(SEARCH("gas",LOWER(M459))),"GAS",IF(ISNUMBER(SEARCH("water",LOWER(M459))),"WATER",IF(ISNUMBER(SEARCH("oil",LOWER(M459))),"OIL","UNKNOWN")))))))</f>
        <v/>
      </c>
      <c r="R459" s="12">
        <f>IF(C459="","",C459)</f>
        <v/>
      </c>
      <c r="S459" s="12">
        <f>IF(R459="","",R459+IF(O459&lt;&gt;"",O459,IF(H459="",0,H459)))</f>
        <v/>
      </c>
      <c r="T459" s="12">
        <f>IF(R459="","",MAX(Settings!$B$3,Settings!$B$4*IF(O459&lt;&gt;"",O459,IF(H459="",0,H459))))</f>
        <v/>
      </c>
      <c r="U459" s="11">
        <f>IF(AND(C459&lt;&gt;"",M459&lt;&gt;"",OR(H459&lt;&gt;"",O459&lt;&gt;"")),"COMPLETE",IF(OR(C459&lt;&gt;"",M459&lt;&gt;""),"PARTIAL","MISSING"))</f>
        <v/>
      </c>
      <c r="V459" s="11">
        <f>IF(Q459="UNKNOWN","Check fluid description",IF(AND(R459&lt;&gt;"",S459&lt;&gt;""),"Ready for contact screening","Needs TVD + thickness"))</f>
        <v/>
      </c>
    </row>
    <row r="460">
      <c r="A460" s="9" t="n"/>
      <c r="B460" s="9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9" t="n"/>
      <c r="N460" s="9" t="n"/>
      <c r="O460" s="10" t="n"/>
      <c r="P460" s="9" t="n"/>
      <c r="Q460" s="11">
        <f>IF(P460&lt;&gt;"",P460,IF(M460="","UNKNOWN",IF(AND(ISNUMBER(SEARCH("gas",LOWER(M460))),ISNUMBER(SEARCH("water",LOWER(M460)))),"GAS_WATER",IF(AND(ISNUMBER(SEARCH("oil",LOWER(M460))),ISNUMBER(SEARCH("water",LOWER(M460)))),"OIL_WATER",IF(ISNUMBER(SEARCH("gas",LOWER(M460))),"GAS",IF(ISNUMBER(SEARCH("water",LOWER(M460))),"WATER",IF(ISNUMBER(SEARCH("oil",LOWER(M460))),"OIL","UNKNOWN")))))))</f>
        <v/>
      </c>
      <c r="R460" s="12">
        <f>IF(C460="","",C460)</f>
        <v/>
      </c>
      <c r="S460" s="12">
        <f>IF(R460="","",R460+IF(O460&lt;&gt;"",O460,IF(H460="",0,H460)))</f>
        <v/>
      </c>
      <c r="T460" s="12">
        <f>IF(R460="","",MAX(Settings!$B$3,Settings!$B$4*IF(O460&lt;&gt;"",O460,IF(H460="",0,H460))))</f>
        <v/>
      </c>
      <c r="U460" s="11">
        <f>IF(AND(C460&lt;&gt;"",M460&lt;&gt;"",OR(H460&lt;&gt;"",O460&lt;&gt;"")),"COMPLETE",IF(OR(C460&lt;&gt;"",M460&lt;&gt;""),"PARTIAL","MISSING"))</f>
        <v/>
      </c>
      <c r="V460" s="11">
        <f>IF(Q460="UNKNOWN","Check fluid description",IF(AND(R460&lt;&gt;"",S460&lt;&gt;""),"Ready for contact screening","Needs TVD + thickness"))</f>
        <v/>
      </c>
    </row>
    <row r="461">
      <c r="A461" s="9" t="n"/>
      <c r="B461" s="9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9" t="n"/>
      <c r="N461" s="9" t="n"/>
      <c r="O461" s="10" t="n"/>
      <c r="P461" s="9" t="n"/>
      <c r="Q461" s="11">
        <f>IF(P461&lt;&gt;"",P461,IF(M461="","UNKNOWN",IF(AND(ISNUMBER(SEARCH("gas",LOWER(M461))),ISNUMBER(SEARCH("water",LOWER(M461)))),"GAS_WATER",IF(AND(ISNUMBER(SEARCH("oil",LOWER(M461))),ISNUMBER(SEARCH("water",LOWER(M461)))),"OIL_WATER",IF(ISNUMBER(SEARCH("gas",LOWER(M461))),"GAS",IF(ISNUMBER(SEARCH("water",LOWER(M461))),"WATER",IF(ISNUMBER(SEARCH("oil",LOWER(M461))),"OIL","UNKNOWN")))))))</f>
        <v/>
      </c>
      <c r="R461" s="12">
        <f>IF(C461="","",C461)</f>
        <v/>
      </c>
      <c r="S461" s="12">
        <f>IF(R461="","",R461+IF(O461&lt;&gt;"",O461,IF(H461="",0,H461)))</f>
        <v/>
      </c>
      <c r="T461" s="12">
        <f>IF(R461="","",MAX(Settings!$B$3,Settings!$B$4*IF(O461&lt;&gt;"",O461,IF(H461="",0,H461))))</f>
        <v/>
      </c>
      <c r="U461" s="11">
        <f>IF(AND(C461&lt;&gt;"",M461&lt;&gt;"",OR(H461&lt;&gt;"",O461&lt;&gt;"")),"COMPLETE",IF(OR(C461&lt;&gt;"",M461&lt;&gt;""),"PARTIAL","MISSING"))</f>
        <v/>
      </c>
      <c r="V461" s="11">
        <f>IF(Q461="UNKNOWN","Check fluid description",IF(AND(R461&lt;&gt;"",S461&lt;&gt;""),"Ready for contact screening","Needs TVD + thickness"))</f>
        <v/>
      </c>
    </row>
    <row r="462">
      <c r="A462" s="9" t="n"/>
      <c r="B462" s="9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9" t="n"/>
      <c r="N462" s="9" t="n"/>
      <c r="O462" s="10" t="n"/>
      <c r="P462" s="9" t="n"/>
      <c r="Q462" s="11">
        <f>IF(P462&lt;&gt;"",P462,IF(M462="","UNKNOWN",IF(AND(ISNUMBER(SEARCH("gas",LOWER(M462))),ISNUMBER(SEARCH("water",LOWER(M462)))),"GAS_WATER",IF(AND(ISNUMBER(SEARCH("oil",LOWER(M462))),ISNUMBER(SEARCH("water",LOWER(M462)))),"OIL_WATER",IF(ISNUMBER(SEARCH("gas",LOWER(M462))),"GAS",IF(ISNUMBER(SEARCH("water",LOWER(M462))),"WATER",IF(ISNUMBER(SEARCH("oil",LOWER(M462))),"OIL","UNKNOWN")))))))</f>
        <v/>
      </c>
      <c r="R462" s="12">
        <f>IF(C462="","",C462)</f>
        <v/>
      </c>
      <c r="S462" s="12">
        <f>IF(R462="","",R462+IF(O462&lt;&gt;"",O462,IF(H462="",0,H462)))</f>
        <v/>
      </c>
      <c r="T462" s="12">
        <f>IF(R462="","",MAX(Settings!$B$3,Settings!$B$4*IF(O462&lt;&gt;"",O462,IF(H462="",0,H462))))</f>
        <v/>
      </c>
      <c r="U462" s="11">
        <f>IF(AND(C462&lt;&gt;"",M462&lt;&gt;"",OR(H462&lt;&gt;"",O462&lt;&gt;"")),"COMPLETE",IF(OR(C462&lt;&gt;"",M462&lt;&gt;""),"PARTIAL","MISSING"))</f>
        <v/>
      </c>
      <c r="V462" s="11">
        <f>IF(Q462="UNKNOWN","Check fluid description",IF(AND(R462&lt;&gt;"",S462&lt;&gt;""),"Ready for contact screening","Needs TVD + thickness"))</f>
        <v/>
      </c>
    </row>
    <row r="463">
      <c r="A463" s="9" t="n"/>
      <c r="B463" s="9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9" t="n"/>
      <c r="N463" s="9" t="n"/>
      <c r="O463" s="10" t="n"/>
      <c r="P463" s="9" t="n"/>
      <c r="Q463" s="11">
        <f>IF(P463&lt;&gt;"",P463,IF(M463="","UNKNOWN",IF(AND(ISNUMBER(SEARCH("gas",LOWER(M463))),ISNUMBER(SEARCH("water",LOWER(M463)))),"GAS_WATER",IF(AND(ISNUMBER(SEARCH("oil",LOWER(M463))),ISNUMBER(SEARCH("water",LOWER(M463)))),"OIL_WATER",IF(ISNUMBER(SEARCH("gas",LOWER(M463))),"GAS",IF(ISNUMBER(SEARCH("water",LOWER(M463))),"WATER",IF(ISNUMBER(SEARCH("oil",LOWER(M463))),"OIL","UNKNOWN")))))))</f>
        <v/>
      </c>
      <c r="R463" s="12">
        <f>IF(C463="","",C463)</f>
        <v/>
      </c>
      <c r="S463" s="12">
        <f>IF(R463="","",R463+IF(O463&lt;&gt;"",O463,IF(H463="",0,H463)))</f>
        <v/>
      </c>
      <c r="T463" s="12">
        <f>IF(R463="","",MAX(Settings!$B$3,Settings!$B$4*IF(O463&lt;&gt;"",O463,IF(H463="",0,H463))))</f>
        <v/>
      </c>
      <c r="U463" s="11">
        <f>IF(AND(C463&lt;&gt;"",M463&lt;&gt;"",OR(H463&lt;&gt;"",O463&lt;&gt;"")),"COMPLETE",IF(OR(C463&lt;&gt;"",M463&lt;&gt;""),"PARTIAL","MISSING"))</f>
        <v/>
      </c>
      <c r="V463" s="11">
        <f>IF(Q463="UNKNOWN","Check fluid description",IF(AND(R463&lt;&gt;"",S463&lt;&gt;""),"Ready for contact screening","Needs TVD + thickness"))</f>
        <v/>
      </c>
    </row>
    <row r="464">
      <c r="A464" s="9" t="n"/>
      <c r="B464" s="9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9" t="n"/>
      <c r="N464" s="9" t="n"/>
      <c r="O464" s="10" t="n"/>
      <c r="P464" s="9" t="n"/>
      <c r="Q464" s="11">
        <f>IF(P464&lt;&gt;"",P464,IF(M464="","UNKNOWN",IF(AND(ISNUMBER(SEARCH("gas",LOWER(M464))),ISNUMBER(SEARCH("water",LOWER(M464)))),"GAS_WATER",IF(AND(ISNUMBER(SEARCH("oil",LOWER(M464))),ISNUMBER(SEARCH("water",LOWER(M464)))),"OIL_WATER",IF(ISNUMBER(SEARCH("gas",LOWER(M464))),"GAS",IF(ISNUMBER(SEARCH("water",LOWER(M464))),"WATER",IF(ISNUMBER(SEARCH("oil",LOWER(M464))),"OIL","UNKNOWN")))))))</f>
        <v/>
      </c>
      <c r="R464" s="12">
        <f>IF(C464="","",C464)</f>
        <v/>
      </c>
      <c r="S464" s="12">
        <f>IF(R464="","",R464+IF(O464&lt;&gt;"",O464,IF(H464="",0,H464)))</f>
        <v/>
      </c>
      <c r="T464" s="12">
        <f>IF(R464="","",MAX(Settings!$B$3,Settings!$B$4*IF(O464&lt;&gt;"",O464,IF(H464="",0,H464))))</f>
        <v/>
      </c>
      <c r="U464" s="11">
        <f>IF(AND(C464&lt;&gt;"",M464&lt;&gt;"",OR(H464&lt;&gt;"",O464&lt;&gt;"")),"COMPLETE",IF(OR(C464&lt;&gt;"",M464&lt;&gt;""),"PARTIAL","MISSING"))</f>
        <v/>
      </c>
      <c r="V464" s="11">
        <f>IF(Q464="UNKNOWN","Check fluid description",IF(AND(R464&lt;&gt;"",S464&lt;&gt;""),"Ready for contact screening","Needs TVD + thickness"))</f>
        <v/>
      </c>
    </row>
    <row r="465">
      <c r="A465" s="9" t="n"/>
      <c r="B465" s="9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9" t="n"/>
      <c r="N465" s="9" t="n"/>
      <c r="O465" s="10" t="n"/>
      <c r="P465" s="9" t="n"/>
      <c r="Q465" s="11">
        <f>IF(P465&lt;&gt;"",P465,IF(M465="","UNKNOWN",IF(AND(ISNUMBER(SEARCH("gas",LOWER(M465))),ISNUMBER(SEARCH("water",LOWER(M465)))),"GAS_WATER",IF(AND(ISNUMBER(SEARCH("oil",LOWER(M465))),ISNUMBER(SEARCH("water",LOWER(M465)))),"OIL_WATER",IF(ISNUMBER(SEARCH("gas",LOWER(M465))),"GAS",IF(ISNUMBER(SEARCH("water",LOWER(M465))),"WATER",IF(ISNUMBER(SEARCH("oil",LOWER(M465))),"OIL","UNKNOWN")))))))</f>
        <v/>
      </c>
      <c r="R465" s="12">
        <f>IF(C465="","",C465)</f>
        <v/>
      </c>
      <c r="S465" s="12">
        <f>IF(R465="","",R465+IF(O465&lt;&gt;"",O465,IF(H465="",0,H465)))</f>
        <v/>
      </c>
      <c r="T465" s="12">
        <f>IF(R465="","",MAX(Settings!$B$3,Settings!$B$4*IF(O465&lt;&gt;"",O465,IF(H465="",0,H465))))</f>
        <v/>
      </c>
      <c r="U465" s="11">
        <f>IF(AND(C465&lt;&gt;"",M465&lt;&gt;"",OR(H465&lt;&gt;"",O465&lt;&gt;"")),"COMPLETE",IF(OR(C465&lt;&gt;"",M465&lt;&gt;""),"PARTIAL","MISSING"))</f>
        <v/>
      </c>
      <c r="V465" s="11">
        <f>IF(Q465="UNKNOWN","Check fluid description",IF(AND(R465&lt;&gt;"",S465&lt;&gt;""),"Ready for contact screening","Needs TVD + thickness"))</f>
        <v/>
      </c>
    </row>
    <row r="466">
      <c r="A466" s="9" t="n"/>
      <c r="B466" s="9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9" t="n"/>
      <c r="N466" s="9" t="n"/>
      <c r="O466" s="10" t="n"/>
      <c r="P466" s="9" t="n"/>
      <c r="Q466" s="11">
        <f>IF(P466&lt;&gt;"",P466,IF(M466="","UNKNOWN",IF(AND(ISNUMBER(SEARCH("gas",LOWER(M466))),ISNUMBER(SEARCH("water",LOWER(M466)))),"GAS_WATER",IF(AND(ISNUMBER(SEARCH("oil",LOWER(M466))),ISNUMBER(SEARCH("water",LOWER(M466)))),"OIL_WATER",IF(ISNUMBER(SEARCH("gas",LOWER(M466))),"GAS",IF(ISNUMBER(SEARCH("water",LOWER(M466))),"WATER",IF(ISNUMBER(SEARCH("oil",LOWER(M466))),"OIL","UNKNOWN")))))))</f>
        <v/>
      </c>
      <c r="R466" s="12">
        <f>IF(C466="","",C466)</f>
        <v/>
      </c>
      <c r="S466" s="12">
        <f>IF(R466="","",R466+IF(O466&lt;&gt;"",O466,IF(H466="",0,H466)))</f>
        <v/>
      </c>
      <c r="T466" s="12">
        <f>IF(R466="","",MAX(Settings!$B$3,Settings!$B$4*IF(O466&lt;&gt;"",O466,IF(H466="",0,H466))))</f>
        <v/>
      </c>
      <c r="U466" s="11">
        <f>IF(AND(C466&lt;&gt;"",M466&lt;&gt;"",OR(H466&lt;&gt;"",O466&lt;&gt;"")),"COMPLETE",IF(OR(C466&lt;&gt;"",M466&lt;&gt;""),"PARTIAL","MISSING"))</f>
        <v/>
      </c>
      <c r="V466" s="11">
        <f>IF(Q466="UNKNOWN","Check fluid description",IF(AND(R466&lt;&gt;"",S466&lt;&gt;""),"Ready for contact screening","Needs TVD + thickness"))</f>
        <v/>
      </c>
    </row>
    <row r="467">
      <c r="A467" s="9" t="n"/>
      <c r="B467" s="9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9" t="n"/>
      <c r="N467" s="9" t="n"/>
      <c r="O467" s="10" t="n"/>
      <c r="P467" s="9" t="n"/>
      <c r="Q467" s="11">
        <f>IF(P467&lt;&gt;"",P467,IF(M467="","UNKNOWN",IF(AND(ISNUMBER(SEARCH("gas",LOWER(M467))),ISNUMBER(SEARCH("water",LOWER(M467)))),"GAS_WATER",IF(AND(ISNUMBER(SEARCH("oil",LOWER(M467))),ISNUMBER(SEARCH("water",LOWER(M467)))),"OIL_WATER",IF(ISNUMBER(SEARCH("gas",LOWER(M467))),"GAS",IF(ISNUMBER(SEARCH("water",LOWER(M467))),"WATER",IF(ISNUMBER(SEARCH("oil",LOWER(M467))),"OIL","UNKNOWN")))))))</f>
        <v/>
      </c>
      <c r="R467" s="12">
        <f>IF(C467="","",C467)</f>
        <v/>
      </c>
      <c r="S467" s="12">
        <f>IF(R467="","",R467+IF(O467&lt;&gt;"",O467,IF(H467="",0,H467)))</f>
        <v/>
      </c>
      <c r="T467" s="12">
        <f>IF(R467="","",MAX(Settings!$B$3,Settings!$B$4*IF(O467&lt;&gt;"",O467,IF(H467="",0,H467))))</f>
        <v/>
      </c>
      <c r="U467" s="11">
        <f>IF(AND(C467&lt;&gt;"",M467&lt;&gt;"",OR(H467&lt;&gt;"",O467&lt;&gt;"")),"COMPLETE",IF(OR(C467&lt;&gt;"",M467&lt;&gt;""),"PARTIAL","MISSING"))</f>
        <v/>
      </c>
      <c r="V467" s="11">
        <f>IF(Q467="UNKNOWN","Check fluid description",IF(AND(R467&lt;&gt;"",S467&lt;&gt;""),"Ready for contact screening","Needs TVD + thickness"))</f>
        <v/>
      </c>
    </row>
    <row r="468">
      <c r="A468" s="9" t="n"/>
      <c r="B468" s="9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9" t="n"/>
      <c r="N468" s="9" t="n"/>
      <c r="O468" s="10" t="n"/>
      <c r="P468" s="9" t="n"/>
      <c r="Q468" s="11">
        <f>IF(P468&lt;&gt;"",P468,IF(M468="","UNKNOWN",IF(AND(ISNUMBER(SEARCH("gas",LOWER(M468))),ISNUMBER(SEARCH("water",LOWER(M468)))),"GAS_WATER",IF(AND(ISNUMBER(SEARCH("oil",LOWER(M468))),ISNUMBER(SEARCH("water",LOWER(M468)))),"OIL_WATER",IF(ISNUMBER(SEARCH("gas",LOWER(M468))),"GAS",IF(ISNUMBER(SEARCH("water",LOWER(M468))),"WATER",IF(ISNUMBER(SEARCH("oil",LOWER(M468))),"OIL","UNKNOWN")))))))</f>
        <v/>
      </c>
      <c r="R468" s="12">
        <f>IF(C468="","",C468)</f>
        <v/>
      </c>
      <c r="S468" s="12">
        <f>IF(R468="","",R468+IF(O468&lt;&gt;"",O468,IF(H468="",0,H468)))</f>
        <v/>
      </c>
      <c r="T468" s="12">
        <f>IF(R468="","",MAX(Settings!$B$3,Settings!$B$4*IF(O468&lt;&gt;"",O468,IF(H468="",0,H468))))</f>
        <v/>
      </c>
      <c r="U468" s="11">
        <f>IF(AND(C468&lt;&gt;"",M468&lt;&gt;"",OR(H468&lt;&gt;"",O468&lt;&gt;"")),"COMPLETE",IF(OR(C468&lt;&gt;"",M468&lt;&gt;""),"PARTIAL","MISSING"))</f>
        <v/>
      </c>
      <c r="V468" s="11">
        <f>IF(Q468="UNKNOWN","Check fluid description",IF(AND(R468&lt;&gt;"",S468&lt;&gt;""),"Ready for contact screening","Needs TVD + thickness"))</f>
        <v/>
      </c>
    </row>
    <row r="469">
      <c r="A469" s="9" t="n"/>
      <c r="B469" s="9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9" t="n"/>
      <c r="N469" s="9" t="n"/>
      <c r="O469" s="10" t="n"/>
      <c r="P469" s="9" t="n"/>
      <c r="Q469" s="11">
        <f>IF(P469&lt;&gt;"",P469,IF(M469="","UNKNOWN",IF(AND(ISNUMBER(SEARCH("gas",LOWER(M469))),ISNUMBER(SEARCH("water",LOWER(M469)))),"GAS_WATER",IF(AND(ISNUMBER(SEARCH("oil",LOWER(M469))),ISNUMBER(SEARCH("water",LOWER(M469)))),"OIL_WATER",IF(ISNUMBER(SEARCH("gas",LOWER(M469))),"GAS",IF(ISNUMBER(SEARCH("water",LOWER(M469))),"WATER",IF(ISNUMBER(SEARCH("oil",LOWER(M469))),"OIL","UNKNOWN")))))))</f>
        <v/>
      </c>
      <c r="R469" s="12">
        <f>IF(C469="","",C469)</f>
        <v/>
      </c>
      <c r="S469" s="12">
        <f>IF(R469="","",R469+IF(O469&lt;&gt;"",O469,IF(H469="",0,H469)))</f>
        <v/>
      </c>
      <c r="T469" s="12">
        <f>IF(R469="","",MAX(Settings!$B$3,Settings!$B$4*IF(O469&lt;&gt;"",O469,IF(H469="",0,H469))))</f>
        <v/>
      </c>
      <c r="U469" s="11">
        <f>IF(AND(C469&lt;&gt;"",M469&lt;&gt;"",OR(H469&lt;&gt;"",O469&lt;&gt;"")),"COMPLETE",IF(OR(C469&lt;&gt;"",M469&lt;&gt;""),"PARTIAL","MISSING"))</f>
        <v/>
      </c>
      <c r="V469" s="11">
        <f>IF(Q469="UNKNOWN","Check fluid description",IF(AND(R469&lt;&gt;"",S469&lt;&gt;""),"Ready for contact screening","Needs TVD + thickness"))</f>
        <v/>
      </c>
    </row>
    <row r="470">
      <c r="A470" s="9" t="n"/>
      <c r="B470" s="9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9" t="n"/>
      <c r="N470" s="9" t="n"/>
      <c r="O470" s="10" t="n"/>
      <c r="P470" s="9" t="n"/>
      <c r="Q470" s="11">
        <f>IF(P470&lt;&gt;"",P470,IF(M470="","UNKNOWN",IF(AND(ISNUMBER(SEARCH("gas",LOWER(M470))),ISNUMBER(SEARCH("water",LOWER(M470)))),"GAS_WATER",IF(AND(ISNUMBER(SEARCH("oil",LOWER(M470))),ISNUMBER(SEARCH("water",LOWER(M470)))),"OIL_WATER",IF(ISNUMBER(SEARCH("gas",LOWER(M470))),"GAS",IF(ISNUMBER(SEARCH("water",LOWER(M470))),"WATER",IF(ISNUMBER(SEARCH("oil",LOWER(M470))),"OIL","UNKNOWN")))))))</f>
        <v/>
      </c>
      <c r="R470" s="12">
        <f>IF(C470="","",C470)</f>
        <v/>
      </c>
      <c r="S470" s="12">
        <f>IF(R470="","",R470+IF(O470&lt;&gt;"",O470,IF(H470="",0,H470)))</f>
        <v/>
      </c>
      <c r="T470" s="12">
        <f>IF(R470="","",MAX(Settings!$B$3,Settings!$B$4*IF(O470&lt;&gt;"",O470,IF(H470="",0,H470))))</f>
        <v/>
      </c>
      <c r="U470" s="11">
        <f>IF(AND(C470&lt;&gt;"",M470&lt;&gt;"",OR(H470&lt;&gt;"",O470&lt;&gt;"")),"COMPLETE",IF(OR(C470&lt;&gt;"",M470&lt;&gt;""),"PARTIAL","MISSING"))</f>
        <v/>
      </c>
      <c r="V470" s="11">
        <f>IF(Q470="UNKNOWN","Check fluid description",IF(AND(R470&lt;&gt;"",S470&lt;&gt;""),"Ready for contact screening","Needs TVD + thickness"))</f>
        <v/>
      </c>
    </row>
    <row r="471">
      <c r="A471" s="9" t="n"/>
      <c r="B471" s="9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9" t="n"/>
      <c r="N471" s="9" t="n"/>
      <c r="O471" s="10" t="n"/>
      <c r="P471" s="9" t="n"/>
      <c r="Q471" s="11">
        <f>IF(P471&lt;&gt;"",P471,IF(M471="","UNKNOWN",IF(AND(ISNUMBER(SEARCH("gas",LOWER(M471))),ISNUMBER(SEARCH("water",LOWER(M471)))),"GAS_WATER",IF(AND(ISNUMBER(SEARCH("oil",LOWER(M471))),ISNUMBER(SEARCH("water",LOWER(M471)))),"OIL_WATER",IF(ISNUMBER(SEARCH("gas",LOWER(M471))),"GAS",IF(ISNUMBER(SEARCH("water",LOWER(M471))),"WATER",IF(ISNUMBER(SEARCH("oil",LOWER(M471))),"OIL","UNKNOWN")))))))</f>
        <v/>
      </c>
      <c r="R471" s="12">
        <f>IF(C471="","",C471)</f>
        <v/>
      </c>
      <c r="S471" s="12">
        <f>IF(R471="","",R471+IF(O471&lt;&gt;"",O471,IF(H471="",0,H471)))</f>
        <v/>
      </c>
      <c r="T471" s="12">
        <f>IF(R471="","",MAX(Settings!$B$3,Settings!$B$4*IF(O471&lt;&gt;"",O471,IF(H471="",0,H471))))</f>
        <v/>
      </c>
      <c r="U471" s="11">
        <f>IF(AND(C471&lt;&gt;"",M471&lt;&gt;"",OR(H471&lt;&gt;"",O471&lt;&gt;"")),"COMPLETE",IF(OR(C471&lt;&gt;"",M471&lt;&gt;""),"PARTIAL","MISSING"))</f>
        <v/>
      </c>
      <c r="V471" s="11">
        <f>IF(Q471="UNKNOWN","Check fluid description",IF(AND(R471&lt;&gt;"",S471&lt;&gt;""),"Ready for contact screening","Needs TVD + thickness"))</f>
        <v/>
      </c>
    </row>
    <row r="472">
      <c r="A472" s="9" t="n"/>
      <c r="B472" s="9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9" t="n"/>
      <c r="N472" s="9" t="n"/>
      <c r="O472" s="10" t="n"/>
      <c r="P472" s="9" t="n"/>
      <c r="Q472" s="11">
        <f>IF(P472&lt;&gt;"",P472,IF(M472="","UNKNOWN",IF(AND(ISNUMBER(SEARCH("gas",LOWER(M472))),ISNUMBER(SEARCH("water",LOWER(M472)))),"GAS_WATER",IF(AND(ISNUMBER(SEARCH("oil",LOWER(M472))),ISNUMBER(SEARCH("water",LOWER(M472)))),"OIL_WATER",IF(ISNUMBER(SEARCH("gas",LOWER(M472))),"GAS",IF(ISNUMBER(SEARCH("water",LOWER(M472))),"WATER",IF(ISNUMBER(SEARCH("oil",LOWER(M472))),"OIL","UNKNOWN")))))))</f>
        <v/>
      </c>
      <c r="R472" s="12">
        <f>IF(C472="","",C472)</f>
        <v/>
      </c>
      <c r="S472" s="12">
        <f>IF(R472="","",R472+IF(O472&lt;&gt;"",O472,IF(H472="",0,H472)))</f>
        <v/>
      </c>
      <c r="T472" s="12">
        <f>IF(R472="","",MAX(Settings!$B$3,Settings!$B$4*IF(O472&lt;&gt;"",O472,IF(H472="",0,H472))))</f>
        <v/>
      </c>
      <c r="U472" s="11">
        <f>IF(AND(C472&lt;&gt;"",M472&lt;&gt;"",OR(H472&lt;&gt;"",O472&lt;&gt;"")),"COMPLETE",IF(OR(C472&lt;&gt;"",M472&lt;&gt;""),"PARTIAL","MISSING"))</f>
        <v/>
      </c>
      <c r="V472" s="11">
        <f>IF(Q472="UNKNOWN","Check fluid description",IF(AND(R472&lt;&gt;"",S472&lt;&gt;""),"Ready for contact screening","Needs TVD + thickness"))</f>
        <v/>
      </c>
    </row>
    <row r="473">
      <c r="A473" s="9" t="n"/>
      <c r="B473" s="9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9" t="n"/>
      <c r="N473" s="9" t="n"/>
      <c r="O473" s="10" t="n"/>
      <c r="P473" s="9" t="n"/>
      <c r="Q473" s="11">
        <f>IF(P473&lt;&gt;"",P473,IF(M473="","UNKNOWN",IF(AND(ISNUMBER(SEARCH("gas",LOWER(M473))),ISNUMBER(SEARCH("water",LOWER(M473)))),"GAS_WATER",IF(AND(ISNUMBER(SEARCH("oil",LOWER(M473))),ISNUMBER(SEARCH("water",LOWER(M473)))),"OIL_WATER",IF(ISNUMBER(SEARCH("gas",LOWER(M473))),"GAS",IF(ISNUMBER(SEARCH("water",LOWER(M473))),"WATER",IF(ISNUMBER(SEARCH("oil",LOWER(M473))),"OIL","UNKNOWN")))))))</f>
        <v/>
      </c>
      <c r="R473" s="12">
        <f>IF(C473="","",C473)</f>
        <v/>
      </c>
      <c r="S473" s="12">
        <f>IF(R473="","",R473+IF(O473&lt;&gt;"",O473,IF(H473="",0,H473)))</f>
        <v/>
      </c>
      <c r="T473" s="12">
        <f>IF(R473="","",MAX(Settings!$B$3,Settings!$B$4*IF(O473&lt;&gt;"",O473,IF(H473="",0,H473))))</f>
        <v/>
      </c>
      <c r="U473" s="11">
        <f>IF(AND(C473&lt;&gt;"",M473&lt;&gt;"",OR(H473&lt;&gt;"",O473&lt;&gt;"")),"COMPLETE",IF(OR(C473&lt;&gt;"",M473&lt;&gt;""),"PARTIAL","MISSING"))</f>
        <v/>
      </c>
      <c r="V473" s="11">
        <f>IF(Q473="UNKNOWN","Check fluid description",IF(AND(R473&lt;&gt;"",S473&lt;&gt;""),"Ready for contact screening","Needs TVD + thickness"))</f>
        <v/>
      </c>
    </row>
    <row r="474">
      <c r="A474" s="9" t="n"/>
      <c r="B474" s="9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9" t="n"/>
      <c r="N474" s="9" t="n"/>
      <c r="O474" s="10" t="n"/>
      <c r="P474" s="9" t="n"/>
      <c r="Q474" s="11">
        <f>IF(P474&lt;&gt;"",P474,IF(M474="","UNKNOWN",IF(AND(ISNUMBER(SEARCH("gas",LOWER(M474))),ISNUMBER(SEARCH("water",LOWER(M474)))),"GAS_WATER",IF(AND(ISNUMBER(SEARCH("oil",LOWER(M474))),ISNUMBER(SEARCH("water",LOWER(M474)))),"OIL_WATER",IF(ISNUMBER(SEARCH("gas",LOWER(M474))),"GAS",IF(ISNUMBER(SEARCH("water",LOWER(M474))),"WATER",IF(ISNUMBER(SEARCH("oil",LOWER(M474))),"OIL","UNKNOWN")))))))</f>
        <v/>
      </c>
      <c r="R474" s="12">
        <f>IF(C474="","",C474)</f>
        <v/>
      </c>
      <c r="S474" s="12">
        <f>IF(R474="","",R474+IF(O474&lt;&gt;"",O474,IF(H474="",0,H474)))</f>
        <v/>
      </c>
      <c r="T474" s="12">
        <f>IF(R474="","",MAX(Settings!$B$3,Settings!$B$4*IF(O474&lt;&gt;"",O474,IF(H474="",0,H474))))</f>
        <v/>
      </c>
      <c r="U474" s="11">
        <f>IF(AND(C474&lt;&gt;"",M474&lt;&gt;"",OR(H474&lt;&gt;"",O474&lt;&gt;"")),"COMPLETE",IF(OR(C474&lt;&gt;"",M474&lt;&gt;""),"PARTIAL","MISSING"))</f>
        <v/>
      </c>
      <c r="V474" s="11">
        <f>IF(Q474="UNKNOWN","Check fluid description",IF(AND(R474&lt;&gt;"",S474&lt;&gt;""),"Ready for contact screening","Needs TVD + thickness"))</f>
        <v/>
      </c>
    </row>
    <row r="475">
      <c r="A475" s="9" t="n"/>
      <c r="B475" s="9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9" t="n"/>
      <c r="N475" s="9" t="n"/>
      <c r="O475" s="10" t="n"/>
      <c r="P475" s="9" t="n"/>
      <c r="Q475" s="11">
        <f>IF(P475&lt;&gt;"",P475,IF(M475="","UNKNOWN",IF(AND(ISNUMBER(SEARCH("gas",LOWER(M475))),ISNUMBER(SEARCH("water",LOWER(M475)))),"GAS_WATER",IF(AND(ISNUMBER(SEARCH("oil",LOWER(M475))),ISNUMBER(SEARCH("water",LOWER(M475)))),"OIL_WATER",IF(ISNUMBER(SEARCH("gas",LOWER(M475))),"GAS",IF(ISNUMBER(SEARCH("water",LOWER(M475))),"WATER",IF(ISNUMBER(SEARCH("oil",LOWER(M475))),"OIL","UNKNOWN")))))))</f>
        <v/>
      </c>
      <c r="R475" s="12">
        <f>IF(C475="","",C475)</f>
        <v/>
      </c>
      <c r="S475" s="12">
        <f>IF(R475="","",R475+IF(O475&lt;&gt;"",O475,IF(H475="",0,H475)))</f>
        <v/>
      </c>
      <c r="T475" s="12">
        <f>IF(R475="","",MAX(Settings!$B$3,Settings!$B$4*IF(O475&lt;&gt;"",O475,IF(H475="",0,H475))))</f>
        <v/>
      </c>
      <c r="U475" s="11">
        <f>IF(AND(C475&lt;&gt;"",M475&lt;&gt;"",OR(H475&lt;&gt;"",O475&lt;&gt;"")),"COMPLETE",IF(OR(C475&lt;&gt;"",M475&lt;&gt;""),"PARTIAL","MISSING"))</f>
        <v/>
      </c>
      <c r="V475" s="11">
        <f>IF(Q475="UNKNOWN","Check fluid description",IF(AND(R475&lt;&gt;"",S475&lt;&gt;""),"Ready for contact screening","Needs TVD + thickness"))</f>
        <v/>
      </c>
    </row>
    <row r="476">
      <c r="A476" s="9" t="n"/>
      <c r="B476" s="9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9" t="n"/>
      <c r="N476" s="9" t="n"/>
      <c r="O476" s="10" t="n"/>
      <c r="P476" s="9" t="n"/>
      <c r="Q476" s="11">
        <f>IF(P476&lt;&gt;"",P476,IF(M476="","UNKNOWN",IF(AND(ISNUMBER(SEARCH("gas",LOWER(M476))),ISNUMBER(SEARCH("water",LOWER(M476)))),"GAS_WATER",IF(AND(ISNUMBER(SEARCH("oil",LOWER(M476))),ISNUMBER(SEARCH("water",LOWER(M476)))),"OIL_WATER",IF(ISNUMBER(SEARCH("gas",LOWER(M476))),"GAS",IF(ISNUMBER(SEARCH("water",LOWER(M476))),"WATER",IF(ISNUMBER(SEARCH("oil",LOWER(M476))),"OIL","UNKNOWN")))))))</f>
        <v/>
      </c>
      <c r="R476" s="12">
        <f>IF(C476="","",C476)</f>
        <v/>
      </c>
      <c r="S476" s="12">
        <f>IF(R476="","",R476+IF(O476&lt;&gt;"",O476,IF(H476="",0,H476)))</f>
        <v/>
      </c>
      <c r="T476" s="12">
        <f>IF(R476="","",MAX(Settings!$B$3,Settings!$B$4*IF(O476&lt;&gt;"",O476,IF(H476="",0,H476))))</f>
        <v/>
      </c>
      <c r="U476" s="11">
        <f>IF(AND(C476&lt;&gt;"",M476&lt;&gt;"",OR(H476&lt;&gt;"",O476&lt;&gt;"")),"COMPLETE",IF(OR(C476&lt;&gt;"",M476&lt;&gt;""),"PARTIAL","MISSING"))</f>
        <v/>
      </c>
      <c r="V476" s="11">
        <f>IF(Q476="UNKNOWN","Check fluid description",IF(AND(R476&lt;&gt;"",S476&lt;&gt;""),"Ready for contact screening","Needs TVD + thickness"))</f>
        <v/>
      </c>
    </row>
    <row r="477">
      <c r="A477" s="9" t="n"/>
      <c r="B477" s="9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9" t="n"/>
      <c r="N477" s="9" t="n"/>
      <c r="O477" s="10" t="n"/>
      <c r="P477" s="9" t="n"/>
      <c r="Q477" s="11">
        <f>IF(P477&lt;&gt;"",P477,IF(M477="","UNKNOWN",IF(AND(ISNUMBER(SEARCH("gas",LOWER(M477))),ISNUMBER(SEARCH("water",LOWER(M477)))),"GAS_WATER",IF(AND(ISNUMBER(SEARCH("oil",LOWER(M477))),ISNUMBER(SEARCH("water",LOWER(M477)))),"OIL_WATER",IF(ISNUMBER(SEARCH("gas",LOWER(M477))),"GAS",IF(ISNUMBER(SEARCH("water",LOWER(M477))),"WATER",IF(ISNUMBER(SEARCH("oil",LOWER(M477))),"OIL","UNKNOWN")))))))</f>
        <v/>
      </c>
      <c r="R477" s="12">
        <f>IF(C477="","",C477)</f>
        <v/>
      </c>
      <c r="S477" s="12">
        <f>IF(R477="","",R477+IF(O477&lt;&gt;"",O477,IF(H477="",0,H477)))</f>
        <v/>
      </c>
      <c r="T477" s="12">
        <f>IF(R477="","",MAX(Settings!$B$3,Settings!$B$4*IF(O477&lt;&gt;"",O477,IF(H477="",0,H477))))</f>
        <v/>
      </c>
      <c r="U477" s="11">
        <f>IF(AND(C477&lt;&gt;"",M477&lt;&gt;"",OR(H477&lt;&gt;"",O477&lt;&gt;"")),"COMPLETE",IF(OR(C477&lt;&gt;"",M477&lt;&gt;""),"PARTIAL","MISSING"))</f>
        <v/>
      </c>
      <c r="V477" s="11">
        <f>IF(Q477="UNKNOWN","Check fluid description",IF(AND(R477&lt;&gt;"",S477&lt;&gt;""),"Ready for contact screening","Needs TVD + thickness"))</f>
        <v/>
      </c>
    </row>
    <row r="478">
      <c r="A478" s="9" t="n"/>
      <c r="B478" s="9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9" t="n"/>
      <c r="N478" s="9" t="n"/>
      <c r="O478" s="10" t="n"/>
      <c r="P478" s="9" t="n"/>
      <c r="Q478" s="11">
        <f>IF(P478&lt;&gt;"",P478,IF(M478="","UNKNOWN",IF(AND(ISNUMBER(SEARCH("gas",LOWER(M478))),ISNUMBER(SEARCH("water",LOWER(M478)))),"GAS_WATER",IF(AND(ISNUMBER(SEARCH("oil",LOWER(M478))),ISNUMBER(SEARCH("water",LOWER(M478)))),"OIL_WATER",IF(ISNUMBER(SEARCH("gas",LOWER(M478))),"GAS",IF(ISNUMBER(SEARCH("water",LOWER(M478))),"WATER",IF(ISNUMBER(SEARCH("oil",LOWER(M478))),"OIL","UNKNOWN")))))))</f>
        <v/>
      </c>
      <c r="R478" s="12">
        <f>IF(C478="","",C478)</f>
        <v/>
      </c>
      <c r="S478" s="12">
        <f>IF(R478="","",R478+IF(O478&lt;&gt;"",O478,IF(H478="",0,H478)))</f>
        <v/>
      </c>
      <c r="T478" s="12">
        <f>IF(R478="","",MAX(Settings!$B$3,Settings!$B$4*IF(O478&lt;&gt;"",O478,IF(H478="",0,H478))))</f>
        <v/>
      </c>
      <c r="U478" s="11">
        <f>IF(AND(C478&lt;&gt;"",M478&lt;&gt;"",OR(H478&lt;&gt;"",O478&lt;&gt;"")),"COMPLETE",IF(OR(C478&lt;&gt;"",M478&lt;&gt;""),"PARTIAL","MISSING"))</f>
        <v/>
      </c>
      <c r="V478" s="11">
        <f>IF(Q478="UNKNOWN","Check fluid description",IF(AND(R478&lt;&gt;"",S478&lt;&gt;""),"Ready for contact screening","Needs TVD + thickness"))</f>
        <v/>
      </c>
    </row>
    <row r="479">
      <c r="A479" s="9" t="n"/>
      <c r="B479" s="9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9" t="n"/>
      <c r="N479" s="9" t="n"/>
      <c r="O479" s="10" t="n"/>
      <c r="P479" s="9" t="n"/>
      <c r="Q479" s="11">
        <f>IF(P479&lt;&gt;"",P479,IF(M479="","UNKNOWN",IF(AND(ISNUMBER(SEARCH("gas",LOWER(M479))),ISNUMBER(SEARCH("water",LOWER(M479)))),"GAS_WATER",IF(AND(ISNUMBER(SEARCH("oil",LOWER(M479))),ISNUMBER(SEARCH("water",LOWER(M479)))),"OIL_WATER",IF(ISNUMBER(SEARCH("gas",LOWER(M479))),"GAS",IF(ISNUMBER(SEARCH("water",LOWER(M479))),"WATER",IF(ISNUMBER(SEARCH("oil",LOWER(M479))),"OIL","UNKNOWN")))))))</f>
        <v/>
      </c>
      <c r="R479" s="12">
        <f>IF(C479="","",C479)</f>
        <v/>
      </c>
      <c r="S479" s="12">
        <f>IF(R479="","",R479+IF(O479&lt;&gt;"",O479,IF(H479="",0,H479)))</f>
        <v/>
      </c>
      <c r="T479" s="12">
        <f>IF(R479="","",MAX(Settings!$B$3,Settings!$B$4*IF(O479&lt;&gt;"",O479,IF(H479="",0,H479))))</f>
        <v/>
      </c>
      <c r="U479" s="11">
        <f>IF(AND(C479&lt;&gt;"",M479&lt;&gt;"",OR(H479&lt;&gt;"",O479&lt;&gt;"")),"COMPLETE",IF(OR(C479&lt;&gt;"",M479&lt;&gt;""),"PARTIAL","MISSING"))</f>
        <v/>
      </c>
      <c r="V479" s="11">
        <f>IF(Q479="UNKNOWN","Check fluid description",IF(AND(R479&lt;&gt;"",S479&lt;&gt;""),"Ready for contact screening","Needs TVD + thickness"))</f>
        <v/>
      </c>
    </row>
    <row r="480">
      <c r="A480" s="9" t="n"/>
      <c r="B480" s="9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9" t="n"/>
      <c r="N480" s="9" t="n"/>
      <c r="O480" s="10" t="n"/>
      <c r="P480" s="9" t="n"/>
      <c r="Q480" s="11">
        <f>IF(P480&lt;&gt;"",P480,IF(M480="","UNKNOWN",IF(AND(ISNUMBER(SEARCH("gas",LOWER(M480))),ISNUMBER(SEARCH("water",LOWER(M480)))),"GAS_WATER",IF(AND(ISNUMBER(SEARCH("oil",LOWER(M480))),ISNUMBER(SEARCH("water",LOWER(M480)))),"OIL_WATER",IF(ISNUMBER(SEARCH("gas",LOWER(M480))),"GAS",IF(ISNUMBER(SEARCH("water",LOWER(M480))),"WATER",IF(ISNUMBER(SEARCH("oil",LOWER(M480))),"OIL","UNKNOWN")))))))</f>
        <v/>
      </c>
      <c r="R480" s="12">
        <f>IF(C480="","",C480)</f>
        <v/>
      </c>
      <c r="S480" s="12">
        <f>IF(R480="","",R480+IF(O480&lt;&gt;"",O480,IF(H480="",0,H480)))</f>
        <v/>
      </c>
      <c r="T480" s="12">
        <f>IF(R480="","",MAX(Settings!$B$3,Settings!$B$4*IF(O480&lt;&gt;"",O480,IF(H480="",0,H480))))</f>
        <v/>
      </c>
      <c r="U480" s="11">
        <f>IF(AND(C480&lt;&gt;"",M480&lt;&gt;"",OR(H480&lt;&gt;"",O480&lt;&gt;"")),"COMPLETE",IF(OR(C480&lt;&gt;"",M480&lt;&gt;""),"PARTIAL","MISSING"))</f>
        <v/>
      </c>
      <c r="V480" s="11">
        <f>IF(Q480="UNKNOWN","Check fluid description",IF(AND(R480&lt;&gt;"",S480&lt;&gt;""),"Ready for contact screening","Needs TVD + thickness"))</f>
        <v/>
      </c>
    </row>
    <row r="481">
      <c r="A481" s="9" t="n"/>
      <c r="B481" s="9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9" t="n"/>
      <c r="N481" s="9" t="n"/>
      <c r="O481" s="10" t="n"/>
      <c r="P481" s="9" t="n"/>
      <c r="Q481" s="11">
        <f>IF(P481&lt;&gt;"",P481,IF(M481="","UNKNOWN",IF(AND(ISNUMBER(SEARCH("gas",LOWER(M481))),ISNUMBER(SEARCH("water",LOWER(M481)))),"GAS_WATER",IF(AND(ISNUMBER(SEARCH("oil",LOWER(M481))),ISNUMBER(SEARCH("water",LOWER(M481)))),"OIL_WATER",IF(ISNUMBER(SEARCH("gas",LOWER(M481))),"GAS",IF(ISNUMBER(SEARCH("water",LOWER(M481))),"WATER",IF(ISNUMBER(SEARCH("oil",LOWER(M481))),"OIL","UNKNOWN")))))))</f>
        <v/>
      </c>
      <c r="R481" s="12">
        <f>IF(C481="","",C481)</f>
        <v/>
      </c>
      <c r="S481" s="12">
        <f>IF(R481="","",R481+IF(O481&lt;&gt;"",O481,IF(H481="",0,H481)))</f>
        <v/>
      </c>
      <c r="T481" s="12">
        <f>IF(R481="","",MAX(Settings!$B$3,Settings!$B$4*IF(O481&lt;&gt;"",O481,IF(H481="",0,H481))))</f>
        <v/>
      </c>
      <c r="U481" s="11">
        <f>IF(AND(C481&lt;&gt;"",M481&lt;&gt;"",OR(H481&lt;&gt;"",O481&lt;&gt;"")),"COMPLETE",IF(OR(C481&lt;&gt;"",M481&lt;&gt;""),"PARTIAL","MISSING"))</f>
        <v/>
      </c>
      <c r="V481" s="11">
        <f>IF(Q481="UNKNOWN","Check fluid description",IF(AND(R481&lt;&gt;"",S481&lt;&gt;""),"Ready for contact screening","Needs TVD + thickness"))</f>
        <v/>
      </c>
    </row>
    <row r="482">
      <c r="A482" s="9" t="n"/>
      <c r="B482" s="9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9" t="n"/>
      <c r="N482" s="9" t="n"/>
      <c r="O482" s="10" t="n"/>
      <c r="P482" s="9" t="n"/>
      <c r="Q482" s="11">
        <f>IF(P482&lt;&gt;"",P482,IF(M482="","UNKNOWN",IF(AND(ISNUMBER(SEARCH("gas",LOWER(M482))),ISNUMBER(SEARCH("water",LOWER(M482)))),"GAS_WATER",IF(AND(ISNUMBER(SEARCH("oil",LOWER(M482))),ISNUMBER(SEARCH("water",LOWER(M482)))),"OIL_WATER",IF(ISNUMBER(SEARCH("gas",LOWER(M482))),"GAS",IF(ISNUMBER(SEARCH("water",LOWER(M482))),"WATER",IF(ISNUMBER(SEARCH("oil",LOWER(M482))),"OIL","UNKNOWN")))))))</f>
        <v/>
      </c>
      <c r="R482" s="12">
        <f>IF(C482="","",C482)</f>
        <v/>
      </c>
      <c r="S482" s="12">
        <f>IF(R482="","",R482+IF(O482&lt;&gt;"",O482,IF(H482="",0,H482)))</f>
        <v/>
      </c>
      <c r="T482" s="12">
        <f>IF(R482="","",MAX(Settings!$B$3,Settings!$B$4*IF(O482&lt;&gt;"",O482,IF(H482="",0,H482))))</f>
        <v/>
      </c>
      <c r="U482" s="11">
        <f>IF(AND(C482&lt;&gt;"",M482&lt;&gt;"",OR(H482&lt;&gt;"",O482&lt;&gt;"")),"COMPLETE",IF(OR(C482&lt;&gt;"",M482&lt;&gt;""),"PARTIAL","MISSING"))</f>
        <v/>
      </c>
      <c r="V482" s="11">
        <f>IF(Q482="UNKNOWN","Check fluid description",IF(AND(R482&lt;&gt;"",S482&lt;&gt;""),"Ready for contact screening","Needs TVD + thickness"))</f>
        <v/>
      </c>
    </row>
    <row r="483">
      <c r="A483" s="9" t="n"/>
      <c r="B483" s="9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9" t="n"/>
      <c r="N483" s="9" t="n"/>
      <c r="O483" s="10" t="n"/>
      <c r="P483" s="9" t="n"/>
      <c r="Q483" s="11">
        <f>IF(P483&lt;&gt;"",P483,IF(M483="","UNKNOWN",IF(AND(ISNUMBER(SEARCH("gas",LOWER(M483))),ISNUMBER(SEARCH("water",LOWER(M483)))),"GAS_WATER",IF(AND(ISNUMBER(SEARCH("oil",LOWER(M483))),ISNUMBER(SEARCH("water",LOWER(M483)))),"OIL_WATER",IF(ISNUMBER(SEARCH("gas",LOWER(M483))),"GAS",IF(ISNUMBER(SEARCH("water",LOWER(M483))),"WATER",IF(ISNUMBER(SEARCH("oil",LOWER(M483))),"OIL","UNKNOWN")))))))</f>
        <v/>
      </c>
      <c r="R483" s="12">
        <f>IF(C483="","",C483)</f>
        <v/>
      </c>
      <c r="S483" s="12">
        <f>IF(R483="","",R483+IF(O483&lt;&gt;"",O483,IF(H483="",0,H483)))</f>
        <v/>
      </c>
      <c r="T483" s="12">
        <f>IF(R483="","",MAX(Settings!$B$3,Settings!$B$4*IF(O483&lt;&gt;"",O483,IF(H483="",0,H483))))</f>
        <v/>
      </c>
      <c r="U483" s="11">
        <f>IF(AND(C483&lt;&gt;"",M483&lt;&gt;"",OR(H483&lt;&gt;"",O483&lt;&gt;"")),"COMPLETE",IF(OR(C483&lt;&gt;"",M483&lt;&gt;""),"PARTIAL","MISSING"))</f>
        <v/>
      </c>
      <c r="V483" s="11">
        <f>IF(Q483="UNKNOWN","Check fluid description",IF(AND(R483&lt;&gt;"",S483&lt;&gt;""),"Ready for contact screening","Needs TVD + thickness"))</f>
        <v/>
      </c>
    </row>
    <row r="484">
      <c r="A484" s="9" t="n"/>
      <c r="B484" s="9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9" t="n"/>
      <c r="N484" s="9" t="n"/>
      <c r="O484" s="10" t="n"/>
      <c r="P484" s="9" t="n"/>
      <c r="Q484" s="11">
        <f>IF(P484&lt;&gt;"",P484,IF(M484="","UNKNOWN",IF(AND(ISNUMBER(SEARCH("gas",LOWER(M484))),ISNUMBER(SEARCH("water",LOWER(M484)))),"GAS_WATER",IF(AND(ISNUMBER(SEARCH("oil",LOWER(M484))),ISNUMBER(SEARCH("water",LOWER(M484)))),"OIL_WATER",IF(ISNUMBER(SEARCH("gas",LOWER(M484))),"GAS",IF(ISNUMBER(SEARCH("water",LOWER(M484))),"WATER",IF(ISNUMBER(SEARCH("oil",LOWER(M484))),"OIL","UNKNOWN")))))))</f>
        <v/>
      </c>
      <c r="R484" s="12">
        <f>IF(C484="","",C484)</f>
        <v/>
      </c>
      <c r="S484" s="12">
        <f>IF(R484="","",R484+IF(O484&lt;&gt;"",O484,IF(H484="",0,H484)))</f>
        <v/>
      </c>
      <c r="T484" s="12">
        <f>IF(R484="","",MAX(Settings!$B$3,Settings!$B$4*IF(O484&lt;&gt;"",O484,IF(H484="",0,H484))))</f>
        <v/>
      </c>
      <c r="U484" s="11">
        <f>IF(AND(C484&lt;&gt;"",M484&lt;&gt;"",OR(H484&lt;&gt;"",O484&lt;&gt;"")),"COMPLETE",IF(OR(C484&lt;&gt;"",M484&lt;&gt;""),"PARTIAL","MISSING"))</f>
        <v/>
      </c>
      <c r="V484" s="11">
        <f>IF(Q484="UNKNOWN","Check fluid description",IF(AND(R484&lt;&gt;"",S484&lt;&gt;""),"Ready for contact screening","Needs TVD + thickness"))</f>
        <v/>
      </c>
    </row>
    <row r="485">
      <c r="A485" s="9" t="n"/>
      <c r="B485" s="9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9" t="n"/>
      <c r="N485" s="9" t="n"/>
      <c r="O485" s="10" t="n"/>
      <c r="P485" s="9" t="n"/>
      <c r="Q485" s="11">
        <f>IF(P485&lt;&gt;"",P485,IF(M485="","UNKNOWN",IF(AND(ISNUMBER(SEARCH("gas",LOWER(M485))),ISNUMBER(SEARCH("water",LOWER(M485)))),"GAS_WATER",IF(AND(ISNUMBER(SEARCH("oil",LOWER(M485))),ISNUMBER(SEARCH("water",LOWER(M485)))),"OIL_WATER",IF(ISNUMBER(SEARCH("gas",LOWER(M485))),"GAS",IF(ISNUMBER(SEARCH("water",LOWER(M485))),"WATER",IF(ISNUMBER(SEARCH("oil",LOWER(M485))),"OIL","UNKNOWN")))))))</f>
        <v/>
      </c>
      <c r="R485" s="12">
        <f>IF(C485="","",C485)</f>
        <v/>
      </c>
      <c r="S485" s="12">
        <f>IF(R485="","",R485+IF(O485&lt;&gt;"",O485,IF(H485="",0,H485)))</f>
        <v/>
      </c>
      <c r="T485" s="12">
        <f>IF(R485="","",MAX(Settings!$B$3,Settings!$B$4*IF(O485&lt;&gt;"",O485,IF(H485="",0,H485))))</f>
        <v/>
      </c>
      <c r="U485" s="11">
        <f>IF(AND(C485&lt;&gt;"",M485&lt;&gt;"",OR(H485&lt;&gt;"",O485&lt;&gt;"")),"COMPLETE",IF(OR(C485&lt;&gt;"",M485&lt;&gt;""),"PARTIAL","MISSING"))</f>
        <v/>
      </c>
      <c r="V485" s="11">
        <f>IF(Q485="UNKNOWN","Check fluid description",IF(AND(R485&lt;&gt;"",S485&lt;&gt;""),"Ready for contact screening","Needs TVD + thickness"))</f>
        <v/>
      </c>
    </row>
    <row r="486">
      <c r="A486" s="9" t="n"/>
      <c r="B486" s="9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9" t="n"/>
      <c r="N486" s="9" t="n"/>
      <c r="O486" s="10" t="n"/>
      <c r="P486" s="9" t="n"/>
      <c r="Q486" s="11">
        <f>IF(P486&lt;&gt;"",P486,IF(M486="","UNKNOWN",IF(AND(ISNUMBER(SEARCH("gas",LOWER(M486))),ISNUMBER(SEARCH("water",LOWER(M486)))),"GAS_WATER",IF(AND(ISNUMBER(SEARCH("oil",LOWER(M486))),ISNUMBER(SEARCH("water",LOWER(M486)))),"OIL_WATER",IF(ISNUMBER(SEARCH("gas",LOWER(M486))),"GAS",IF(ISNUMBER(SEARCH("water",LOWER(M486))),"WATER",IF(ISNUMBER(SEARCH("oil",LOWER(M486))),"OIL","UNKNOWN")))))))</f>
        <v/>
      </c>
      <c r="R486" s="12">
        <f>IF(C486="","",C486)</f>
        <v/>
      </c>
      <c r="S486" s="12">
        <f>IF(R486="","",R486+IF(O486&lt;&gt;"",O486,IF(H486="",0,H486)))</f>
        <v/>
      </c>
      <c r="T486" s="12">
        <f>IF(R486="","",MAX(Settings!$B$3,Settings!$B$4*IF(O486&lt;&gt;"",O486,IF(H486="",0,H486))))</f>
        <v/>
      </c>
      <c r="U486" s="11">
        <f>IF(AND(C486&lt;&gt;"",M486&lt;&gt;"",OR(H486&lt;&gt;"",O486&lt;&gt;"")),"COMPLETE",IF(OR(C486&lt;&gt;"",M486&lt;&gt;""),"PARTIAL","MISSING"))</f>
        <v/>
      </c>
      <c r="V486" s="11">
        <f>IF(Q486="UNKNOWN","Check fluid description",IF(AND(R486&lt;&gt;"",S486&lt;&gt;""),"Ready for contact screening","Needs TVD + thickness"))</f>
        <v/>
      </c>
    </row>
    <row r="487">
      <c r="A487" s="9" t="n"/>
      <c r="B487" s="9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9" t="n"/>
      <c r="N487" s="9" t="n"/>
      <c r="O487" s="10" t="n"/>
      <c r="P487" s="9" t="n"/>
      <c r="Q487" s="11">
        <f>IF(P487&lt;&gt;"",P487,IF(M487="","UNKNOWN",IF(AND(ISNUMBER(SEARCH("gas",LOWER(M487))),ISNUMBER(SEARCH("water",LOWER(M487)))),"GAS_WATER",IF(AND(ISNUMBER(SEARCH("oil",LOWER(M487))),ISNUMBER(SEARCH("water",LOWER(M487)))),"OIL_WATER",IF(ISNUMBER(SEARCH("gas",LOWER(M487))),"GAS",IF(ISNUMBER(SEARCH("water",LOWER(M487))),"WATER",IF(ISNUMBER(SEARCH("oil",LOWER(M487))),"OIL","UNKNOWN")))))))</f>
        <v/>
      </c>
      <c r="R487" s="12">
        <f>IF(C487="","",C487)</f>
        <v/>
      </c>
      <c r="S487" s="12">
        <f>IF(R487="","",R487+IF(O487&lt;&gt;"",O487,IF(H487="",0,H487)))</f>
        <v/>
      </c>
      <c r="T487" s="12">
        <f>IF(R487="","",MAX(Settings!$B$3,Settings!$B$4*IF(O487&lt;&gt;"",O487,IF(H487="",0,H487))))</f>
        <v/>
      </c>
      <c r="U487" s="11">
        <f>IF(AND(C487&lt;&gt;"",M487&lt;&gt;"",OR(H487&lt;&gt;"",O487&lt;&gt;"")),"COMPLETE",IF(OR(C487&lt;&gt;"",M487&lt;&gt;""),"PARTIAL","MISSING"))</f>
        <v/>
      </c>
      <c r="V487" s="11">
        <f>IF(Q487="UNKNOWN","Check fluid description",IF(AND(R487&lt;&gt;"",S487&lt;&gt;""),"Ready for contact screening","Needs TVD + thickness"))</f>
        <v/>
      </c>
    </row>
    <row r="488">
      <c r="A488" s="9" t="n"/>
      <c r="B488" s="9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9" t="n"/>
      <c r="N488" s="9" t="n"/>
      <c r="O488" s="10" t="n"/>
      <c r="P488" s="9" t="n"/>
      <c r="Q488" s="11">
        <f>IF(P488&lt;&gt;"",P488,IF(M488="","UNKNOWN",IF(AND(ISNUMBER(SEARCH("gas",LOWER(M488))),ISNUMBER(SEARCH("water",LOWER(M488)))),"GAS_WATER",IF(AND(ISNUMBER(SEARCH("oil",LOWER(M488))),ISNUMBER(SEARCH("water",LOWER(M488)))),"OIL_WATER",IF(ISNUMBER(SEARCH("gas",LOWER(M488))),"GAS",IF(ISNUMBER(SEARCH("water",LOWER(M488))),"WATER",IF(ISNUMBER(SEARCH("oil",LOWER(M488))),"OIL","UNKNOWN")))))))</f>
        <v/>
      </c>
      <c r="R488" s="12">
        <f>IF(C488="","",C488)</f>
        <v/>
      </c>
      <c r="S488" s="12">
        <f>IF(R488="","",R488+IF(O488&lt;&gt;"",O488,IF(H488="",0,H488)))</f>
        <v/>
      </c>
      <c r="T488" s="12">
        <f>IF(R488="","",MAX(Settings!$B$3,Settings!$B$4*IF(O488&lt;&gt;"",O488,IF(H488="",0,H488))))</f>
        <v/>
      </c>
      <c r="U488" s="11">
        <f>IF(AND(C488&lt;&gt;"",M488&lt;&gt;"",OR(H488&lt;&gt;"",O488&lt;&gt;"")),"COMPLETE",IF(OR(C488&lt;&gt;"",M488&lt;&gt;""),"PARTIAL","MISSING"))</f>
        <v/>
      </c>
      <c r="V488" s="11">
        <f>IF(Q488="UNKNOWN","Check fluid description",IF(AND(R488&lt;&gt;"",S488&lt;&gt;""),"Ready for contact screening","Needs TVD + thickness"))</f>
        <v/>
      </c>
    </row>
    <row r="489">
      <c r="A489" s="9" t="n"/>
      <c r="B489" s="9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9" t="n"/>
      <c r="N489" s="9" t="n"/>
      <c r="O489" s="10" t="n"/>
      <c r="P489" s="9" t="n"/>
      <c r="Q489" s="11">
        <f>IF(P489&lt;&gt;"",P489,IF(M489="","UNKNOWN",IF(AND(ISNUMBER(SEARCH("gas",LOWER(M489))),ISNUMBER(SEARCH("water",LOWER(M489)))),"GAS_WATER",IF(AND(ISNUMBER(SEARCH("oil",LOWER(M489))),ISNUMBER(SEARCH("water",LOWER(M489)))),"OIL_WATER",IF(ISNUMBER(SEARCH("gas",LOWER(M489))),"GAS",IF(ISNUMBER(SEARCH("water",LOWER(M489))),"WATER",IF(ISNUMBER(SEARCH("oil",LOWER(M489))),"OIL","UNKNOWN")))))))</f>
        <v/>
      </c>
      <c r="R489" s="12">
        <f>IF(C489="","",C489)</f>
        <v/>
      </c>
      <c r="S489" s="12">
        <f>IF(R489="","",R489+IF(O489&lt;&gt;"",O489,IF(H489="",0,H489)))</f>
        <v/>
      </c>
      <c r="T489" s="12">
        <f>IF(R489="","",MAX(Settings!$B$3,Settings!$B$4*IF(O489&lt;&gt;"",O489,IF(H489="",0,H489))))</f>
        <v/>
      </c>
      <c r="U489" s="11">
        <f>IF(AND(C489&lt;&gt;"",M489&lt;&gt;"",OR(H489&lt;&gt;"",O489&lt;&gt;"")),"COMPLETE",IF(OR(C489&lt;&gt;"",M489&lt;&gt;""),"PARTIAL","MISSING"))</f>
        <v/>
      </c>
      <c r="V489" s="11">
        <f>IF(Q489="UNKNOWN","Check fluid description",IF(AND(R489&lt;&gt;"",S489&lt;&gt;""),"Ready for contact screening","Needs TVD + thickness"))</f>
        <v/>
      </c>
    </row>
    <row r="490">
      <c r="A490" s="9" t="n"/>
      <c r="B490" s="9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9" t="n"/>
      <c r="N490" s="9" t="n"/>
      <c r="O490" s="10" t="n"/>
      <c r="P490" s="9" t="n"/>
      <c r="Q490" s="11">
        <f>IF(P490&lt;&gt;"",P490,IF(M490="","UNKNOWN",IF(AND(ISNUMBER(SEARCH("gas",LOWER(M490))),ISNUMBER(SEARCH("water",LOWER(M490)))),"GAS_WATER",IF(AND(ISNUMBER(SEARCH("oil",LOWER(M490))),ISNUMBER(SEARCH("water",LOWER(M490)))),"OIL_WATER",IF(ISNUMBER(SEARCH("gas",LOWER(M490))),"GAS",IF(ISNUMBER(SEARCH("water",LOWER(M490))),"WATER",IF(ISNUMBER(SEARCH("oil",LOWER(M490))),"OIL","UNKNOWN")))))))</f>
        <v/>
      </c>
      <c r="R490" s="12">
        <f>IF(C490="","",C490)</f>
        <v/>
      </c>
      <c r="S490" s="12">
        <f>IF(R490="","",R490+IF(O490&lt;&gt;"",O490,IF(H490="",0,H490)))</f>
        <v/>
      </c>
      <c r="T490" s="12">
        <f>IF(R490="","",MAX(Settings!$B$3,Settings!$B$4*IF(O490&lt;&gt;"",O490,IF(H490="",0,H490))))</f>
        <v/>
      </c>
      <c r="U490" s="11">
        <f>IF(AND(C490&lt;&gt;"",M490&lt;&gt;"",OR(H490&lt;&gt;"",O490&lt;&gt;"")),"COMPLETE",IF(OR(C490&lt;&gt;"",M490&lt;&gt;""),"PARTIAL","MISSING"))</f>
        <v/>
      </c>
      <c r="V490" s="11">
        <f>IF(Q490="UNKNOWN","Check fluid description",IF(AND(R490&lt;&gt;"",S490&lt;&gt;""),"Ready for contact screening","Needs TVD + thickness"))</f>
        <v/>
      </c>
    </row>
    <row r="491">
      <c r="A491" s="9" t="n"/>
      <c r="B491" s="9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9" t="n"/>
      <c r="N491" s="9" t="n"/>
      <c r="O491" s="10" t="n"/>
      <c r="P491" s="9" t="n"/>
      <c r="Q491" s="11">
        <f>IF(P491&lt;&gt;"",P491,IF(M491="","UNKNOWN",IF(AND(ISNUMBER(SEARCH("gas",LOWER(M491))),ISNUMBER(SEARCH("water",LOWER(M491)))),"GAS_WATER",IF(AND(ISNUMBER(SEARCH("oil",LOWER(M491))),ISNUMBER(SEARCH("water",LOWER(M491)))),"OIL_WATER",IF(ISNUMBER(SEARCH("gas",LOWER(M491))),"GAS",IF(ISNUMBER(SEARCH("water",LOWER(M491))),"WATER",IF(ISNUMBER(SEARCH("oil",LOWER(M491))),"OIL","UNKNOWN")))))))</f>
        <v/>
      </c>
      <c r="R491" s="12">
        <f>IF(C491="","",C491)</f>
        <v/>
      </c>
      <c r="S491" s="12">
        <f>IF(R491="","",R491+IF(O491&lt;&gt;"",O491,IF(H491="",0,H491)))</f>
        <v/>
      </c>
      <c r="T491" s="12">
        <f>IF(R491="","",MAX(Settings!$B$3,Settings!$B$4*IF(O491&lt;&gt;"",O491,IF(H491="",0,H491))))</f>
        <v/>
      </c>
      <c r="U491" s="11">
        <f>IF(AND(C491&lt;&gt;"",M491&lt;&gt;"",OR(H491&lt;&gt;"",O491&lt;&gt;"")),"COMPLETE",IF(OR(C491&lt;&gt;"",M491&lt;&gt;""),"PARTIAL","MISSING"))</f>
        <v/>
      </c>
      <c r="V491" s="11">
        <f>IF(Q491="UNKNOWN","Check fluid description",IF(AND(R491&lt;&gt;"",S491&lt;&gt;""),"Ready for contact screening","Needs TVD + thickness"))</f>
        <v/>
      </c>
    </row>
    <row r="492">
      <c r="A492" s="9" t="n"/>
      <c r="B492" s="9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9" t="n"/>
      <c r="N492" s="9" t="n"/>
      <c r="O492" s="10" t="n"/>
      <c r="P492" s="9" t="n"/>
      <c r="Q492" s="11">
        <f>IF(P492&lt;&gt;"",P492,IF(M492="","UNKNOWN",IF(AND(ISNUMBER(SEARCH("gas",LOWER(M492))),ISNUMBER(SEARCH("water",LOWER(M492)))),"GAS_WATER",IF(AND(ISNUMBER(SEARCH("oil",LOWER(M492))),ISNUMBER(SEARCH("water",LOWER(M492)))),"OIL_WATER",IF(ISNUMBER(SEARCH("gas",LOWER(M492))),"GAS",IF(ISNUMBER(SEARCH("water",LOWER(M492))),"WATER",IF(ISNUMBER(SEARCH("oil",LOWER(M492))),"OIL","UNKNOWN")))))))</f>
        <v/>
      </c>
      <c r="R492" s="12">
        <f>IF(C492="","",C492)</f>
        <v/>
      </c>
      <c r="S492" s="12">
        <f>IF(R492="","",R492+IF(O492&lt;&gt;"",O492,IF(H492="",0,H492)))</f>
        <v/>
      </c>
      <c r="T492" s="12">
        <f>IF(R492="","",MAX(Settings!$B$3,Settings!$B$4*IF(O492&lt;&gt;"",O492,IF(H492="",0,H492))))</f>
        <v/>
      </c>
      <c r="U492" s="11">
        <f>IF(AND(C492&lt;&gt;"",M492&lt;&gt;"",OR(H492&lt;&gt;"",O492&lt;&gt;"")),"COMPLETE",IF(OR(C492&lt;&gt;"",M492&lt;&gt;""),"PARTIAL","MISSING"))</f>
        <v/>
      </c>
      <c r="V492" s="11">
        <f>IF(Q492="UNKNOWN","Check fluid description",IF(AND(R492&lt;&gt;"",S492&lt;&gt;""),"Ready for contact screening","Needs TVD + thickness"))</f>
        <v/>
      </c>
    </row>
    <row r="493">
      <c r="A493" s="9" t="n"/>
      <c r="B493" s="9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9" t="n"/>
      <c r="N493" s="9" t="n"/>
      <c r="O493" s="10" t="n"/>
      <c r="P493" s="9" t="n"/>
      <c r="Q493" s="11">
        <f>IF(P493&lt;&gt;"",P493,IF(M493="","UNKNOWN",IF(AND(ISNUMBER(SEARCH("gas",LOWER(M493))),ISNUMBER(SEARCH("water",LOWER(M493)))),"GAS_WATER",IF(AND(ISNUMBER(SEARCH("oil",LOWER(M493))),ISNUMBER(SEARCH("water",LOWER(M493)))),"OIL_WATER",IF(ISNUMBER(SEARCH("gas",LOWER(M493))),"GAS",IF(ISNUMBER(SEARCH("water",LOWER(M493))),"WATER",IF(ISNUMBER(SEARCH("oil",LOWER(M493))),"OIL","UNKNOWN")))))))</f>
        <v/>
      </c>
      <c r="R493" s="12">
        <f>IF(C493="","",C493)</f>
        <v/>
      </c>
      <c r="S493" s="12">
        <f>IF(R493="","",R493+IF(O493&lt;&gt;"",O493,IF(H493="",0,H493)))</f>
        <v/>
      </c>
      <c r="T493" s="12">
        <f>IF(R493="","",MAX(Settings!$B$3,Settings!$B$4*IF(O493&lt;&gt;"",O493,IF(H493="",0,H493))))</f>
        <v/>
      </c>
      <c r="U493" s="11">
        <f>IF(AND(C493&lt;&gt;"",M493&lt;&gt;"",OR(H493&lt;&gt;"",O493&lt;&gt;"")),"COMPLETE",IF(OR(C493&lt;&gt;"",M493&lt;&gt;""),"PARTIAL","MISSING"))</f>
        <v/>
      </c>
      <c r="V493" s="11">
        <f>IF(Q493="UNKNOWN","Check fluid description",IF(AND(R493&lt;&gt;"",S493&lt;&gt;""),"Ready for contact screening","Needs TVD + thickness"))</f>
        <v/>
      </c>
    </row>
    <row r="494">
      <c r="A494" s="9" t="n"/>
      <c r="B494" s="9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9" t="n"/>
      <c r="N494" s="9" t="n"/>
      <c r="O494" s="10" t="n"/>
      <c r="P494" s="9" t="n"/>
      <c r="Q494" s="11">
        <f>IF(P494&lt;&gt;"",P494,IF(M494="","UNKNOWN",IF(AND(ISNUMBER(SEARCH("gas",LOWER(M494))),ISNUMBER(SEARCH("water",LOWER(M494)))),"GAS_WATER",IF(AND(ISNUMBER(SEARCH("oil",LOWER(M494))),ISNUMBER(SEARCH("water",LOWER(M494)))),"OIL_WATER",IF(ISNUMBER(SEARCH("gas",LOWER(M494))),"GAS",IF(ISNUMBER(SEARCH("water",LOWER(M494))),"WATER",IF(ISNUMBER(SEARCH("oil",LOWER(M494))),"OIL","UNKNOWN")))))))</f>
        <v/>
      </c>
      <c r="R494" s="12">
        <f>IF(C494="","",C494)</f>
        <v/>
      </c>
      <c r="S494" s="12">
        <f>IF(R494="","",R494+IF(O494&lt;&gt;"",O494,IF(H494="",0,H494)))</f>
        <v/>
      </c>
      <c r="T494" s="12">
        <f>IF(R494="","",MAX(Settings!$B$3,Settings!$B$4*IF(O494&lt;&gt;"",O494,IF(H494="",0,H494))))</f>
        <v/>
      </c>
      <c r="U494" s="11">
        <f>IF(AND(C494&lt;&gt;"",M494&lt;&gt;"",OR(H494&lt;&gt;"",O494&lt;&gt;"")),"COMPLETE",IF(OR(C494&lt;&gt;"",M494&lt;&gt;""),"PARTIAL","MISSING"))</f>
        <v/>
      </c>
      <c r="V494" s="11">
        <f>IF(Q494="UNKNOWN","Check fluid description",IF(AND(R494&lt;&gt;"",S494&lt;&gt;""),"Ready for contact screening","Needs TVD + thickness"))</f>
        <v/>
      </c>
    </row>
    <row r="495">
      <c r="A495" s="9" t="n"/>
      <c r="B495" s="9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9" t="n"/>
      <c r="N495" s="9" t="n"/>
      <c r="O495" s="10" t="n"/>
      <c r="P495" s="9" t="n"/>
      <c r="Q495" s="11">
        <f>IF(P495&lt;&gt;"",P495,IF(M495="","UNKNOWN",IF(AND(ISNUMBER(SEARCH("gas",LOWER(M495))),ISNUMBER(SEARCH("water",LOWER(M495)))),"GAS_WATER",IF(AND(ISNUMBER(SEARCH("oil",LOWER(M495))),ISNUMBER(SEARCH("water",LOWER(M495)))),"OIL_WATER",IF(ISNUMBER(SEARCH("gas",LOWER(M495))),"GAS",IF(ISNUMBER(SEARCH("water",LOWER(M495))),"WATER",IF(ISNUMBER(SEARCH("oil",LOWER(M495))),"OIL","UNKNOWN")))))))</f>
        <v/>
      </c>
      <c r="R495" s="12">
        <f>IF(C495="","",C495)</f>
        <v/>
      </c>
      <c r="S495" s="12">
        <f>IF(R495="","",R495+IF(O495&lt;&gt;"",O495,IF(H495="",0,H495)))</f>
        <v/>
      </c>
      <c r="T495" s="12">
        <f>IF(R495="","",MAX(Settings!$B$3,Settings!$B$4*IF(O495&lt;&gt;"",O495,IF(H495="",0,H495))))</f>
        <v/>
      </c>
      <c r="U495" s="11">
        <f>IF(AND(C495&lt;&gt;"",M495&lt;&gt;"",OR(H495&lt;&gt;"",O495&lt;&gt;"")),"COMPLETE",IF(OR(C495&lt;&gt;"",M495&lt;&gt;""),"PARTIAL","MISSING"))</f>
        <v/>
      </c>
      <c r="V495" s="11">
        <f>IF(Q495="UNKNOWN","Check fluid description",IF(AND(R495&lt;&gt;"",S495&lt;&gt;""),"Ready for contact screening","Needs TVD + thickness"))</f>
        <v/>
      </c>
    </row>
    <row r="496">
      <c r="A496" s="9" t="n"/>
      <c r="B496" s="9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9" t="n"/>
      <c r="N496" s="9" t="n"/>
      <c r="O496" s="10" t="n"/>
      <c r="P496" s="9" t="n"/>
      <c r="Q496" s="11">
        <f>IF(P496&lt;&gt;"",P496,IF(M496="","UNKNOWN",IF(AND(ISNUMBER(SEARCH("gas",LOWER(M496))),ISNUMBER(SEARCH("water",LOWER(M496)))),"GAS_WATER",IF(AND(ISNUMBER(SEARCH("oil",LOWER(M496))),ISNUMBER(SEARCH("water",LOWER(M496)))),"OIL_WATER",IF(ISNUMBER(SEARCH("gas",LOWER(M496))),"GAS",IF(ISNUMBER(SEARCH("water",LOWER(M496))),"WATER",IF(ISNUMBER(SEARCH("oil",LOWER(M496))),"OIL","UNKNOWN")))))))</f>
        <v/>
      </c>
      <c r="R496" s="12">
        <f>IF(C496="","",C496)</f>
        <v/>
      </c>
      <c r="S496" s="12">
        <f>IF(R496="","",R496+IF(O496&lt;&gt;"",O496,IF(H496="",0,H496)))</f>
        <v/>
      </c>
      <c r="T496" s="12">
        <f>IF(R496="","",MAX(Settings!$B$3,Settings!$B$4*IF(O496&lt;&gt;"",O496,IF(H496="",0,H496))))</f>
        <v/>
      </c>
      <c r="U496" s="11">
        <f>IF(AND(C496&lt;&gt;"",M496&lt;&gt;"",OR(H496&lt;&gt;"",O496&lt;&gt;"")),"COMPLETE",IF(OR(C496&lt;&gt;"",M496&lt;&gt;""),"PARTIAL","MISSING"))</f>
        <v/>
      </c>
      <c r="V496" s="11">
        <f>IF(Q496="UNKNOWN","Check fluid description",IF(AND(R496&lt;&gt;"",S496&lt;&gt;""),"Ready for contact screening","Needs TVD + thickness"))</f>
        <v/>
      </c>
    </row>
    <row r="497">
      <c r="A497" s="9" t="n"/>
      <c r="B497" s="9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9" t="n"/>
      <c r="N497" s="9" t="n"/>
      <c r="O497" s="10" t="n"/>
      <c r="P497" s="9" t="n"/>
      <c r="Q497" s="11">
        <f>IF(P497&lt;&gt;"",P497,IF(M497="","UNKNOWN",IF(AND(ISNUMBER(SEARCH("gas",LOWER(M497))),ISNUMBER(SEARCH("water",LOWER(M497)))),"GAS_WATER",IF(AND(ISNUMBER(SEARCH("oil",LOWER(M497))),ISNUMBER(SEARCH("water",LOWER(M497)))),"OIL_WATER",IF(ISNUMBER(SEARCH("gas",LOWER(M497))),"GAS",IF(ISNUMBER(SEARCH("water",LOWER(M497))),"WATER",IF(ISNUMBER(SEARCH("oil",LOWER(M497))),"OIL","UNKNOWN")))))))</f>
        <v/>
      </c>
      <c r="R497" s="12">
        <f>IF(C497="","",C497)</f>
        <v/>
      </c>
      <c r="S497" s="12">
        <f>IF(R497="","",R497+IF(O497&lt;&gt;"",O497,IF(H497="",0,H497)))</f>
        <v/>
      </c>
      <c r="T497" s="12">
        <f>IF(R497="","",MAX(Settings!$B$3,Settings!$B$4*IF(O497&lt;&gt;"",O497,IF(H497="",0,H497))))</f>
        <v/>
      </c>
      <c r="U497" s="11">
        <f>IF(AND(C497&lt;&gt;"",M497&lt;&gt;"",OR(H497&lt;&gt;"",O497&lt;&gt;"")),"COMPLETE",IF(OR(C497&lt;&gt;"",M497&lt;&gt;""),"PARTIAL","MISSING"))</f>
        <v/>
      </c>
      <c r="V497" s="11">
        <f>IF(Q497="UNKNOWN","Check fluid description",IF(AND(R497&lt;&gt;"",S497&lt;&gt;""),"Ready for contact screening","Needs TVD + thickness"))</f>
        <v/>
      </c>
    </row>
    <row r="498">
      <c r="A498" s="9" t="n"/>
      <c r="B498" s="9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9" t="n"/>
      <c r="N498" s="9" t="n"/>
      <c r="O498" s="10" t="n"/>
      <c r="P498" s="9" t="n"/>
      <c r="Q498" s="11">
        <f>IF(P498&lt;&gt;"",P498,IF(M498="","UNKNOWN",IF(AND(ISNUMBER(SEARCH("gas",LOWER(M498))),ISNUMBER(SEARCH("water",LOWER(M498)))),"GAS_WATER",IF(AND(ISNUMBER(SEARCH("oil",LOWER(M498))),ISNUMBER(SEARCH("water",LOWER(M498)))),"OIL_WATER",IF(ISNUMBER(SEARCH("gas",LOWER(M498))),"GAS",IF(ISNUMBER(SEARCH("water",LOWER(M498))),"WATER",IF(ISNUMBER(SEARCH("oil",LOWER(M498))),"OIL","UNKNOWN")))))))</f>
        <v/>
      </c>
      <c r="R498" s="12">
        <f>IF(C498="","",C498)</f>
        <v/>
      </c>
      <c r="S498" s="12">
        <f>IF(R498="","",R498+IF(O498&lt;&gt;"",O498,IF(H498="",0,H498)))</f>
        <v/>
      </c>
      <c r="T498" s="12">
        <f>IF(R498="","",MAX(Settings!$B$3,Settings!$B$4*IF(O498&lt;&gt;"",O498,IF(H498="",0,H498))))</f>
        <v/>
      </c>
      <c r="U498" s="11">
        <f>IF(AND(C498&lt;&gt;"",M498&lt;&gt;"",OR(H498&lt;&gt;"",O498&lt;&gt;"")),"COMPLETE",IF(OR(C498&lt;&gt;"",M498&lt;&gt;""),"PARTIAL","MISSING"))</f>
        <v/>
      </c>
      <c r="V498" s="11">
        <f>IF(Q498="UNKNOWN","Check fluid description",IF(AND(R498&lt;&gt;"",S498&lt;&gt;""),"Ready for contact screening","Needs TVD + thickness"))</f>
        <v/>
      </c>
    </row>
    <row r="499">
      <c r="A499" s="9" t="n"/>
      <c r="B499" s="9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9" t="n"/>
      <c r="N499" s="9" t="n"/>
      <c r="O499" s="10" t="n"/>
      <c r="P499" s="9" t="n"/>
      <c r="Q499" s="11">
        <f>IF(P499&lt;&gt;"",P499,IF(M499="","UNKNOWN",IF(AND(ISNUMBER(SEARCH("gas",LOWER(M499))),ISNUMBER(SEARCH("water",LOWER(M499)))),"GAS_WATER",IF(AND(ISNUMBER(SEARCH("oil",LOWER(M499))),ISNUMBER(SEARCH("water",LOWER(M499)))),"OIL_WATER",IF(ISNUMBER(SEARCH("gas",LOWER(M499))),"GAS",IF(ISNUMBER(SEARCH("water",LOWER(M499))),"WATER",IF(ISNUMBER(SEARCH("oil",LOWER(M499))),"OIL","UNKNOWN")))))))</f>
        <v/>
      </c>
      <c r="R499" s="12">
        <f>IF(C499="","",C499)</f>
        <v/>
      </c>
      <c r="S499" s="12">
        <f>IF(R499="","",R499+IF(O499&lt;&gt;"",O499,IF(H499="",0,H499)))</f>
        <v/>
      </c>
      <c r="T499" s="12">
        <f>IF(R499="","",MAX(Settings!$B$3,Settings!$B$4*IF(O499&lt;&gt;"",O499,IF(H499="",0,H499))))</f>
        <v/>
      </c>
      <c r="U499" s="11">
        <f>IF(AND(C499&lt;&gt;"",M499&lt;&gt;"",OR(H499&lt;&gt;"",O499&lt;&gt;"")),"COMPLETE",IF(OR(C499&lt;&gt;"",M499&lt;&gt;""),"PARTIAL","MISSING"))</f>
        <v/>
      </c>
      <c r="V499" s="11">
        <f>IF(Q499="UNKNOWN","Check fluid description",IF(AND(R499&lt;&gt;"",S499&lt;&gt;""),"Ready for contact screening","Needs TVD + thickness"))</f>
        <v/>
      </c>
    </row>
    <row r="500">
      <c r="A500" s="9" t="n"/>
      <c r="B500" s="9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9" t="n"/>
      <c r="N500" s="9" t="n"/>
      <c r="O500" s="10" t="n"/>
      <c r="P500" s="9" t="n"/>
      <c r="Q500" s="11">
        <f>IF(P500&lt;&gt;"",P500,IF(M500="","UNKNOWN",IF(AND(ISNUMBER(SEARCH("gas",LOWER(M500))),ISNUMBER(SEARCH("water",LOWER(M500)))),"GAS_WATER",IF(AND(ISNUMBER(SEARCH("oil",LOWER(M500))),ISNUMBER(SEARCH("water",LOWER(M500)))),"OIL_WATER",IF(ISNUMBER(SEARCH("gas",LOWER(M500))),"GAS",IF(ISNUMBER(SEARCH("water",LOWER(M500))),"WATER",IF(ISNUMBER(SEARCH("oil",LOWER(M500))),"OIL","UNKNOWN")))))))</f>
        <v/>
      </c>
      <c r="R500" s="12">
        <f>IF(C500="","",C500)</f>
        <v/>
      </c>
      <c r="S500" s="12">
        <f>IF(R500="","",R500+IF(O500&lt;&gt;"",O500,IF(H500="",0,H500)))</f>
        <v/>
      </c>
      <c r="T500" s="12">
        <f>IF(R500="","",MAX(Settings!$B$3,Settings!$B$4*IF(O500&lt;&gt;"",O500,IF(H500="",0,H500))))</f>
        <v/>
      </c>
      <c r="U500" s="11">
        <f>IF(AND(C500&lt;&gt;"",M500&lt;&gt;"",OR(H500&lt;&gt;"",O500&lt;&gt;"")),"COMPLETE",IF(OR(C500&lt;&gt;"",M500&lt;&gt;""),"PARTIAL","MISSING"))</f>
        <v/>
      </c>
      <c r="V500" s="11">
        <f>IF(Q500="UNKNOWN","Check fluid description",IF(AND(R500&lt;&gt;"",S500&lt;&gt;""),"Ready for contact screening","Needs TVD + thickness"))</f>
        <v/>
      </c>
    </row>
    <row r="501">
      <c r="A501" s="9" t="n"/>
      <c r="B501" s="9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9" t="n"/>
      <c r="N501" s="9" t="n"/>
      <c r="O501" s="10" t="n"/>
      <c r="P501" s="9" t="n"/>
      <c r="Q501" s="11">
        <f>IF(P501&lt;&gt;"",P501,IF(M501="","UNKNOWN",IF(AND(ISNUMBER(SEARCH("gas",LOWER(M501))),ISNUMBER(SEARCH("water",LOWER(M501)))),"GAS_WATER",IF(AND(ISNUMBER(SEARCH("oil",LOWER(M501))),ISNUMBER(SEARCH("water",LOWER(M501)))),"OIL_WATER",IF(ISNUMBER(SEARCH("gas",LOWER(M501))),"GAS",IF(ISNUMBER(SEARCH("water",LOWER(M501))),"WATER",IF(ISNUMBER(SEARCH("oil",LOWER(M501))),"OIL","UNKNOWN")))))))</f>
        <v/>
      </c>
      <c r="R501" s="12">
        <f>IF(C501="","",C501)</f>
        <v/>
      </c>
      <c r="S501" s="12">
        <f>IF(R501="","",R501+IF(O501&lt;&gt;"",O501,IF(H501="",0,H501)))</f>
        <v/>
      </c>
      <c r="T501" s="12">
        <f>IF(R501="","",MAX(Settings!$B$3,Settings!$B$4*IF(O501&lt;&gt;"",O501,IF(H501="",0,H501))))</f>
        <v/>
      </c>
      <c r="U501" s="11">
        <f>IF(AND(C501&lt;&gt;"",M501&lt;&gt;"",OR(H501&lt;&gt;"",O501&lt;&gt;"")),"COMPLETE",IF(OR(C501&lt;&gt;"",M501&lt;&gt;""),"PARTIAL","MISSING"))</f>
        <v/>
      </c>
      <c r="V501" s="11">
        <f>IF(Q501="UNKNOWN","Check fluid description",IF(AND(R501&lt;&gt;"",S501&lt;&gt;""),"Ready for contact screening","Needs TVD + thickness"))</f>
        <v/>
      </c>
    </row>
    <row r="502">
      <c r="A502" s="9" t="n"/>
      <c r="B502" s="9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9" t="n"/>
      <c r="N502" s="9" t="n"/>
      <c r="O502" s="10" t="n"/>
      <c r="P502" s="9" t="n"/>
      <c r="Q502" s="11">
        <f>IF(P502&lt;&gt;"",P502,IF(M502="","UNKNOWN",IF(AND(ISNUMBER(SEARCH("gas",LOWER(M502))),ISNUMBER(SEARCH("water",LOWER(M502)))),"GAS_WATER",IF(AND(ISNUMBER(SEARCH("oil",LOWER(M502))),ISNUMBER(SEARCH("water",LOWER(M502)))),"OIL_WATER",IF(ISNUMBER(SEARCH("gas",LOWER(M502))),"GAS",IF(ISNUMBER(SEARCH("water",LOWER(M502))),"WATER",IF(ISNUMBER(SEARCH("oil",LOWER(M502))),"OIL","UNKNOWN")))))))</f>
        <v/>
      </c>
      <c r="R502" s="12">
        <f>IF(C502="","",C502)</f>
        <v/>
      </c>
      <c r="S502" s="12">
        <f>IF(R502="","",R502+IF(O502&lt;&gt;"",O502,IF(H502="",0,H502)))</f>
        <v/>
      </c>
      <c r="T502" s="12">
        <f>IF(R502="","",MAX(Settings!$B$3,Settings!$B$4*IF(O502&lt;&gt;"",O502,IF(H502="",0,H502))))</f>
        <v/>
      </c>
      <c r="U502" s="11">
        <f>IF(AND(C502&lt;&gt;"",M502&lt;&gt;"",OR(H502&lt;&gt;"",O502&lt;&gt;"")),"COMPLETE",IF(OR(C502&lt;&gt;"",M502&lt;&gt;""),"PARTIAL","MISSING"))</f>
        <v/>
      </c>
      <c r="V502" s="11">
        <f>IF(Q502="UNKNOWN","Check fluid description",IF(AND(R502&lt;&gt;"",S502&lt;&gt;""),"Ready for contact screening","Needs TVD + thickness"))</f>
        <v/>
      </c>
    </row>
    <row r="503">
      <c r="A503" s="9" t="n"/>
      <c r="B503" s="9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9" t="n"/>
      <c r="N503" s="9" t="n"/>
      <c r="O503" s="10" t="n"/>
      <c r="P503" s="9" t="n"/>
      <c r="Q503" s="11">
        <f>IF(P503&lt;&gt;"",P503,IF(M503="","UNKNOWN",IF(AND(ISNUMBER(SEARCH("gas",LOWER(M503))),ISNUMBER(SEARCH("water",LOWER(M503)))),"GAS_WATER",IF(AND(ISNUMBER(SEARCH("oil",LOWER(M503))),ISNUMBER(SEARCH("water",LOWER(M503)))),"OIL_WATER",IF(ISNUMBER(SEARCH("gas",LOWER(M503))),"GAS",IF(ISNUMBER(SEARCH("water",LOWER(M503))),"WATER",IF(ISNUMBER(SEARCH("oil",LOWER(M503))),"OIL","UNKNOWN")))))))</f>
        <v/>
      </c>
      <c r="R503" s="12">
        <f>IF(C503="","",C503)</f>
        <v/>
      </c>
      <c r="S503" s="12">
        <f>IF(R503="","",R503+IF(O503&lt;&gt;"",O503,IF(H503="",0,H503)))</f>
        <v/>
      </c>
      <c r="T503" s="12">
        <f>IF(R503="","",MAX(Settings!$B$3,Settings!$B$4*IF(O503&lt;&gt;"",O503,IF(H503="",0,H503))))</f>
        <v/>
      </c>
      <c r="U503" s="11">
        <f>IF(AND(C503&lt;&gt;"",M503&lt;&gt;"",OR(H503&lt;&gt;"",O503&lt;&gt;"")),"COMPLETE",IF(OR(C503&lt;&gt;"",M503&lt;&gt;""),"PARTIAL","MISSING"))</f>
        <v/>
      </c>
      <c r="V503" s="11">
        <f>IF(Q503="UNKNOWN","Check fluid description",IF(AND(R503&lt;&gt;"",S503&lt;&gt;""),"Ready for contact screening","Needs TVD + thickness"))</f>
        <v/>
      </c>
    </row>
    <row r="504">
      <c r="A504" s="9" t="n"/>
      <c r="B504" s="9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9" t="n"/>
      <c r="N504" s="9" t="n"/>
      <c r="O504" s="10" t="n"/>
      <c r="P504" s="9" t="n"/>
      <c r="Q504" s="11">
        <f>IF(P504&lt;&gt;"",P504,IF(M504="","UNKNOWN",IF(AND(ISNUMBER(SEARCH("gas",LOWER(M504))),ISNUMBER(SEARCH("water",LOWER(M504)))),"GAS_WATER",IF(AND(ISNUMBER(SEARCH("oil",LOWER(M504))),ISNUMBER(SEARCH("water",LOWER(M504)))),"OIL_WATER",IF(ISNUMBER(SEARCH("gas",LOWER(M504))),"GAS",IF(ISNUMBER(SEARCH("water",LOWER(M504))),"WATER",IF(ISNUMBER(SEARCH("oil",LOWER(M504))),"OIL","UNKNOWN")))))))</f>
        <v/>
      </c>
      <c r="R504" s="12">
        <f>IF(C504="","",C504)</f>
        <v/>
      </c>
      <c r="S504" s="12">
        <f>IF(R504="","",R504+IF(O504&lt;&gt;"",O504,IF(H504="",0,H504)))</f>
        <v/>
      </c>
      <c r="T504" s="12">
        <f>IF(R504="","",MAX(Settings!$B$3,Settings!$B$4*IF(O504&lt;&gt;"",O504,IF(H504="",0,H504))))</f>
        <v/>
      </c>
      <c r="U504" s="11">
        <f>IF(AND(C504&lt;&gt;"",M504&lt;&gt;"",OR(H504&lt;&gt;"",O504&lt;&gt;"")),"COMPLETE",IF(OR(C504&lt;&gt;"",M504&lt;&gt;""),"PARTIAL","MISSING"))</f>
        <v/>
      </c>
      <c r="V504" s="11">
        <f>IF(Q504="UNKNOWN","Check fluid description",IF(AND(R504&lt;&gt;"",S504&lt;&gt;""),"Ready for contact screening","Needs TVD + thickness"))</f>
        <v/>
      </c>
    </row>
    <row r="505">
      <c r="A505" s="9" t="n"/>
      <c r="B505" s="9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9" t="n"/>
      <c r="N505" s="9" t="n"/>
      <c r="O505" s="10" t="n"/>
      <c r="P505" s="9" t="n"/>
      <c r="Q505" s="11">
        <f>IF(P505&lt;&gt;"",P505,IF(M505="","UNKNOWN",IF(AND(ISNUMBER(SEARCH("gas",LOWER(M505))),ISNUMBER(SEARCH("water",LOWER(M505)))),"GAS_WATER",IF(AND(ISNUMBER(SEARCH("oil",LOWER(M505))),ISNUMBER(SEARCH("water",LOWER(M505)))),"OIL_WATER",IF(ISNUMBER(SEARCH("gas",LOWER(M505))),"GAS",IF(ISNUMBER(SEARCH("water",LOWER(M505))),"WATER",IF(ISNUMBER(SEARCH("oil",LOWER(M505))),"OIL","UNKNOWN")))))))</f>
        <v/>
      </c>
      <c r="R505" s="12">
        <f>IF(C505="","",C505)</f>
        <v/>
      </c>
      <c r="S505" s="12">
        <f>IF(R505="","",R505+IF(O505&lt;&gt;"",O505,IF(H505="",0,H505)))</f>
        <v/>
      </c>
      <c r="T505" s="12">
        <f>IF(R505="","",MAX(Settings!$B$3,Settings!$B$4*IF(O505&lt;&gt;"",O505,IF(H505="",0,H505))))</f>
        <v/>
      </c>
      <c r="U505" s="11">
        <f>IF(AND(C505&lt;&gt;"",M505&lt;&gt;"",OR(H505&lt;&gt;"",O505&lt;&gt;"")),"COMPLETE",IF(OR(C505&lt;&gt;"",M505&lt;&gt;""),"PARTIAL","MISSING"))</f>
        <v/>
      </c>
      <c r="V505" s="11">
        <f>IF(Q505="UNKNOWN","Check fluid description",IF(AND(R505&lt;&gt;"",S505&lt;&gt;""),"Ready for contact screening","Needs TVD + thickness"))</f>
        <v/>
      </c>
    </row>
    <row r="506">
      <c r="A506" s="9" t="n"/>
      <c r="B506" s="9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9" t="n"/>
      <c r="N506" s="9" t="n"/>
      <c r="O506" s="10" t="n"/>
      <c r="P506" s="9" t="n"/>
      <c r="Q506" s="11">
        <f>IF(P506&lt;&gt;"",P506,IF(M506="","UNKNOWN",IF(AND(ISNUMBER(SEARCH("gas",LOWER(M506))),ISNUMBER(SEARCH("water",LOWER(M506)))),"GAS_WATER",IF(AND(ISNUMBER(SEARCH("oil",LOWER(M506))),ISNUMBER(SEARCH("water",LOWER(M506)))),"OIL_WATER",IF(ISNUMBER(SEARCH("gas",LOWER(M506))),"GAS",IF(ISNUMBER(SEARCH("water",LOWER(M506))),"WATER",IF(ISNUMBER(SEARCH("oil",LOWER(M506))),"OIL","UNKNOWN")))))))</f>
        <v/>
      </c>
      <c r="R506" s="12">
        <f>IF(C506="","",C506)</f>
        <v/>
      </c>
      <c r="S506" s="12">
        <f>IF(R506="","",R506+IF(O506&lt;&gt;"",O506,IF(H506="",0,H506)))</f>
        <v/>
      </c>
      <c r="T506" s="12">
        <f>IF(R506="","",MAX(Settings!$B$3,Settings!$B$4*IF(O506&lt;&gt;"",O506,IF(H506="",0,H506))))</f>
        <v/>
      </c>
      <c r="U506" s="11">
        <f>IF(AND(C506&lt;&gt;"",M506&lt;&gt;"",OR(H506&lt;&gt;"",O506&lt;&gt;"")),"COMPLETE",IF(OR(C506&lt;&gt;"",M506&lt;&gt;""),"PARTIAL","MISSING"))</f>
        <v/>
      </c>
      <c r="V506" s="11">
        <f>IF(Q506="UNKNOWN","Check fluid description",IF(AND(R506&lt;&gt;"",S506&lt;&gt;""),"Ready for contact screening","Needs TVD + thickness"))</f>
        <v/>
      </c>
    </row>
    <row r="507">
      <c r="A507" s="9" t="n"/>
      <c r="B507" s="9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9" t="n"/>
      <c r="N507" s="9" t="n"/>
      <c r="O507" s="10" t="n"/>
      <c r="P507" s="9" t="n"/>
      <c r="Q507" s="11">
        <f>IF(P507&lt;&gt;"",P507,IF(M507="","UNKNOWN",IF(AND(ISNUMBER(SEARCH("gas",LOWER(M507))),ISNUMBER(SEARCH("water",LOWER(M507)))),"GAS_WATER",IF(AND(ISNUMBER(SEARCH("oil",LOWER(M507))),ISNUMBER(SEARCH("water",LOWER(M507)))),"OIL_WATER",IF(ISNUMBER(SEARCH("gas",LOWER(M507))),"GAS",IF(ISNUMBER(SEARCH("water",LOWER(M507))),"WATER",IF(ISNUMBER(SEARCH("oil",LOWER(M507))),"OIL","UNKNOWN")))))))</f>
        <v/>
      </c>
      <c r="R507" s="12">
        <f>IF(C507="","",C507)</f>
        <v/>
      </c>
      <c r="S507" s="12">
        <f>IF(R507="","",R507+IF(O507&lt;&gt;"",O507,IF(H507="",0,H507)))</f>
        <v/>
      </c>
      <c r="T507" s="12">
        <f>IF(R507="","",MAX(Settings!$B$3,Settings!$B$4*IF(O507&lt;&gt;"",O507,IF(H507="",0,H507))))</f>
        <v/>
      </c>
      <c r="U507" s="11">
        <f>IF(AND(C507&lt;&gt;"",M507&lt;&gt;"",OR(H507&lt;&gt;"",O507&lt;&gt;"")),"COMPLETE",IF(OR(C507&lt;&gt;"",M507&lt;&gt;""),"PARTIAL","MISSING"))</f>
        <v/>
      </c>
      <c r="V507" s="11">
        <f>IF(Q507="UNKNOWN","Check fluid description",IF(AND(R507&lt;&gt;"",S507&lt;&gt;""),"Ready for contact screening","Needs TVD + thickness"))</f>
        <v/>
      </c>
    </row>
    <row r="508">
      <c r="A508" s="9" t="n"/>
      <c r="B508" s="9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9" t="n"/>
      <c r="N508" s="9" t="n"/>
      <c r="O508" s="10" t="n"/>
      <c r="P508" s="9" t="n"/>
      <c r="Q508" s="11">
        <f>IF(P508&lt;&gt;"",P508,IF(M508="","UNKNOWN",IF(AND(ISNUMBER(SEARCH("gas",LOWER(M508))),ISNUMBER(SEARCH("water",LOWER(M508)))),"GAS_WATER",IF(AND(ISNUMBER(SEARCH("oil",LOWER(M508))),ISNUMBER(SEARCH("water",LOWER(M508)))),"OIL_WATER",IF(ISNUMBER(SEARCH("gas",LOWER(M508))),"GAS",IF(ISNUMBER(SEARCH("water",LOWER(M508))),"WATER",IF(ISNUMBER(SEARCH("oil",LOWER(M508))),"OIL","UNKNOWN")))))))</f>
        <v/>
      </c>
      <c r="R508" s="12">
        <f>IF(C508="","",C508)</f>
        <v/>
      </c>
      <c r="S508" s="12">
        <f>IF(R508="","",R508+IF(O508&lt;&gt;"",O508,IF(H508="",0,H508)))</f>
        <v/>
      </c>
      <c r="T508" s="12">
        <f>IF(R508="","",MAX(Settings!$B$3,Settings!$B$4*IF(O508&lt;&gt;"",O508,IF(H508="",0,H508))))</f>
        <v/>
      </c>
      <c r="U508" s="11">
        <f>IF(AND(C508&lt;&gt;"",M508&lt;&gt;"",OR(H508&lt;&gt;"",O508&lt;&gt;"")),"COMPLETE",IF(OR(C508&lt;&gt;"",M508&lt;&gt;""),"PARTIAL","MISSING"))</f>
        <v/>
      </c>
      <c r="V508" s="11">
        <f>IF(Q508="UNKNOWN","Check fluid description",IF(AND(R508&lt;&gt;"",S508&lt;&gt;""),"Ready for contact screening","Needs TVD + thickness"))</f>
        <v/>
      </c>
    </row>
    <row r="509">
      <c r="A509" s="9" t="n"/>
      <c r="B509" s="9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9" t="n"/>
      <c r="N509" s="9" t="n"/>
      <c r="O509" s="10" t="n"/>
      <c r="P509" s="9" t="n"/>
      <c r="Q509" s="11">
        <f>IF(P509&lt;&gt;"",P509,IF(M509="","UNKNOWN",IF(AND(ISNUMBER(SEARCH("gas",LOWER(M509))),ISNUMBER(SEARCH("water",LOWER(M509)))),"GAS_WATER",IF(AND(ISNUMBER(SEARCH("oil",LOWER(M509))),ISNUMBER(SEARCH("water",LOWER(M509)))),"OIL_WATER",IF(ISNUMBER(SEARCH("gas",LOWER(M509))),"GAS",IF(ISNUMBER(SEARCH("water",LOWER(M509))),"WATER",IF(ISNUMBER(SEARCH("oil",LOWER(M509))),"OIL","UNKNOWN")))))))</f>
        <v/>
      </c>
      <c r="R509" s="12">
        <f>IF(C509="","",C509)</f>
        <v/>
      </c>
      <c r="S509" s="12">
        <f>IF(R509="","",R509+IF(O509&lt;&gt;"",O509,IF(H509="",0,H509)))</f>
        <v/>
      </c>
      <c r="T509" s="12">
        <f>IF(R509="","",MAX(Settings!$B$3,Settings!$B$4*IF(O509&lt;&gt;"",O509,IF(H509="",0,H509))))</f>
        <v/>
      </c>
      <c r="U509" s="11">
        <f>IF(AND(C509&lt;&gt;"",M509&lt;&gt;"",OR(H509&lt;&gt;"",O509&lt;&gt;"")),"COMPLETE",IF(OR(C509&lt;&gt;"",M509&lt;&gt;""),"PARTIAL","MISSING"))</f>
        <v/>
      </c>
      <c r="V509" s="11">
        <f>IF(Q509="UNKNOWN","Check fluid description",IF(AND(R509&lt;&gt;"",S509&lt;&gt;""),"Ready for contact screening","Needs TVD + thickness"))</f>
        <v/>
      </c>
    </row>
    <row r="510">
      <c r="A510" s="9" t="n"/>
      <c r="B510" s="9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9" t="n"/>
      <c r="N510" s="9" t="n"/>
      <c r="O510" s="10" t="n"/>
      <c r="P510" s="9" t="n"/>
      <c r="Q510" s="11">
        <f>IF(P510&lt;&gt;"",P510,IF(M510="","UNKNOWN",IF(AND(ISNUMBER(SEARCH("gas",LOWER(M510))),ISNUMBER(SEARCH("water",LOWER(M510)))),"GAS_WATER",IF(AND(ISNUMBER(SEARCH("oil",LOWER(M510))),ISNUMBER(SEARCH("water",LOWER(M510)))),"OIL_WATER",IF(ISNUMBER(SEARCH("gas",LOWER(M510))),"GAS",IF(ISNUMBER(SEARCH("water",LOWER(M510))),"WATER",IF(ISNUMBER(SEARCH("oil",LOWER(M510))),"OIL","UNKNOWN")))))))</f>
        <v/>
      </c>
      <c r="R510" s="12">
        <f>IF(C510="","",C510)</f>
        <v/>
      </c>
      <c r="S510" s="12">
        <f>IF(R510="","",R510+IF(O510&lt;&gt;"",O510,IF(H510="",0,H510)))</f>
        <v/>
      </c>
      <c r="T510" s="12">
        <f>IF(R510="","",MAX(Settings!$B$3,Settings!$B$4*IF(O510&lt;&gt;"",O510,IF(H510="",0,H510))))</f>
        <v/>
      </c>
      <c r="U510" s="11">
        <f>IF(AND(C510&lt;&gt;"",M510&lt;&gt;"",OR(H510&lt;&gt;"",O510&lt;&gt;"")),"COMPLETE",IF(OR(C510&lt;&gt;"",M510&lt;&gt;""),"PARTIAL","MISSING"))</f>
        <v/>
      </c>
      <c r="V510" s="11">
        <f>IF(Q510="UNKNOWN","Check fluid description",IF(AND(R510&lt;&gt;"",S510&lt;&gt;""),"Ready for contact screening","Needs TVD + thickness"))</f>
        <v/>
      </c>
    </row>
    <row r="511">
      <c r="A511" s="9" t="n"/>
      <c r="B511" s="9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9" t="n"/>
      <c r="N511" s="9" t="n"/>
      <c r="O511" s="10" t="n"/>
      <c r="P511" s="9" t="n"/>
      <c r="Q511" s="11">
        <f>IF(P511&lt;&gt;"",P511,IF(M511="","UNKNOWN",IF(AND(ISNUMBER(SEARCH("gas",LOWER(M511))),ISNUMBER(SEARCH("water",LOWER(M511)))),"GAS_WATER",IF(AND(ISNUMBER(SEARCH("oil",LOWER(M511))),ISNUMBER(SEARCH("water",LOWER(M511)))),"OIL_WATER",IF(ISNUMBER(SEARCH("gas",LOWER(M511))),"GAS",IF(ISNUMBER(SEARCH("water",LOWER(M511))),"WATER",IF(ISNUMBER(SEARCH("oil",LOWER(M511))),"OIL","UNKNOWN")))))))</f>
        <v/>
      </c>
      <c r="R511" s="12">
        <f>IF(C511="","",C511)</f>
        <v/>
      </c>
      <c r="S511" s="12">
        <f>IF(R511="","",R511+IF(O511&lt;&gt;"",O511,IF(H511="",0,H511)))</f>
        <v/>
      </c>
      <c r="T511" s="12">
        <f>IF(R511="","",MAX(Settings!$B$3,Settings!$B$4*IF(O511&lt;&gt;"",O511,IF(H511="",0,H511))))</f>
        <v/>
      </c>
      <c r="U511" s="11">
        <f>IF(AND(C511&lt;&gt;"",M511&lt;&gt;"",OR(H511&lt;&gt;"",O511&lt;&gt;"")),"COMPLETE",IF(OR(C511&lt;&gt;"",M511&lt;&gt;""),"PARTIAL","MISSING"))</f>
        <v/>
      </c>
      <c r="V511" s="11">
        <f>IF(Q511="UNKNOWN","Check fluid description",IF(AND(R511&lt;&gt;"",S511&lt;&gt;""),"Ready for contact screening","Needs TVD + thickness"))</f>
        <v/>
      </c>
    </row>
    <row r="512">
      <c r="A512" s="9" t="n"/>
      <c r="B512" s="9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9" t="n"/>
      <c r="N512" s="9" t="n"/>
      <c r="O512" s="10" t="n"/>
      <c r="P512" s="9" t="n"/>
      <c r="Q512" s="11">
        <f>IF(P512&lt;&gt;"",P512,IF(M512="","UNKNOWN",IF(AND(ISNUMBER(SEARCH("gas",LOWER(M512))),ISNUMBER(SEARCH("water",LOWER(M512)))),"GAS_WATER",IF(AND(ISNUMBER(SEARCH("oil",LOWER(M512))),ISNUMBER(SEARCH("water",LOWER(M512)))),"OIL_WATER",IF(ISNUMBER(SEARCH("gas",LOWER(M512))),"GAS",IF(ISNUMBER(SEARCH("water",LOWER(M512))),"WATER",IF(ISNUMBER(SEARCH("oil",LOWER(M512))),"OIL","UNKNOWN")))))))</f>
        <v/>
      </c>
      <c r="R512" s="12">
        <f>IF(C512="","",C512)</f>
        <v/>
      </c>
      <c r="S512" s="12">
        <f>IF(R512="","",R512+IF(O512&lt;&gt;"",O512,IF(H512="",0,H512)))</f>
        <v/>
      </c>
      <c r="T512" s="12">
        <f>IF(R512="","",MAX(Settings!$B$3,Settings!$B$4*IF(O512&lt;&gt;"",O512,IF(H512="",0,H512))))</f>
        <v/>
      </c>
      <c r="U512" s="11">
        <f>IF(AND(C512&lt;&gt;"",M512&lt;&gt;"",OR(H512&lt;&gt;"",O512&lt;&gt;"")),"COMPLETE",IF(OR(C512&lt;&gt;"",M512&lt;&gt;""),"PARTIAL","MISSING"))</f>
        <v/>
      </c>
      <c r="V512" s="11">
        <f>IF(Q512="UNKNOWN","Check fluid description",IF(AND(R512&lt;&gt;"",S512&lt;&gt;""),"Ready for contact screening","Needs TVD + thickness"))</f>
        <v/>
      </c>
    </row>
    <row r="513">
      <c r="A513" s="9" t="n"/>
      <c r="B513" s="9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9" t="n"/>
      <c r="N513" s="9" t="n"/>
      <c r="O513" s="10" t="n"/>
      <c r="P513" s="9" t="n"/>
      <c r="Q513" s="11">
        <f>IF(P513&lt;&gt;"",P513,IF(M513="","UNKNOWN",IF(AND(ISNUMBER(SEARCH("gas",LOWER(M513))),ISNUMBER(SEARCH("water",LOWER(M513)))),"GAS_WATER",IF(AND(ISNUMBER(SEARCH("oil",LOWER(M513))),ISNUMBER(SEARCH("water",LOWER(M513)))),"OIL_WATER",IF(ISNUMBER(SEARCH("gas",LOWER(M513))),"GAS",IF(ISNUMBER(SEARCH("water",LOWER(M513))),"WATER",IF(ISNUMBER(SEARCH("oil",LOWER(M513))),"OIL","UNKNOWN")))))))</f>
        <v/>
      </c>
      <c r="R513" s="12">
        <f>IF(C513="","",C513)</f>
        <v/>
      </c>
      <c r="S513" s="12">
        <f>IF(R513="","",R513+IF(O513&lt;&gt;"",O513,IF(H513="",0,H513)))</f>
        <v/>
      </c>
      <c r="T513" s="12">
        <f>IF(R513="","",MAX(Settings!$B$3,Settings!$B$4*IF(O513&lt;&gt;"",O513,IF(H513="",0,H513))))</f>
        <v/>
      </c>
      <c r="U513" s="11">
        <f>IF(AND(C513&lt;&gt;"",M513&lt;&gt;"",OR(H513&lt;&gt;"",O513&lt;&gt;"")),"COMPLETE",IF(OR(C513&lt;&gt;"",M513&lt;&gt;""),"PARTIAL","MISSING"))</f>
        <v/>
      </c>
      <c r="V513" s="11">
        <f>IF(Q513="UNKNOWN","Check fluid description",IF(AND(R513&lt;&gt;"",S513&lt;&gt;""),"Ready for contact screening","Needs TVD + thickness"))</f>
        <v/>
      </c>
    </row>
    <row r="514">
      <c r="A514" s="9" t="n"/>
      <c r="B514" s="9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9" t="n"/>
      <c r="N514" s="9" t="n"/>
      <c r="O514" s="10" t="n"/>
      <c r="P514" s="9" t="n"/>
      <c r="Q514" s="11">
        <f>IF(P514&lt;&gt;"",P514,IF(M514="","UNKNOWN",IF(AND(ISNUMBER(SEARCH("gas",LOWER(M514))),ISNUMBER(SEARCH("water",LOWER(M514)))),"GAS_WATER",IF(AND(ISNUMBER(SEARCH("oil",LOWER(M514))),ISNUMBER(SEARCH("water",LOWER(M514)))),"OIL_WATER",IF(ISNUMBER(SEARCH("gas",LOWER(M514))),"GAS",IF(ISNUMBER(SEARCH("water",LOWER(M514))),"WATER",IF(ISNUMBER(SEARCH("oil",LOWER(M514))),"OIL","UNKNOWN")))))))</f>
        <v/>
      </c>
      <c r="R514" s="12">
        <f>IF(C514="","",C514)</f>
        <v/>
      </c>
      <c r="S514" s="12">
        <f>IF(R514="","",R514+IF(O514&lt;&gt;"",O514,IF(H514="",0,H514)))</f>
        <v/>
      </c>
      <c r="T514" s="12">
        <f>IF(R514="","",MAX(Settings!$B$3,Settings!$B$4*IF(O514&lt;&gt;"",O514,IF(H514="",0,H514))))</f>
        <v/>
      </c>
      <c r="U514" s="11">
        <f>IF(AND(C514&lt;&gt;"",M514&lt;&gt;"",OR(H514&lt;&gt;"",O514&lt;&gt;"")),"COMPLETE",IF(OR(C514&lt;&gt;"",M514&lt;&gt;""),"PARTIAL","MISSING"))</f>
        <v/>
      </c>
      <c r="V514" s="11">
        <f>IF(Q514="UNKNOWN","Check fluid description",IF(AND(R514&lt;&gt;"",S514&lt;&gt;""),"Ready for contact screening","Needs TVD + thickness"))</f>
        <v/>
      </c>
    </row>
    <row r="515">
      <c r="A515" s="9" t="n"/>
      <c r="B515" s="9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9" t="n"/>
      <c r="N515" s="9" t="n"/>
      <c r="O515" s="10" t="n"/>
      <c r="P515" s="9" t="n"/>
      <c r="Q515" s="11">
        <f>IF(P515&lt;&gt;"",P515,IF(M515="","UNKNOWN",IF(AND(ISNUMBER(SEARCH("gas",LOWER(M515))),ISNUMBER(SEARCH("water",LOWER(M515)))),"GAS_WATER",IF(AND(ISNUMBER(SEARCH("oil",LOWER(M515))),ISNUMBER(SEARCH("water",LOWER(M515)))),"OIL_WATER",IF(ISNUMBER(SEARCH("gas",LOWER(M515))),"GAS",IF(ISNUMBER(SEARCH("water",LOWER(M515))),"WATER",IF(ISNUMBER(SEARCH("oil",LOWER(M515))),"OIL","UNKNOWN")))))))</f>
        <v/>
      </c>
      <c r="R515" s="12">
        <f>IF(C515="","",C515)</f>
        <v/>
      </c>
      <c r="S515" s="12">
        <f>IF(R515="","",R515+IF(O515&lt;&gt;"",O515,IF(H515="",0,H515)))</f>
        <v/>
      </c>
      <c r="T515" s="12">
        <f>IF(R515="","",MAX(Settings!$B$3,Settings!$B$4*IF(O515&lt;&gt;"",O515,IF(H515="",0,H515))))</f>
        <v/>
      </c>
      <c r="U515" s="11">
        <f>IF(AND(C515&lt;&gt;"",M515&lt;&gt;"",OR(H515&lt;&gt;"",O515&lt;&gt;"")),"COMPLETE",IF(OR(C515&lt;&gt;"",M515&lt;&gt;""),"PARTIAL","MISSING"))</f>
        <v/>
      </c>
      <c r="V515" s="11">
        <f>IF(Q515="UNKNOWN","Check fluid description",IF(AND(R515&lt;&gt;"",S515&lt;&gt;""),"Ready for contact screening","Needs TVD + thickness"))</f>
        <v/>
      </c>
    </row>
    <row r="516">
      <c r="A516" s="9" t="n"/>
      <c r="B516" s="9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9" t="n"/>
      <c r="N516" s="9" t="n"/>
      <c r="O516" s="10" t="n"/>
      <c r="P516" s="9" t="n"/>
      <c r="Q516" s="11">
        <f>IF(P516&lt;&gt;"",P516,IF(M516="","UNKNOWN",IF(AND(ISNUMBER(SEARCH("gas",LOWER(M516))),ISNUMBER(SEARCH("water",LOWER(M516)))),"GAS_WATER",IF(AND(ISNUMBER(SEARCH("oil",LOWER(M516))),ISNUMBER(SEARCH("water",LOWER(M516)))),"OIL_WATER",IF(ISNUMBER(SEARCH("gas",LOWER(M516))),"GAS",IF(ISNUMBER(SEARCH("water",LOWER(M516))),"WATER",IF(ISNUMBER(SEARCH("oil",LOWER(M516))),"OIL","UNKNOWN")))))))</f>
        <v/>
      </c>
      <c r="R516" s="12">
        <f>IF(C516="","",C516)</f>
        <v/>
      </c>
      <c r="S516" s="12">
        <f>IF(R516="","",R516+IF(O516&lt;&gt;"",O516,IF(H516="",0,H516)))</f>
        <v/>
      </c>
      <c r="T516" s="12">
        <f>IF(R516="","",MAX(Settings!$B$3,Settings!$B$4*IF(O516&lt;&gt;"",O516,IF(H516="",0,H516))))</f>
        <v/>
      </c>
      <c r="U516" s="11">
        <f>IF(AND(C516&lt;&gt;"",M516&lt;&gt;"",OR(H516&lt;&gt;"",O516&lt;&gt;"")),"COMPLETE",IF(OR(C516&lt;&gt;"",M516&lt;&gt;""),"PARTIAL","MISSING"))</f>
        <v/>
      </c>
      <c r="V516" s="11">
        <f>IF(Q516="UNKNOWN","Check fluid description",IF(AND(R516&lt;&gt;"",S516&lt;&gt;""),"Ready for contact screening","Needs TVD + thickness"))</f>
        <v/>
      </c>
    </row>
    <row r="517">
      <c r="A517" s="9" t="n"/>
      <c r="B517" s="9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9" t="n"/>
      <c r="N517" s="9" t="n"/>
      <c r="O517" s="10" t="n"/>
      <c r="P517" s="9" t="n"/>
      <c r="Q517" s="11">
        <f>IF(P517&lt;&gt;"",P517,IF(M517="","UNKNOWN",IF(AND(ISNUMBER(SEARCH("gas",LOWER(M517))),ISNUMBER(SEARCH("water",LOWER(M517)))),"GAS_WATER",IF(AND(ISNUMBER(SEARCH("oil",LOWER(M517))),ISNUMBER(SEARCH("water",LOWER(M517)))),"OIL_WATER",IF(ISNUMBER(SEARCH("gas",LOWER(M517))),"GAS",IF(ISNUMBER(SEARCH("water",LOWER(M517))),"WATER",IF(ISNUMBER(SEARCH("oil",LOWER(M517))),"OIL","UNKNOWN")))))))</f>
        <v/>
      </c>
      <c r="R517" s="12">
        <f>IF(C517="","",C517)</f>
        <v/>
      </c>
      <c r="S517" s="12">
        <f>IF(R517="","",R517+IF(O517&lt;&gt;"",O517,IF(H517="",0,H517)))</f>
        <v/>
      </c>
      <c r="T517" s="12">
        <f>IF(R517="","",MAX(Settings!$B$3,Settings!$B$4*IF(O517&lt;&gt;"",O517,IF(H517="",0,H517))))</f>
        <v/>
      </c>
      <c r="U517" s="11">
        <f>IF(AND(C517&lt;&gt;"",M517&lt;&gt;"",OR(H517&lt;&gt;"",O517&lt;&gt;"")),"COMPLETE",IF(OR(C517&lt;&gt;"",M517&lt;&gt;""),"PARTIAL","MISSING"))</f>
        <v/>
      </c>
      <c r="V517" s="11">
        <f>IF(Q517="UNKNOWN","Check fluid description",IF(AND(R517&lt;&gt;"",S517&lt;&gt;""),"Ready for contact screening","Needs TVD + thickness"))</f>
        <v/>
      </c>
    </row>
    <row r="518">
      <c r="A518" s="9" t="n"/>
      <c r="B518" s="9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9" t="n"/>
      <c r="N518" s="9" t="n"/>
      <c r="O518" s="10" t="n"/>
      <c r="P518" s="9" t="n"/>
      <c r="Q518" s="11">
        <f>IF(P518&lt;&gt;"",P518,IF(M518="","UNKNOWN",IF(AND(ISNUMBER(SEARCH("gas",LOWER(M518))),ISNUMBER(SEARCH("water",LOWER(M518)))),"GAS_WATER",IF(AND(ISNUMBER(SEARCH("oil",LOWER(M518))),ISNUMBER(SEARCH("water",LOWER(M518)))),"OIL_WATER",IF(ISNUMBER(SEARCH("gas",LOWER(M518))),"GAS",IF(ISNUMBER(SEARCH("water",LOWER(M518))),"WATER",IF(ISNUMBER(SEARCH("oil",LOWER(M518))),"OIL","UNKNOWN")))))))</f>
        <v/>
      </c>
      <c r="R518" s="12">
        <f>IF(C518="","",C518)</f>
        <v/>
      </c>
      <c r="S518" s="12">
        <f>IF(R518="","",R518+IF(O518&lt;&gt;"",O518,IF(H518="",0,H518)))</f>
        <v/>
      </c>
      <c r="T518" s="12">
        <f>IF(R518="","",MAX(Settings!$B$3,Settings!$B$4*IF(O518&lt;&gt;"",O518,IF(H518="",0,H518))))</f>
        <v/>
      </c>
      <c r="U518" s="11">
        <f>IF(AND(C518&lt;&gt;"",M518&lt;&gt;"",OR(H518&lt;&gt;"",O518&lt;&gt;"")),"COMPLETE",IF(OR(C518&lt;&gt;"",M518&lt;&gt;""),"PARTIAL","MISSING"))</f>
        <v/>
      </c>
      <c r="V518" s="11">
        <f>IF(Q518="UNKNOWN","Check fluid description",IF(AND(R518&lt;&gt;"",S518&lt;&gt;""),"Ready for contact screening","Needs TVD + thickness"))</f>
        <v/>
      </c>
    </row>
    <row r="519">
      <c r="A519" s="9" t="n"/>
      <c r="B519" s="9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9" t="n"/>
      <c r="N519" s="9" t="n"/>
      <c r="O519" s="10" t="n"/>
      <c r="P519" s="9" t="n"/>
      <c r="Q519" s="11">
        <f>IF(P519&lt;&gt;"",P519,IF(M519="","UNKNOWN",IF(AND(ISNUMBER(SEARCH("gas",LOWER(M519))),ISNUMBER(SEARCH("water",LOWER(M519)))),"GAS_WATER",IF(AND(ISNUMBER(SEARCH("oil",LOWER(M519))),ISNUMBER(SEARCH("water",LOWER(M519)))),"OIL_WATER",IF(ISNUMBER(SEARCH("gas",LOWER(M519))),"GAS",IF(ISNUMBER(SEARCH("water",LOWER(M519))),"WATER",IF(ISNUMBER(SEARCH("oil",LOWER(M519))),"OIL","UNKNOWN")))))))</f>
        <v/>
      </c>
      <c r="R519" s="12">
        <f>IF(C519="","",C519)</f>
        <v/>
      </c>
      <c r="S519" s="12">
        <f>IF(R519="","",R519+IF(O519&lt;&gt;"",O519,IF(H519="",0,H519)))</f>
        <v/>
      </c>
      <c r="T519" s="12">
        <f>IF(R519="","",MAX(Settings!$B$3,Settings!$B$4*IF(O519&lt;&gt;"",O519,IF(H519="",0,H519))))</f>
        <v/>
      </c>
      <c r="U519" s="11">
        <f>IF(AND(C519&lt;&gt;"",M519&lt;&gt;"",OR(H519&lt;&gt;"",O519&lt;&gt;"")),"COMPLETE",IF(OR(C519&lt;&gt;"",M519&lt;&gt;""),"PARTIAL","MISSING"))</f>
        <v/>
      </c>
      <c r="V519" s="11">
        <f>IF(Q519="UNKNOWN","Check fluid description",IF(AND(R519&lt;&gt;"",S519&lt;&gt;""),"Ready for contact screening","Needs TVD + thickness"))</f>
        <v/>
      </c>
    </row>
    <row r="520">
      <c r="A520" s="9" t="n"/>
      <c r="B520" s="9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9" t="n"/>
      <c r="N520" s="9" t="n"/>
      <c r="O520" s="10" t="n"/>
      <c r="P520" s="9" t="n"/>
      <c r="Q520" s="11">
        <f>IF(P520&lt;&gt;"",P520,IF(M520="","UNKNOWN",IF(AND(ISNUMBER(SEARCH("gas",LOWER(M520))),ISNUMBER(SEARCH("water",LOWER(M520)))),"GAS_WATER",IF(AND(ISNUMBER(SEARCH("oil",LOWER(M520))),ISNUMBER(SEARCH("water",LOWER(M520)))),"OIL_WATER",IF(ISNUMBER(SEARCH("gas",LOWER(M520))),"GAS",IF(ISNUMBER(SEARCH("water",LOWER(M520))),"WATER",IF(ISNUMBER(SEARCH("oil",LOWER(M520))),"OIL","UNKNOWN")))))))</f>
        <v/>
      </c>
      <c r="R520" s="12">
        <f>IF(C520="","",C520)</f>
        <v/>
      </c>
      <c r="S520" s="12">
        <f>IF(R520="","",R520+IF(O520&lt;&gt;"",O520,IF(H520="",0,H520)))</f>
        <v/>
      </c>
      <c r="T520" s="12">
        <f>IF(R520="","",MAX(Settings!$B$3,Settings!$B$4*IF(O520&lt;&gt;"",O520,IF(H520="",0,H520))))</f>
        <v/>
      </c>
      <c r="U520" s="11">
        <f>IF(AND(C520&lt;&gt;"",M520&lt;&gt;"",OR(H520&lt;&gt;"",O520&lt;&gt;"")),"COMPLETE",IF(OR(C520&lt;&gt;"",M520&lt;&gt;""),"PARTIAL","MISSING"))</f>
        <v/>
      </c>
      <c r="V520" s="11">
        <f>IF(Q520="UNKNOWN","Check fluid description",IF(AND(R520&lt;&gt;"",S520&lt;&gt;""),"Ready for contact screening","Needs TVD + thickness"))</f>
        <v/>
      </c>
    </row>
    <row r="521">
      <c r="A521" s="9" t="n"/>
      <c r="B521" s="9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9" t="n"/>
      <c r="N521" s="9" t="n"/>
      <c r="O521" s="10" t="n"/>
      <c r="P521" s="9" t="n"/>
      <c r="Q521" s="11">
        <f>IF(P521&lt;&gt;"",P521,IF(M521="","UNKNOWN",IF(AND(ISNUMBER(SEARCH("gas",LOWER(M521))),ISNUMBER(SEARCH("water",LOWER(M521)))),"GAS_WATER",IF(AND(ISNUMBER(SEARCH("oil",LOWER(M521))),ISNUMBER(SEARCH("water",LOWER(M521)))),"OIL_WATER",IF(ISNUMBER(SEARCH("gas",LOWER(M521))),"GAS",IF(ISNUMBER(SEARCH("water",LOWER(M521))),"WATER",IF(ISNUMBER(SEARCH("oil",LOWER(M521))),"OIL","UNKNOWN")))))))</f>
        <v/>
      </c>
      <c r="R521" s="12">
        <f>IF(C521="","",C521)</f>
        <v/>
      </c>
      <c r="S521" s="12">
        <f>IF(R521="","",R521+IF(O521&lt;&gt;"",O521,IF(H521="",0,H521)))</f>
        <v/>
      </c>
      <c r="T521" s="12">
        <f>IF(R521="","",MAX(Settings!$B$3,Settings!$B$4*IF(O521&lt;&gt;"",O521,IF(H521="",0,H521))))</f>
        <v/>
      </c>
      <c r="U521" s="11">
        <f>IF(AND(C521&lt;&gt;"",M521&lt;&gt;"",OR(H521&lt;&gt;"",O521&lt;&gt;"")),"COMPLETE",IF(OR(C521&lt;&gt;"",M521&lt;&gt;""),"PARTIAL","MISSING"))</f>
        <v/>
      </c>
      <c r="V521" s="11">
        <f>IF(Q521="UNKNOWN","Check fluid description",IF(AND(R521&lt;&gt;"",S521&lt;&gt;""),"Ready for contact screening","Needs TVD + thickness"))</f>
        <v/>
      </c>
    </row>
    <row r="522">
      <c r="A522" s="9" t="n"/>
      <c r="B522" s="9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9" t="n"/>
      <c r="N522" s="9" t="n"/>
      <c r="O522" s="10" t="n"/>
      <c r="P522" s="9" t="n"/>
      <c r="Q522" s="11">
        <f>IF(P522&lt;&gt;"",P522,IF(M522="","UNKNOWN",IF(AND(ISNUMBER(SEARCH("gas",LOWER(M522))),ISNUMBER(SEARCH("water",LOWER(M522)))),"GAS_WATER",IF(AND(ISNUMBER(SEARCH("oil",LOWER(M522))),ISNUMBER(SEARCH("water",LOWER(M522)))),"OIL_WATER",IF(ISNUMBER(SEARCH("gas",LOWER(M522))),"GAS",IF(ISNUMBER(SEARCH("water",LOWER(M522))),"WATER",IF(ISNUMBER(SEARCH("oil",LOWER(M522))),"OIL","UNKNOWN")))))))</f>
        <v/>
      </c>
      <c r="R522" s="12">
        <f>IF(C522="","",C522)</f>
        <v/>
      </c>
      <c r="S522" s="12">
        <f>IF(R522="","",R522+IF(O522&lt;&gt;"",O522,IF(H522="",0,H522)))</f>
        <v/>
      </c>
      <c r="T522" s="12">
        <f>IF(R522="","",MAX(Settings!$B$3,Settings!$B$4*IF(O522&lt;&gt;"",O522,IF(H522="",0,H522))))</f>
        <v/>
      </c>
      <c r="U522" s="11">
        <f>IF(AND(C522&lt;&gt;"",M522&lt;&gt;"",OR(H522&lt;&gt;"",O522&lt;&gt;"")),"COMPLETE",IF(OR(C522&lt;&gt;"",M522&lt;&gt;""),"PARTIAL","MISSING"))</f>
        <v/>
      </c>
      <c r="V522" s="11">
        <f>IF(Q522="UNKNOWN","Check fluid description",IF(AND(R522&lt;&gt;"",S522&lt;&gt;""),"Ready for contact screening","Needs TVD + thickness"))</f>
        <v/>
      </c>
    </row>
    <row r="523">
      <c r="A523" s="9" t="n"/>
      <c r="B523" s="9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9" t="n"/>
      <c r="N523" s="9" t="n"/>
      <c r="O523" s="10" t="n"/>
      <c r="P523" s="9" t="n"/>
      <c r="Q523" s="11">
        <f>IF(P523&lt;&gt;"",P523,IF(M523="","UNKNOWN",IF(AND(ISNUMBER(SEARCH("gas",LOWER(M523))),ISNUMBER(SEARCH("water",LOWER(M523)))),"GAS_WATER",IF(AND(ISNUMBER(SEARCH("oil",LOWER(M523))),ISNUMBER(SEARCH("water",LOWER(M523)))),"OIL_WATER",IF(ISNUMBER(SEARCH("gas",LOWER(M523))),"GAS",IF(ISNUMBER(SEARCH("water",LOWER(M523))),"WATER",IF(ISNUMBER(SEARCH("oil",LOWER(M523))),"OIL","UNKNOWN")))))))</f>
        <v/>
      </c>
      <c r="R523" s="12">
        <f>IF(C523="","",C523)</f>
        <v/>
      </c>
      <c r="S523" s="12">
        <f>IF(R523="","",R523+IF(O523&lt;&gt;"",O523,IF(H523="",0,H523)))</f>
        <v/>
      </c>
      <c r="T523" s="12">
        <f>IF(R523="","",MAX(Settings!$B$3,Settings!$B$4*IF(O523&lt;&gt;"",O523,IF(H523="",0,H523))))</f>
        <v/>
      </c>
      <c r="U523" s="11">
        <f>IF(AND(C523&lt;&gt;"",M523&lt;&gt;"",OR(H523&lt;&gt;"",O523&lt;&gt;"")),"COMPLETE",IF(OR(C523&lt;&gt;"",M523&lt;&gt;""),"PARTIAL","MISSING"))</f>
        <v/>
      </c>
      <c r="V523" s="11">
        <f>IF(Q523="UNKNOWN","Check fluid description",IF(AND(R523&lt;&gt;"",S523&lt;&gt;""),"Ready for contact screening","Needs TVD + thickness"))</f>
        <v/>
      </c>
    </row>
    <row r="524">
      <c r="A524" s="9" t="n"/>
      <c r="B524" s="9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9" t="n"/>
      <c r="N524" s="9" t="n"/>
      <c r="O524" s="10" t="n"/>
      <c r="P524" s="9" t="n"/>
      <c r="Q524" s="11">
        <f>IF(P524&lt;&gt;"",P524,IF(M524="","UNKNOWN",IF(AND(ISNUMBER(SEARCH("gas",LOWER(M524))),ISNUMBER(SEARCH("water",LOWER(M524)))),"GAS_WATER",IF(AND(ISNUMBER(SEARCH("oil",LOWER(M524))),ISNUMBER(SEARCH("water",LOWER(M524)))),"OIL_WATER",IF(ISNUMBER(SEARCH("gas",LOWER(M524))),"GAS",IF(ISNUMBER(SEARCH("water",LOWER(M524))),"WATER",IF(ISNUMBER(SEARCH("oil",LOWER(M524))),"OIL","UNKNOWN")))))))</f>
        <v/>
      </c>
      <c r="R524" s="12">
        <f>IF(C524="","",C524)</f>
        <v/>
      </c>
      <c r="S524" s="12">
        <f>IF(R524="","",R524+IF(O524&lt;&gt;"",O524,IF(H524="",0,H524)))</f>
        <v/>
      </c>
      <c r="T524" s="12">
        <f>IF(R524="","",MAX(Settings!$B$3,Settings!$B$4*IF(O524&lt;&gt;"",O524,IF(H524="",0,H524))))</f>
        <v/>
      </c>
      <c r="U524" s="11">
        <f>IF(AND(C524&lt;&gt;"",M524&lt;&gt;"",OR(H524&lt;&gt;"",O524&lt;&gt;"")),"COMPLETE",IF(OR(C524&lt;&gt;"",M524&lt;&gt;""),"PARTIAL","MISSING"))</f>
        <v/>
      </c>
      <c r="V524" s="11">
        <f>IF(Q524="UNKNOWN","Check fluid description",IF(AND(R524&lt;&gt;"",S524&lt;&gt;""),"Ready for contact screening","Needs TVD + thickness"))</f>
        <v/>
      </c>
    </row>
    <row r="525">
      <c r="A525" s="9" t="n"/>
      <c r="B525" s="9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9" t="n"/>
      <c r="N525" s="9" t="n"/>
      <c r="O525" s="10" t="n"/>
      <c r="P525" s="9" t="n"/>
      <c r="Q525" s="11">
        <f>IF(P525&lt;&gt;"",P525,IF(M525="","UNKNOWN",IF(AND(ISNUMBER(SEARCH("gas",LOWER(M525))),ISNUMBER(SEARCH("water",LOWER(M525)))),"GAS_WATER",IF(AND(ISNUMBER(SEARCH("oil",LOWER(M525))),ISNUMBER(SEARCH("water",LOWER(M525)))),"OIL_WATER",IF(ISNUMBER(SEARCH("gas",LOWER(M525))),"GAS",IF(ISNUMBER(SEARCH("water",LOWER(M525))),"WATER",IF(ISNUMBER(SEARCH("oil",LOWER(M525))),"OIL","UNKNOWN")))))))</f>
        <v/>
      </c>
      <c r="R525" s="12">
        <f>IF(C525="","",C525)</f>
        <v/>
      </c>
      <c r="S525" s="12">
        <f>IF(R525="","",R525+IF(O525&lt;&gt;"",O525,IF(H525="",0,H525)))</f>
        <v/>
      </c>
      <c r="T525" s="12">
        <f>IF(R525="","",MAX(Settings!$B$3,Settings!$B$4*IF(O525&lt;&gt;"",O525,IF(H525="",0,H525))))</f>
        <v/>
      </c>
      <c r="U525" s="11">
        <f>IF(AND(C525&lt;&gt;"",M525&lt;&gt;"",OR(H525&lt;&gt;"",O525&lt;&gt;"")),"COMPLETE",IF(OR(C525&lt;&gt;"",M525&lt;&gt;""),"PARTIAL","MISSING"))</f>
        <v/>
      </c>
      <c r="V525" s="11">
        <f>IF(Q525="UNKNOWN","Check fluid description",IF(AND(R525&lt;&gt;"",S525&lt;&gt;""),"Ready for contact screening","Needs TVD + thickness"))</f>
        <v/>
      </c>
    </row>
    <row r="526">
      <c r="A526" s="9" t="n"/>
      <c r="B526" s="9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9" t="n"/>
      <c r="N526" s="9" t="n"/>
      <c r="O526" s="10" t="n"/>
      <c r="P526" s="9" t="n"/>
      <c r="Q526" s="11">
        <f>IF(P526&lt;&gt;"",P526,IF(M526="","UNKNOWN",IF(AND(ISNUMBER(SEARCH("gas",LOWER(M526))),ISNUMBER(SEARCH("water",LOWER(M526)))),"GAS_WATER",IF(AND(ISNUMBER(SEARCH("oil",LOWER(M526))),ISNUMBER(SEARCH("water",LOWER(M526)))),"OIL_WATER",IF(ISNUMBER(SEARCH("gas",LOWER(M526))),"GAS",IF(ISNUMBER(SEARCH("water",LOWER(M526))),"WATER",IF(ISNUMBER(SEARCH("oil",LOWER(M526))),"OIL","UNKNOWN")))))))</f>
        <v/>
      </c>
      <c r="R526" s="12">
        <f>IF(C526="","",C526)</f>
        <v/>
      </c>
      <c r="S526" s="12">
        <f>IF(R526="","",R526+IF(O526&lt;&gt;"",O526,IF(H526="",0,H526)))</f>
        <v/>
      </c>
      <c r="T526" s="12">
        <f>IF(R526="","",MAX(Settings!$B$3,Settings!$B$4*IF(O526&lt;&gt;"",O526,IF(H526="",0,H526))))</f>
        <v/>
      </c>
      <c r="U526" s="11">
        <f>IF(AND(C526&lt;&gt;"",M526&lt;&gt;"",OR(H526&lt;&gt;"",O526&lt;&gt;"")),"COMPLETE",IF(OR(C526&lt;&gt;"",M526&lt;&gt;""),"PARTIAL","MISSING"))</f>
        <v/>
      </c>
      <c r="V526" s="11">
        <f>IF(Q526="UNKNOWN","Check fluid description",IF(AND(R526&lt;&gt;"",S526&lt;&gt;""),"Ready for contact screening","Needs TVD + thickness"))</f>
        <v/>
      </c>
    </row>
    <row r="527">
      <c r="A527" s="9" t="n"/>
      <c r="B527" s="9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9" t="n"/>
      <c r="N527" s="9" t="n"/>
      <c r="O527" s="10" t="n"/>
      <c r="P527" s="9" t="n"/>
      <c r="Q527" s="11">
        <f>IF(P527&lt;&gt;"",P527,IF(M527="","UNKNOWN",IF(AND(ISNUMBER(SEARCH("gas",LOWER(M527))),ISNUMBER(SEARCH("water",LOWER(M527)))),"GAS_WATER",IF(AND(ISNUMBER(SEARCH("oil",LOWER(M527))),ISNUMBER(SEARCH("water",LOWER(M527)))),"OIL_WATER",IF(ISNUMBER(SEARCH("gas",LOWER(M527))),"GAS",IF(ISNUMBER(SEARCH("water",LOWER(M527))),"WATER",IF(ISNUMBER(SEARCH("oil",LOWER(M527))),"OIL","UNKNOWN")))))))</f>
        <v/>
      </c>
      <c r="R527" s="12">
        <f>IF(C527="","",C527)</f>
        <v/>
      </c>
      <c r="S527" s="12">
        <f>IF(R527="","",R527+IF(O527&lt;&gt;"",O527,IF(H527="",0,H527)))</f>
        <v/>
      </c>
      <c r="T527" s="12">
        <f>IF(R527="","",MAX(Settings!$B$3,Settings!$B$4*IF(O527&lt;&gt;"",O527,IF(H527="",0,H527))))</f>
        <v/>
      </c>
      <c r="U527" s="11">
        <f>IF(AND(C527&lt;&gt;"",M527&lt;&gt;"",OR(H527&lt;&gt;"",O527&lt;&gt;"")),"COMPLETE",IF(OR(C527&lt;&gt;"",M527&lt;&gt;""),"PARTIAL","MISSING"))</f>
        <v/>
      </c>
      <c r="V527" s="11">
        <f>IF(Q527="UNKNOWN","Check fluid description",IF(AND(R527&lt;&gt;"",S527&lt;&gt;""),"Ready for contact screening","Needs TVD + thickness"))</f>
        <v/>
      </c>
    </row>
    <row r="528">
      <c r="A528" s="9" t="n"/>
      <c r="B528" s="9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9" t="n"/>
      <c r="N528" s="9" t="n"/>
      <c r="O528" s="10" t="n"/>
      <c r="P528" s="9" t="n"/>
      <c r="Q528" s="11">
        <f>IF(P528&lt;&gt;"",P528,IF(M528="","UNKNOWN",IF(AND(ISNUMBER(SEARCH("gas",LOWER(M528))),ISNUMBER(SEARCH("water",LOWER(M528)))),"GAS_WATER",IF(AND(ISNUMBER(SEARCH("oil",LOWER(M528))),ISNUMBER(SEARCH("water",LOWER(M528)))),"OIL_WATER",IF(ISNUMBER(SEARCH("gas",LOWER(M528))),"GAS",IF(ISNUMBER(SEARCH("water",LOWER(M528))),"WATER",IF(ISNUMBER(SEARCH("oil",LOWER(M528))),"OIL","UNKNOWN")))))))</f>
        <v/>
      </c>
      <c r="R528" s="12">
        <f>IF(C528="","",C528)</f>
        <v/>
      </c>
      <c r="S528" s="12">
        <f>IF(R528="","",R528+IF(O528&lt;&gt;"",O528,IF(H528="",0,H528)))</f>
        <v/>
      </c>
      <c r="T528" s="12">
        <f>IF(R528="","",MAX(Settings!$B$3,Settings!$B$4*IF(O528&lt;&gt;"",O528,IF(H528="",0,H528))))</f>
        <v/>
      </c>
      <c r="U528" s="11">
        <f>IF(AND(C528&lt;&gt;"",M528&lt;&gt;"",OR(H528&lt;&gt;"",O528&lt;&gt;"")),"COMPLETE",IF(OR(C528&lt;&gt;"",M528&lt;&gt;""),"PARTIAL","MISSING"))</f>
        <v/>
      </c>
      <c r="V528" s="11">
        <f>IF(Q528="UNKNOWN","Check fluid description",IF(AND(R528&lt;&gt;"",S528&lt;&gt;""),"Ready for contact screening","Needs TVD + thickness"))</f>
        <v/>
      </c>
    </row>
    <row r="529">
      <c r="A529" s="9" t="n"/>
      <c r="B529" s="9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9" t="n"/>
      <c r="N529" s="9" t="n"/>
      <c r="O529" s="10" t="n"/>
      <c r="P529" s="9" t="n"/>
      <c r="Q529" s="11">
        <f>IF(P529&lt;&gt;"",P529,IF(M529="","UNKNOWN",IF(AND(ISNUMBER(SEARCH("gas",LOWER(M529))),ISNUMBER(SEARCH("water",LOWER(M529)))),"GAS_WATER",IF(AND(ISNUMBER(SEARCH("oil",LOWER(M529))),ISNUMBER(SEARCH("water",LOWER(M529)))),"OIL_WATER",IF(ISNUMBER(SEARCH("gas",LOWER(M529))),"GAS",IF(ISNUMBER(SEARCH("water",LOWER(M529))),"WATER",IF(ISNUMBER(SEARCH("oil",LOWER(M529))),"OIL","UNKNOWN")))))))</f>
        <v/>
      </c>
      <c r="R529" s="12">
        <f>IF(C529="","",C529)</f>
        <v/>
      </c>
      <c r="S529" s="12">
        <f>IF(R529="","",R529+IF(O529&lt;&gt;"",O529,IF(H529="",0,H529)))</f>
        <v/>
      </c>
      <c r="T529" s="12">
        <f>IF(R529="","",MAX(Settings!$B$3,Settings!$B$4*IF(O529&lt;&gt;"",O529,IF(H529="",0,H529))))</f>
        <v/>
      </c>
      <c r="U529" s="11">
        <f>IF(AND(C529&lt;&gt;"",M529&lt;&gt;"",OR(H529&lt;&gt;"",O529&lt;&gt;"")),"COMPLETE",IF(OR(C529&lt;&gt;"",M529&lt;&gt;""),"PARTIAL","MISSING"))</f>
        <v/>
      </c>
      <c r="V529" s="11">
        <f>IF(Q529="UNKNOWN","Check fluid description",IF(AND(R529&lt;&gt;"",S529&lt;&gt;""),"Ready for contact screening","Needs TVD + thickness"))</f>
        <v/>
      </c>
    </row>
    <row r="530">
      <c r="A530" s="9" t="n"/>
      <c r="B530" s="9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9" t="n"/>
      <c r="N530" s="9" t="n"/>
      <c r="O530" s="10" t="n"/>
      <c r="P530" s="9" t="n"/>
      <c r="Q530" s="11">
        <f>IF(P530&lt;&gt;"",P530,IF(M530="","UNKNOWN",IF(AND(ISNUMBER(SEARCH("gas",LOWER(M530))),ISNUMBER(SEARCH("water",LOWER(M530)))),"GAS_WATER",IF(AND(ISNUMBER(SEARCH("oil",LOWER(M530))),ISNUMBER(SEARCH("water",LOWER(M530)))),"OIL_WATER",IF(ISNUMBER(SEARCH("gas",LOWER(M530))),"GAS",IF(ISNUMBER(SEARCH("water",LOWER(M530))),"WATER",IF(ISNUMBER(SEARCH("oil",LOWER(M530))),"OIL","UNKNOWN")))))))</f>
        <v/>
      </c>
      <c r="R530" s="12">
        <f>IF(C530="","",C530)</f>
        <v/>
      </c>
      <c r="S530" s="12">
        <f>IF(R530="","",R530+IF(O530&lt;&gt;"",O530,IF(H530="",0,H530)))</f>
        <v/>
      </c>
      <c r="T530" s="12">
        <f>IF(R530="","",MAX(Settings!$B$3,Settings!$B$4*IF(O530&lt;&gt;"",O530,IF(H530="",0,H530))))</f>
        <v/>
      </c>
      <c r="U530" s="11">
        <f>IF(AND(C530&lt;&gt;"",M530&lt;&gt;"",OR(H530&lt;&gt;"",O530&lt;&gt;"")),"COMPLETE",IF(OR(C530&lt;&gt;"",M530&lt;&gt;""),"PARTIAL","MISSING"))</f>
        <v/>
      </c>
      <c r="V530" s="11">
        <f>IF(Q530="UNKNOWN","Check fluid description",IF(AND(R530&lt;&gt;"",S530&lt;&gt;""),"Ready for contact screening","Needs TVD + thickness"))</f>
        <v/>
      </c>
    </row>
    <row r="531">
      <c r="A531" s="9" t="n"/>
      <c r="B531" s="9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9" t="n"/>
      <c r="N531" s="9" t="n"/>
      <c r="O531" s="10" t="n"/>
      <c r="P531" s="9" t="n"/>
      <c r="Q531" s="11">
        <f>IF(P531&lt;&gt;"",P531,IF(M531="","UNKNOWN",IF(AND(ISNUMBER(SEARCH("gas",LOWER(M531))),ISNUMBER(SEARCH("water",LOWER(M531)))),"GAS_WATER",IF(AND(ISNUMBER(SEARCH("oil",LOWER(M531))),ISNUMBER(SEARCH("water",LOWER(M531)))),"OIL_WATER",IF(ISNUMBER(SEARCH("gas",LOWER(M531))),"GAS",IF(ISNUMBER(SEARCH("water",LOWER(M531))),"WATER",IF(ISNUMBER(SEARCH("oil",LOWER(M531))),"OIL","UNKNOWN")))))))</f>
        <v/>
      </c>
      <c r="R531" s="12">
        <f>IF(C531="","",C531)</f>
        <v/>
      </c>
      <c r="S531" s="12">
        <f>IF(R531="","",R531+IF(O531&lt;&gt;"",O531,IF(H531="",0,H531)))</f>
        <v/>
      </c>
      <c r="T531" s="12">
        <f>IF(R531="","",MAX(Settings!$B$3,Settings!$B$4*IF(O531&lt;&gt;"",O531,IF(H531="",0,H531))))</f>
        <v/>
      </c>
      <c r="U531" s="11">
        <f>IF(AND(C531&lt;&gt;"",M531&lt;&gt;"",OR(H531&lt;&gt;"",O531&lt;&gt;"")),"COMPLETE",IF(OR(C531&lt;&gt;"",M531&lt;&gt;""),"PARTIAL","MISSING"))</f>
        <v/>
      </c>
      <c r="V531" s="11">
        <f>IF(Q531="UNKNOWN","Check fluid description",IF(AND(R531&lt;&gt;"",S531&lt;&gt;""),"Ready for contact screening","Needs TVD + thickness"))</f>
        <v/>
      </c>
    </row>
    <row r="532">
      <c r="A532" s="9" t="n"/>
      <c r="B532" s="9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9" t="n"/>
      <c r="N532" s="9" t="n"/>
      <c r="O532" s="10" t="n"/>
      <c r="P532" s="9" t="n"/>
      <c r="Q532" s="11">
        <f>IF(P532&lt;&gt;"",P532,IF(M532="","UNKNOWN",IF(AND(ISNUMBER(SEARCH("gas",LOWER(M532))),ISNUMBER(SEARCH("water",LOWER(M532)))),"GAS_WATER",IF(AND(ISNUMBER(SEARCH("oil",LOWER(M532))),ISNUMBER(SEARCH("water",LOWER(M532)))),"OIL_WATER",IF(ISNUMBER(SEARCH("gas",LOWER(M532))),"GAS",IF(ISNUMBER(SEARCH("water",LOWER(M532))),"WATER",IF(ISNUMBER(SEARCH("oil",LOWER(M532))),"OIL","UNKNOWN")))))))</f>
        <v/>
      </c>
      <c r="R532" s="12">
        <f>IF(C532="","",C532)</f>
        <v/>
      </c>
      <c r="S532" s="12">
        <f>IF(R532="","",R532+IF(O532&lt;&gt;"",O532,IF(H532="",0,H532)))</f>
        <v/>
      </c>
      <c r="T532" s="12">
        <f>IF(R532="","",MAX(Settings!$B$3,Settings!$B$4*IF(O532&lt;&gt;"",O532,IF(H532="",0,H532))))</f>
        <v/>
      </c>
      <c r="U532" s="11">
        <f>IF(AND(C532&lt;&gt;"",M532&lt;&gt;"",OR(H532&lt;&gt;"",O532&lt;&gt;"")),"COMPLETE",IF(OR(C532&lt;&gt;"",M532&lt;&gt;""),"PARTIAL","MISSING"))</f>
        <v/>
      </c>
      <c r="V532" s="11">
        <f>IF(Q532="UNKNOWN","Check fluid description",IF(AND(R532&lt;&gt;"",S532&lt;&gt;""),"Ready for contact screening","Needs TVD + thickness"))</f>
        <v/>
      </c>
    </row>
    <row r="533">
      <c r="A533" s="9" t="n"/>
      <c r="B533" s="9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9" t="n"/>
      <c r="N533" s="9" t="n"/>
      <c r="O533" s="10" t="n"/>
      <c r="P533" s="9" t="n"/>
      <c r="Q533" s="11">
        <f>IF(P533&lt;&gt;"",P533,IF(M533="","UNKNOWN",IF(AND(ISNUMBER(SEARCH("gas",LOWER(M533))),ISNUMBER(SEARCH("water",LOWER(M533)))),"GAS_WATER",IF(AND(ISNUMBER(SEARCH("oil",LOWER(M533))),ISNUMBER(SEARCH("water",LOWER(M533)))),"OIL_WATER",IF(ISNUMBER(SEARCH("gas",LOWER(M533))),"GAS",IF(ISNUMBER(SEARCH("water",LOWER(M533))),"WATER",IF(ISNUMBER(SEARCH("oil",LOWER(M533))),"OIL","UNKNOWN")))))))</f>
        <v/>
      </c>
      <c r="R533" s="12">
        <f>IF(C533="","",C533)</f>
        <v/>
      </c>
      <c r="S533" s="12">
        <f>IF(R533="","",R533+IF(O533&lt;&gt;"",O533,IF(H533="",0,H533)))</f>
        <v/>
      </c>
      <c r="T533" s="12">
        <f>IF(R533="","",MAX(Settings!$B$3,Settings!$B$4*IF(O533&lt;&gt;"",O533,IF(H533="",0,H533))))</f>
        <v/>
      </c>
      <c r="U533" s="11">
        <f>IF(AND(C533&lt;&gt;"",M533&lt;&gt;"",OR(H533&lt;&gt;"",O533&lt;&gt;"")),"COMPLETE",IF(OR(C533&lt;&gt;"",M533&lt;&gt;""),"PARTIAL","MISSING"))</f>
        <v/>
      </c>
      <c r="V533" s="11">
        <f>IF(Q533="UNKNOWN","Check fluid description",IF(AND(R533&lt;&gt;"",S533&lt;&gt;""),"Ready for contact screening","Needs TVD + thickness"))</f>
        <v/>
      </c>
    </row>
    <row r="534">
      <c r="A534" s="9" t="n"/>
      <c r="B534" s="9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9" t="n"/>
      <c r="N534" s="9" t="n"/>
      <c r="O534" s="10" t="n"/>
      <c r="P534" s="9" t="n"/>
      <c r="Q534" s="11">
        <f>IF(P534&lt;&gt;"",P534,IF(M534="","UNKNOWN",IF(AND(ISNUMBER(SEARCH("gas",LOWER(M534))),ISNUMBER(SEARCH("water",LOWER(M534)))),"GAS_WATER",IF(AND(ISNUMBER(SEARCH("oil",LOWER(M534))),ISNUMBER(SEARCH("water",LOWER(M534)))),"OIL_WATER",IF(ISNUMBER(SEARCH("gas",LOWER(M534))),"GAS",IF(ISNUMBER(SEARCH("water",LOWER(M534))),"WATER",IF(ISNUMBER(SEARCH("oil",LOWER(M534))),"OIL","UNKNOWN")))))))</f>
        <v/>
      </c>
      <c r="R534" s="12">
        <f>IF(C534="","",C534)</f>
        <v/>
      </c>
      <c r="S534" s="12">
        <f>IF(R534="","",R534+IF(O534&lt;&gt;"",O534,IF(H534="",0,H534)))</f>
        <v/>
      </c>
      <c r="T534" s="12">
        <f>IF(R534="","",MAX(Settings!$B$3,Settings!$B$4*IF(O534&lt;&gt;"",O534,IF(H534="",0,H534))))</f>
        <v/>
      </c>
      <c r="U534" s="11">
        <f>IF(AND(C534&lt;&gt;"",M534&lt;&gt;"",OR(H534&lt;&gt;"",O534&lt;&gt;"")),"COMPLETE",IF(OR(C534&lt;&gt;"",M534&lt;&gt;""),"PARTIAL","MISSING"))</f>
        <v/>
      </c>
      <c r="V534" s="11">
        <f>IF(Q534="UNKNOWN","Check fluid description",IF(AND(R534&lt;&gt;"",S534&lt;&gt;""),"Ready for contact screening","Needs TVD + thickness"))</f>
        <v/>
      </c>
    </row>
    <row r="535">
      <c r="A535" s="9" t="n"/>
      <c r="B535" s="9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9" t="n"/>
      <c r="N535" s="9" t="n"/>
      <c r="O535" s="10" t="n"/>
      <c r="P535" s="9" t="n"/>
      <c r="Q535" s="11">
        <f>IF(P535&lt;&gt;"",P535,IF(M535="","UNKNOWN",IF(AND(ISNUMBER(SEARCH("gas",LOWER(M535))),ISNUMBER(SEARCH("water",LOWER(M535)))),"GAS_WATER",IF(AND(ISNUMBER(SEARCH("oil",LOWER(M535))),ISNUMBER(SEARCH("water",LOWER(M535)))),"OIL_WATER",IF(ISNUMBER(SEARCH("gas",LOWER(M535))),"GAS",IF(ISNUMBER(SEARCH("water",LOWER(M535))),"WATER",IF(ISNUMBER(SEARCH("oil",LOWER(M535))),"OIL","UNKNOWN")))))))</f>
        <v/>
      </c>
      <c r="R535" s="12">
        <f>IF(C535="","",C535)</f>
        <v/>
      </c>
      <c r="S535" s="12">
        <f>IF(R535="","",R535+IF(O535&lt;&gt;"",O535,IF(H535="",0,H535)))</f>
        <v/>
      </c>
      <c r="T535" s="12">
        <f>IF(R535="","",MAX(Settings!$B$3,Settings!$B$4*IF(O535&lt;&gt;"",O535,IF(H535="",0,H535))))</f>
        <v/>
      </c>
      <c r="U535" s="11">
        <f>IF(AND(C535&lt;&gt;"",M535&lt;&gt;"",OR(H535&lt;&gt;"",O535&lt;&gt;"")),"COMPLETE",IF(OR(C535&lt;&gt;"",M535&lt;&gt;""),"PARTIAL","MISSING"))</f>
        <v/>
      </c>
      <c r="V535" s="11">
        <f>IF(Q535="UNKNOWN","Check fluid description",IF(AND(R535&lt;&gt;"",S535&lt;&gt;""),"Ready for contact screening","Needs TVD + thickness"))</f>
        <v/>
      </c>
    </row>
    <row r="536">
      <c r="A536" s="9" t="n"/>
      <c r="B536" s="9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9" t="n"/>
      <c r="N536" s="9" t="n"/>
      <c r="O536" s="10" t="n"/>
      <c r="P536" s="9" t="n"/>
      <c r="Q536" s="11">
        <f>IF(P536&lt;&gt;"",P536,IF(M536="","UNKNOWN",IF(AND(ISNUMBER(SEARCH("gas",LOWER(M536))),ISNUMBER(SEARCH("water",LOWER(M536)))),"GAS_WATER",IF(AND(ISNUMBER(SEARCH("oil",LOWER(M536))),ISNUMBER(SEARCH("water",LOWER(M536)))),"OIL_WATER",IF(ISNUMBER(SEARCH("gas",LOWER(M536))),"GAS",IF(ISNUMBER(SEARCH("water",LOWER(M536))),"WATER",IF(ISNUMBER(SEARCH("oil",LOWER(M536))),"OIL","UNKNOWN")))))))</f>
        <v/>
      </c>
      <c r="R536" s="12">
        <f>IF(C536="","",C536)</f>
        <v/>
      </c>
      <c r="S536" s="12">
        <f>IF(R536="","",R536+IF(O536&lt;&gt;"",O536,IF(H536="",0,H536)))</f>
        <v/>
      </c>
      <c r="T536" s="12">
        <f>IF(R536="","",MAX(Settings!$B$3,Settings!$B$4*IF(O536&lt;&gt;"",O536,IF(H536="",0,H536))))</f>
        <v/>
      </c>
      <c r="U536" s="11">
        <f>IF(AND(C536&lt;&gt;"",M536&lt;&gt;"",OR(H536&lt;&gt;"",O536&lt;&gt;"")),"COMPLETE",IF(OR(C536&lt;&gt;"",M536&lt;&gt;""),"PARTIAL","MISSING"))</f>
        <v/>
      </c>
      <c r="V536" s="11">
        <f>IF(Q536="UNKNOWN","Check fluid description",IF(AND(R536&lt;&gt;"",S536&lt;&gt;""),"Ready for contact screening","Needs TVD + thickness"))</f>
        <v/>
      </c>
    </row>
    <row r="537">
      <c r="A537" s="9" t="n"/>
      <c r="B537" s="9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9" t="n"/>
      <c r="N537" s="9" t="n"/>
      <c r="O537" s="10" t="n"/>
      <c r="P537" s="9" t="n"/>
      <c r="Q537" s="11">
        <f>IF(P537&lt;&gt;"",P537,IF(M537="","UNKNOWN",IF(AND(ISNUMBER(SEARCH("gas",LOWER(M537))),ISNUMBER(SEARCH("water",LOWER(M537)))),"GAS_WATER",IF(AND(ISNUMBER(SEARCH("oil",LOWER(M537))),ISNUMBER(SEARCH("water",LOWER(M537)))),"OIL_WATER",IF(ISNUMBER(SEARCH("gas",LOWER(M537))),"GAS",IF(ISNUMBER(SEARCH("water",LOWER(M537))),"WATER",IF(ISNUMBER(SEARCH("oil",LOWER(M537))),"OIL","UNKNOWN")))))))</f>
        <v/>
      </c>
      <c r="R537" s="12">
        <f>IF(C537="","",C537)</f>
        <v/>
      </c>
      <c r="S537" s="12">
        <f>IF(R537="","",R537+IF(O537&lt;&gt;"",O537,IF(H537="",0,H537)))</f>
        <v/>
      </c>
      <c r="T537" s="12">
        <f>IF(R537="","",MAX(Settings!$B$3,Settings!$B$4*IF(O537&lt;&gt;"",O537,IF(H537="",0,H537))))</f>
        <v/>
      </c>
      <c r="U537" s="11">
        <f>IF(AND(C537&lt;&gt;"",M537&lt;&gt;"",OR(H537&lt;&gt;"",O537&lt;&gt;"")),"COMPLETE",IF(OR(C537&lt;&gt;"",M537&lt;&gt;""),"PARTIAL","MISSING"))</f>
        <v/>
      </c>
      <c r="V537" s="11">
        <f>IF(Q537="UNKNOWN","Check fluid description",IF(AND(R537&lt;&gt;"",S537&lt;&gt;""),"Ready for contact screening","Needs TVD + thickness"))</f>
        <v/>
      </c>
    </row>
    <row r="538">
      <c r="A538" s="9" t="n"/>
      <c r="B538" s="9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9" t="n"/>
      <c r="N538" s="9" t="n"/>
      <c r="O538" s="10" t="n"/>
      <c r="P538" s="9" t="n"/>
      <c r="Q538" s="11">
        <f>IF(P538&lt;&gt;"",P538,IF(M538="","UNKNOWN",IF(AND(ISNUMBER(SEARCH("gas",LOWER(M538))),ISNUMBER(SEARCH("water",LOWER(M538)))),"GAS_WATER",IF(AND(ISNUMBER(SEARCH("oil",LOWER(M538))),ISNUMBER(SEARCH("water",LOWER(M538)))),"OIL_WATER",IF(ISNUMBER(SEARCH("gas",LOWER(M538))),"GAS",IF(ISNUMBER(SEARCH("water",LOWER(M538))),"WATER",IF(ISNUMBER(SEARCH("oil",LOWER(M538))),"OIL","UNKNOWN")))))))</f>
        <v/>
      </c>
      <c r="R538" s="12">
        <f>IF(C538="","",C538)</f>
        <v/>
      </c>
      <c r="S538" s="12">
        <f>IF(R538="","",R538+IF(O538&lt;&gt;"",O538,IF(H538="",0,H538)))</f>
        <v/>
      </c>
      <c r="T538" s="12">
        <f>IF(R538="","",MAX(Settings!$B$3,Settings!$B$4*IF(O538&lt;&gt;"",O538,IF(H538="",0,H538))))</f>
        <v/>
      </c>
      <c r="U538" s="11">
        <f>IF(AND(C538&lt;&gt;"",M538&lt;&gt;"",OR(H538&lt;&gt;"",O538&lt;&gt;"")),"COMPLETE",IF(OR(C538&lt;&gt;"",M538&lt;&gt;""),"PARTIAL","MISSING"))</f>
        <v/>
      </c>
      <c r="V538" s="11">
        <f>IF(Q538="UNKNOWN","Check fluid description",IF(AND(R538&lt;&gt;"",S538&lt;&gt;""),"Ready for contact screening","Needs TVD + thickness"))</f>
        <v/>
      </c>
    </row>
    <row r="539">
      <c r="A539" s="9" t="n"/>
      <c r="B539" s="9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9" t="n"/>
      <c r="N539" s="9" t="n"/>
      <c r="O539" s="10" t="n"/>
      <c r="P539" s="9" t="n"/>
      <c r="Q539" s="11">
        <f>IF(P539&lt;&gt;"",P539,IF(M539="","UNKNOWN",IF(AND(ISNUMBER(SEARCH("gas",LOWER(M539))),ISNUMBER(SEARCH("water",LOWER(M539)))),"GAS_WATER",IF(AND(ISNUMBER(SEARCH("oil",LOWER(M539))),ISNUMBER(SEARCH("water",LOWER(M539)))),"OIL_WATER",IF(ISNUMBER(SEARCH("gas",LOWER(M539))),"GAS",IF(ISNUMBER(SEARCH("water",LOWER(M539))),"WATER",IF(ISNUMBER(SEARCH("oil",LOWER(M539))),"OIL","UNKNOWN")))))))</f>
        <v/>
      </c>
      <c r="R539" s="12">
        <f>IF(C539="","",C539)</f>
        <v/>
      </c>
      <c r="S539" s="12">
        <f>IF(R539="","",R539+IF(O539&lt;&gt;"",O539,IF(H539="",0,H539)))</f>
        <v/>
      </c>
      <c r="T539" s="12">
        <f>IF(R539="","",MAX(Settings!$B$3,Settings!$B$4*IF(O539&lt;&gt;"",O539,IF(H539="",0,H539))))</f>
        <v/>
      </c>
      <c r="U539" s="11">
        <f>IF(AND(C539&lt;&gt;"",M539&lt;&gt;"",OR(H539&lt;&gt;"",O539&lt;&gt;"")),"COMPLETE",IF(OR(C539&lt;&gt;"",M539&lt;&gt;""),"PARTIAL","MISSING"))</f>
        <v/>
      </c>
      <c r="V539" s="11">
        <f>IF(Q539="UNKNOWN","Check fluid description",IF(AND(R539&lt;&gt;"",S539&lt;&gt;""),"Ready for contact screening","Needs TVD + thickness"))</f>
        <v/>
      </c>
    </row>
    <row r="540">
      <c r="A540" s="9" t="n"/>
      <c r="B540" s="9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9" t="n"/>
      <c r="N540" s="9" t="n"/>
      <c r="O540" s="10" t="n"/>
      <c r="P540" s="9" t="n"/>
      <c r="Q540" s="11">
        <f>IF(P540&lt;&gt;"",P540,IF(M540="","UNKNOWN",IF(AND(ISNUMBER(SEARCH("gas",LOWER(M540))),ISNUMBER(SEARCH("water",LOWER(M540)))),"GAS_WATER",IF(AND(ISNUMBER(SEARCH("oil",LOWER(M540))),ISNUMBER(SEARCH("water",LOWER(M540)))),"OIL_WATER",IF(ISNUMBER(SEARCH("gas",LOWER(M540))),"GAS",IF(ISNUMBER(SEARCH("water",LOWER(M540))),"WATER",IF(ISNUMBER(SEARCH("oil",LOWER(M540))),"OIL","UNKNOWN")))))))</f>
        <v/>
      </c>
      <c r="R540" s="12">
        <f>IF(C540="","",C540)</f>
        <v/>
      </c>
      <c r="S540" s="12">
        <f>IF(R540="","",R540+IF(O540&lt;&gt;"",O540,IF(H540="",0,H540)))</f>
        <v/>
      </c>
      <c r="T540" s="12">
        <f>IF(R540="","",MAX(Settings!$B$3,Settings!$B$4*IF(O540&lt;&gt;"",O540,IF(H540="",0,H540))))</f>
        <v/>
      </c>
      <c r="U540" s="11">
        <f>IF(AND(C540&lt;&gt;"",M540&lt;&gt;"",OR(H540&lt;&gt;"",O540&lt;&gt;"")),"COMPLETE",IF(OR(C540&lt;&gt;"",M540&lt;&gt;""),"PARTIAL","MISSING"))</f>
        <v/>
      </c>
      <c r="V540" s="11">
        <f>IF(Q540="UNKNOWN","Check fluid description",IF(AND(R540&lt;&gt;"",S540&lt;&gt;""),"Ready for contact screening","Needs TVD + thickness"))</f>
        <v/>
      </c>
    </row>
    <row r="541">
      <c r="A541" s="9" t="n"/>
      <c r="B541" s="9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9" t="n"/>
      <c r="N541" s="9" t="n"/>
      <c r="O541" s="10" t="n"/>
      <c r="P541" s="9" t="n"/>
      <c r="Q541" s="11">
        <f>IF(P541&lt;&gt;"",P541,IF(M541="","UNKNOWN",IF(AND(ISNUMBER(SEARCH("gas",LOWER(M541))),ISNUMBER(SEARCH("water",LOWER(M541)))),"GAS_WATER",IF(AND(ISNUMBER(SEARCH("oil",LOWER(M541))),ISNUMBER(SEARCH("water",LOWER(M541)))),"OIL_WATER",IF(ISNUMBER(SEARCH("gas",LOWER(M541))),"GAS",IF(ISNUMBER(SEARCH("water",LOWER(M541))),"WATER",IF(ISNUMBER(SEARCH("oil",LOWER(M541))),"OIL","UNKNOWN")))))))</f>
        <v/>
      </c>
      <c r="R541" s="12">
        <f>IF(C541="","",C541)</f>
        <v/>
      </c>
      <c r="S541" s="12">
        <f>IF(R541="","",R541+IF(O541&lt;&gt;"",O541,IF(H541="",0,H541)))</f>
        <v/>
      </c>
      <c r="T541" s="12">
        <f>IF(R541="","",MAX(Settings!$B$3,Settings!$B$4*IF(O541&lt;&gt;"",O541,IF(H541="",0,H541))))</f>
        <v/>
      </c>
      <c r="U541" s="11">
        <f>IF(AND(C541&lt;&gt;"",M541&lt;&gt;"",OR(H541&lt;&gt;"",O541&lt;&gt;"")),"COMPLETE",IF(OR(C541&lt;&gt;"",M541&lt;&gt;""),"PARTIAL","MISSING"))</f>
        <v/>
      </c>
      <c r="V541" s="11">
        <f>IF(Q541="UNKNOWN","Check fluid description",IF(AND(R541&lt;&gt;"",S541&lt;&gt;""),"Ready for contact screening","Needs TVD + thickness"))</f>
        <v/>
      </c>
    </row>
    <row r="542">
      <c r="A542" s="9" t="n"/>
      <c r="B542" s="9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9" t="n"/>
      <c r="N542" s="9" t="n"/>
      <c r="O542" s="10" t="n"/>
      <c r="P542" s="9" t="n"/>
      <c r="Q542" s="11">
        <f>IF(P542&lt;&gt;"",P542,IF(M542="","UNKNOWN",IF(AND(ISNUMBER(SEARCH("gas",LOWER(M542))),ISNUMBER(SEARCH("water",LOWER(M542)))),"GAS_WATER",IF(AND(ISNUMBER(SEARCH("oil",LOWER(M542))),ISNUMBER(SEARCH("water",LOWER(M542)))),"OIL_WATER",IF(ISNUMBER(SEARCH("gas",LOWER(M542))),"GAS",IF(ISNUMBER(SEARCH("water",LOWER(M542))),"WATER",IF(ISNUMBER(SEARCH("oil",LOWER(M542))),"OIL","UNKNOWN")))))))</f>
        <v/>
      </c>
      <c r="R542" s="12">
        <f>IF(C542="","",C542)</f>
        <v/>
      </c>
      <c r="S542" s="12">
        <f>IF(R542="","",R542+IF(O542&lt;&gt;"",O542,IF(H542="",0,H542)))</f>
        <v/>
      </c>
      <c r="T542" s="12">
        <f>IF(R542="","",MAX(Settings!$B$3,Settings!$B$4*IF(O542&lt;&gt;"",O542,IF(H542="",0,H542))))</f>
        <v/>
      </c>
      <c r="U542" s="11">
        <f>IF(AND(C542&lt;&gt;"",M542&lt;&gt;"",OR(H542&lt;&gt;"",O542&lt;&gt;"")),"COMPLETE",IF(OR(C542&lt;&gt;"",M542&lt;&gt;""),"PARTIAL","MISSING"))</f>
        <v/>
      </c>
      <c r="V542" s="11">
        <f>IF(Q542="UNKNOWN","Check fluid description",IF(AND(R542&lt;&gt;"",S542&lt;&gt;""),"Ready for contact screening","Needs TVD + thickness"))</f>
        <v/>
      </c>
    </row>
    <row r="543">
      <c r="A543" s="9" t="n"/>
      <c r="B543" s="9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9" t="n"/>
      <c r="N543" s="9" t="n"/>
      <c r="O543" s="10" t="n"/>
      <c r="P543" s="9" t="n"/>
      <c r="Q543" s="11">
        <f>IF(P543&lt;&gt;"",P543,IF(M543="","UNKNOWN",IF(AND(ISNUMBER(SEARCH("gas",LOWER(M543))),ISNUMBER(SEARCH("water",LOWER(M543)))),"GAS_WATER",IF(AND(ISNUMBER(SEARCH("oil",LOWER(M543))),ISNUMBER(SEARCH("water",LOWER(M543)))),"OIL_WATER",IF(ISNUMBER(SEARCH("gas",LOWER(M543))),"GAS",IF(ISNUMBER(SEARCH("water",LOWER(M543))),"WATER",IF(ISNUMBER(SEARCH("oil",LOWER(M543))),"OIL","UNKNOWN")))))))</f>
        <v/>
      </c>
      <c r="R543" s="12">
        <f>IF(C543="","",C543)</f>
        <v/>
      </c>
      <c r="S543" s="12">
        <f>IF(R543="","",R543+IF(O543&lt;&gt;"",O543,IF(H543="",0,H543)))</f>
        <v/>
      </c>
      <c r="T543" s="12">
        <f>IF(R543="","",MAX(Settings!$B$3,Settings!$B$4*IF(O543&lt;&gt;"",O543,IF(H543="",0,H543))))</f>
        <v/>
      </c>
      <c r="U543" s="11">
        <f>IF(AND(C543&lt;&gt;"",M543&lt;&gt;"",OR(H543&lt;&gt;"",O543&lt;&gt;"")),"COMPLETE",IF(OR(C543&lt;&gt;"",M543&lt;&gt;""),"PARTIAL","MISSING"))</f>
        <v/>
      </c>
      <c r="V543" s="11">
        <f>IF(Q543="UNKNOWN","Check fluid description",IF(AND(R543&lt;&gt;"",S543&lt;&gt;""),"Ready for contact screening","Needs TVD + thickness"))</f>
        <v/>
      </c>
    </row>
    <row r="544">
      <c r="A544" s="9" t="n"/>
      <c r="B544" s="9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9" t="n"/>
      <c r="N544" s="9" t="n"/>
      <c r="O544" s="10" t="n"/>
      <c r="P544" s="9" t="n"/>
      <c r="Q544" s="11">
        <f>IF(P544&lt;&gt;"",P544,IF(M544="","UNKNOWN",IF(AND(ISNUMBER(SEARCH("gas",LOWER(M544))),ISNUMBER(SEARCH("water",LOWER(M544)))),"GAS_WATER",IF(AND(ISNUMBER(SEARCH("oil",LOWER(M544))),ISNUMBER(SEARCH("water",LOWER(M544)))),"OIL_WATER",IF(ISNUMBER(SEARCH("gas",LOWER(M544))),"GAS",IF(ISNUMBER(SEARCH("water",LOWER(M544))),"WATER",IF(ISNUMBER(SEARCH("oil",LOWER(M544))),"OIL","UNKNOWN")))))))</f>
        <v/>
      </c>
      <c r="R544" s="12">
        <f>IF(C544="","",C544)</f>
        <v/>
      </c>
      <c r="S544" s="12">
        <f>IF(R544="","",R544+IF(O544&lt;&gt;"",O544,IF(H544="",0,H544)))</f>
        <v/>
      </c>
      <c r="T544" s="12">
        <f>IF(R544="","",MAX(Settings!$B$3,Settings!$B$4*IF(O544&lt;&gt;"",O544,IF(H544="",0,H544))))</f>
        <v/>
      </c>
      <c r="U544" s="11">
        <f>IF(AND(C544&lt;&gt;"",M544&lt;&gt;"",OR(H544&lt;&gt;"",O544&lt;&gt;"")),"COMPLETE",IF(OR(C544&lt;&gt;"",M544&lt;&gt;""),"PARTIAL","MISSING"))</f>
        <v/>
      </c>
      <c r="V544" s="11">
        <f>IF(Q544="UNKNOWN","Check fluid description",IF(AND(R544&lt;&gt;"",S544&lt;&gt;""),"Ready for contact screening","Needs TVD + thickness"))</f>
        <v/>
      </c>
    </row>
    <row r="545">
      <c r="A545" s="9" t="n"/>
      <c r="B545" s="9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9" t="n"/>
      <c r="N545" s="9" t="n"/>
      <c r="O545" s="10" t="n"/>
      <c r="P545" s="9" t="n"/>
      <c r="Q545" s="11">
        <f>IF(P545&lt;&gt;"",P545,IF(M545="","UNKNOWN",IF(AND(ISNUMBER(SEARCH("gas",LOWER(M545))),ISNUMBER(SEARCH("water",LOWER(M545)))),"GAS_WATER",IF(AND(ISNUMBER(SEARCH("oil",LOWER(M545))),ISNUMBER(SEARCH("water",LOWER(M545)))),"OIL_WATER",IF(ISNUMBER(SEARCH("gas",LOWER(M545))),"GAS",IF(ISNUMBER(SEARCH("water",LOWER(M545))),"WATER",IF(ISNUMBER(SEARCH("oil",LOWER(M545))),"OIL","UNKNOWN")))))))</f>
        <v/>
      </c>
      <c r="R545" s="12">
        <f>IF(C545="","",C545)</f>
        <v/>
      </c>
      <c r="S545" s="12">
        <f>IF(R545="","",R545+IF(O545&lt;&gt;"",O545,IF(H545="",0,H545)))</f>
        <v/>
      </c>
      <c r="T545" s="12">
        <f>IF(R545="","",MAX(Settings!$B$3,Settings!$B$4*IF(O545&lt;&gt;"",O545,IF(H545="",0,H545))))</f>
        <v/>
      </c>
      <c r="U545" s="11">
        <f>IF(AND(C545&lt;&gt;"",M545&lt;&gt;"",OR(H545&lt;&gt;"",O545&lt;&gt;"")),"COMPLETE",IF(OR(C545&lt;&gt;"",M545&lt;&gt;""),"PARTIAL","MISSING"))</f>
        <v/>
      </c>
      <c r="V545" s="11">
        <f>IF(Q545="UNKNOWN","Check fluid description",IF(AND(R545&lt;&gt;"",S545&lt;&gt;""),"Ready for contact screening","Needs TVD + thickness"))</f>
        <v/>
      </c>
    </row>
    <row r="546">
      <c r="A546" s="9" t="n"/>
      <c r="B546" s="9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9" t="n"/>
      <c r="N546" s="9" t="n"/>
      <c r="O546" s="10" t="n"/>
      <c r="P546" s="9" t="n"/>
      <c r="Q546" s="11">
        <f>IF(P546&lt;&gt;"",P546,IF(M546="","UNKNOWN",IF(AND(ISNUMBER(SEARCH("gas",LOWER(M546))),ISNUMBER(SEARCH("water",LOWER(M546)))),"GAS_WATER",IF(AND(ISNUMBER(SEARCH("oil",LOWER(M546))),ISNUMBER(SEARCH("water",LOWER(M546)))),"OIL_WATER",IF(ISNUMBER(SEARCH("gas",LOWER(M546))),"GAS",IF(ISNUMBER(SEARCH("water",LOWER(M546))),"WATER",IF(ISNUMBER(SEARCH("oil",LOWER(M546))),"OIL","UNKNOWN")))))))</f>
        <v/>
      </c>
      <c r="R546" s="12">
        <f>IF(C546="","",C546)</f>
        <v/>
      </c>
      <c r="S546" s="12">
        <f>IF(R546="","",R546+IF(O546&lt;&gt;"",O546,IF(H546="",0,H546)))</f>
        <v/>
      </c>
      <c r="T546" s="12">
        <f>IF(R546="","",MAX(Settings!$B$3,Settings!$B$4*IF(O546&lt;&gt;"",O546,IF(H546="",0,H546))))</f>
        <v/>
      </c>
      <c r="U546" s="11">
        <f>IF(AND(C546&lt;&gt;"",M546&lt;&gt;"",OR(H546&lt;&gt;"",O546&lt;&gt;"")),"COMPLETE",IF(OR(C546&lt;&gt;"",M546&lt;&gt;""),"PARTIAL","MISSING"))</f>
        <v/>
      </c>
      <c r="V546" s="11">
        <f>IF(Q546="UNKNOWN","Check fluid description",IF(AND(R546&lt;&gt;"",S546&lt;&gt;""),"Ready for contact screening","Needs TVD + thickness"))</f>
        <v/>
      </c>
    </row>
    <row r="547">
      <c r="A547" s="9" t="n"/>
      <c r="B547" s="9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9" t="n"/>
      <c r="N547" s="9" t="n"/>
      <c r="O547" s="10" t="n"/>
      <c r="P547" s="9" t="n"/>
      <c r="Q547" s="11">
        <f>IF(P547&lt;&gt;"",P547,IF(M547="","UNKNOWN",IF(AND(ISNUMBER(SEARCH("gas",LOWER(M547))),ISNUMBER(SEARCH("water",LOWER(M547)))),"GAS_WATER",IF(AND(ISNUMBER(SEARCH("oil",LOWER(M547))),ISNUMBER(SEARCH("water",LOWER(M547)))),"OIL_WATER",IF(ISNUMBER(SEARCH("gas",LOWER(M547))),"GAS",IF(ISNUMBER(SEARCH("water",LOWER(M547))),"WATER",IF(ISNUMBER(SEARCH("oil",LOWER(M547))),"OIL","UNKNOWN")))))))</f>
        <v/>
      </c>
      <c r="R547" s="12">
        <f>IF(C547="","",C547)</f>
        <v/>
      </c>
      <c r="S547" s="12">
        <f>IF(R547="","",R547+IF(O547&lt;&gt;"",O547,IF(H547="",0,H547)))</f>
        <v/>
      </c>
      <c r="T547" s="12">
        <f>IF(R547="","",MAX(Settings!$B$3,Settings!$B$4*IF(O547&lt;&gt;"",O547,IF(H547="",0,H547))))</f>
        <v/>
      </c>
      <c r="U547" s="11">
        <f>IF(AND(C547&lt;&gt;"",M547&lt;&gt;"",OR(H547&lt;&gt;"",O547&lt;&gt;"")),"COMPLETE",IF(OR(C547&lt;&gt;"",M547&lt;&gt;""),"PARTIAL","MISSING"))</f>
        <v/>
      </c>
      <c r="V547" s="11">
        <f>IF(Q547="UNKNOWN","Check fluid description",IF(AND(R547&lt;&gt;"",S547&lt;&gt;""),"Ready for contact screening","Needs TVD + thickness"))</f>
        <v/>
      </c>
    </row>
    <row r="548">
      <c r="A548" s="9" t="n"/>
      <c r="B548" s="9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9" t="n"/>
      <c r="N548" s="9" t="n"/>
      <c r="O548" s="10" t="n"/>
      <c r="P548" s="9" t="n"/>
      <c r="Q548" s="11">
        <f>IF(P548&lt;&gt;"",P548,IF(M548="","UNKNOWN",IF(AND(ISNUMBER(SEARCH("gas",LOWER(M548))),ISNUMBER(SEARCH("water",LOWER(M548)))),"GAS_WATER",IF(AND(ISNUMBER(SEARCH("oil",LOWER(M548))),ISNUMBER(SEARCH("water",LOWER(M548)))),"OIL_WATER",IF(ISNUMBER(SEARCH("gas",LOWER(M548))),"GAS",IF(ISNUMBER(SEARCH("water",LOWER(M548))),"WATER",IF(ISNUMBER(SEARCH("oil",LOWER(M548))),"OIL","UNKNOWN")))))))</f>
        <v/>
      </c>
      <c r="R548" s="12">
        <f>IF(C548="","",C548)</f>
        <v/>
      </c>
      <c r="S548" s="12">
        <f>IF(R548="","",R548+IF(O548&lt;&gt;"",O548,IF(H548="",0,H548)))</f>
        <v/>
      </c>
      <c r="T548" s="12">
        <f>IF(R548="","",MAX(Settings!$B$3,Settings!$B$4*IF(O548&lt;&gt;"",O548,IF(H548="",0,H548))))</f>
        <v/>
      </c>
      <c r="U548" s="11">
        <f>IF(AND(C548&lt;&gt;"",M548&lt;&gt;"",OR(H548&lt;&gt;"",O548&lt;&gt;"")),"COMPLETE",IF(OR(C548&lt;&gt;"",M548&lt;&gt;""),"PARTIAL","MISSING"))</f>
        <v/>
      </c>
      <c r="V548" s="11">
        <f>IF(Q548="UNKNOWN","Check fluid description",IF(AND(R548&lt;&gt;"",S548&lt;&gt;""),"Ready for contact screening","Needs TVD + thickness"))</f>
        <v/>
      </c>
    </row>
    <row r="549">
      <c r="A549" s="9" t="n"/>
      <c r="B549" s="9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9" t="n"/>
      <c r="N549" s="9" t="n"/>
      <c r="O549" s="10" t="n"/>
      <c r="P549" s="9" t="n"/>
      <c r="Q549" s="11">
        <f>IF(P549&lt;&gt;"",P549,IF(M549="","UNKNOWN",IF(AND(ISNUMBER(SEARCH("gas",LOWER(M549))),ISNUMBER(SEARCH("water",LOWER(M549)))),"GAS_WATER",IF(AND(ISNUMBER(SEARCH("oil",LOWER(M549))),ISNUMBER(SEARCH("water",LOWER(M549)))),"OIL_WATER",IF(ISNUMBER(SEARCH("gas",LOWER(M549))),"GAS",IF(ISNUMBER(SEARCH("water",LOWER(M549))),"WATER",IF(ISNUMBER(SEARCH("oil",LOWER(M549))),"OIL","UNKNOWN")))))))</f>
        <v/>
      </c>
      <c r="R549" s="12">
        <f>IF(C549="","",C549)</f>
        <v/>
      </c>
      <c r="S549" s="12">
        <f>IF(R549="","",R549+IF(O549&lt;&gt;"",O549,IF(H549="",0,H549)))</f>
        <v/>
      </c>
      <c r="T549" s="12">
        <f>IF(R549="","",MAX(Settings!$B$3,Settings!$B$4*IF(O549&lt;&gt;"",O549,IF(H549="",0,H549))))</f>
        <v/>
      </c>
      <c r="U549" s="11">
        <f>IF(AND(C549&lt;&gt;"",M549&lt;&gt;"",OR(H549&lt;&gt;"",O549&lt;&gt;"")),"COMPLETE",IF(OR(C549&lt;&gt;"",M549&lt;&gt;""),"PARTIAL","MISSING"))</f>
        <v/>
      </c>
      <c r="V549" s="11">
        <f>IF(Q549="UNKNOWN","Check fluid description",IF(AND(R549&lt;&gt;"",S549&lt;&gt;""),"Ready for contact screening","Needs TVD + thickness"))</f>
        <v/>
      </c>
    </row>
    <row r="550">
      <c r="A550" s="9" t="n"/>
      <c r="B550" s="9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9" t="n"/>
      <c r="N550" s="9" t="n"/>
      <c r="O550" s="10" t="n"/>
      <c r="P550" s="9" t="n"/>
      <c r="Q550" s="11">
        <f>IF(P550&lt;&gt;"",P550,IF(M550="","UNKNOWN",IF(AND(ISNUMBER(SEARCH("gas",LOWER(M550))),ISNUMBER(SEARCH("water",LOWER(M550)))),"GAS_WATER",IF(AND(ISNUMBER(SEARCH("oil",LOWER(M550))),ISNUMBER(SEARCH("water",LOWER(M550)))),"OIL_WATER",IF(ISNUMBER(SEARCH("gas",LOWER(M550))),"GAS",IF(ISNUMBER(SEARCH("water",LOWER(M550))),"WATER",IF(ISNUMBER(SEARCH("oil",LOWER(M550))),"OIL","UNKNOWN")))))))</f>
        <v/>
      </c>
      <c r="R550" s="12">
        <f>IF(C550="","",C550)</f>
        <v/>
      </c>
      <c r="S550" s="12">
        <f>IF(R550="","",R550+IF(O550&lt;&gt;"",O550,IF(H550="",0,H550)))</f>
        <v/>
      </c>
      <c r="T550" s="12">
        <f>IF(R550="","",MAX(Settings!$B$3,Settings!$B$4*IF(O550&lt;&gt;"",O550,IF(H550="",0,H550))))</f>
        <v/>
      </c>
      <c r="U550" s="11">
        <f>IF(AND(C550&lt;&gt;"",M550&lt;&gt;"",OR(H550&lt;&gt;"",O550&lt;&gt;"")),"COMPLETE",IF(OR(C550&lt;&gt;"",M550&lt;&gt;""),"PARTIAL","MISSING"))</f>
        <v/>
      </c>
      <c r="V550" s="11">
        <f>IF(Q550="UNKNOWN","Check fluid description",IF(AND(R550&lt;&gt;"",S550&lt;&gt;""),"Ready for contact screening","Needs TVD + thickness"))</f>
        <v/>
      </c>
    </row>
    <row r="551">
      <c r="A551" s="9" t="n"/>
      <c r="B551" s="9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9" t="n"/>
      <c r="N551" s="9" t="n"/>
      <c r="O551" s="10" t="n"/>
      <c r="P551" s="9" t="n"/>
      <c r="Q551" s="11">
        <f>IF(P551&lt;&gt;"",P551,IF(M551="","UNKNOWN",IF(AND(ISNUMBER(SEARCH("gas",LOWER(M551))),ISNUMBER(SEARCH("water",LOWER(M551)))),"GAS_WATER",IF(AND(ISNUMBER(SEARCH("oil",LOWER(M551))),ISNUMBER(SEARCH("water",LOWER(M551)))),"OIL_WATER",IF(ISNUMBER(SEARCH("gas",LOWER(M551))),"GAS",IF(ISNUMBER(SEARCH("water",LOWER(M551))),"WATER",IF(ISNUMBER(SEARCH("oil",LOWER(M551))),"OIL","UNKNOWN")))))))</f>
        <v/>
      </c>
      <c r="R551" s="12">
        <f>IF(C551="","",C551)</f>
        <v/>
      </c>
      <c r="S551" s="12">
        <f>IF(R551="","",R551+IF(O551&lt;&gt;"",O551,IF(H551="",0,H551)))</f>
        <v/>
      </c>
      <c r="T551" s="12">
        <f>IF(R551="","",MAX(Settings!$B$3,Settings!$B$4*IF(O551&lt;&gt;"",O551,IF(H551="",0,H551))))</f>
        <v/>
      </c>
      <c r="U551" s="11">
        <f>IF(AND(C551&lt;&gt;"",M551&lt;&gt;"",OR(H551&lt;&gt;"",O551&lt;&gt;"")),"COMPLETE",IF(OR(C551&lt;&gt;"",M551&lt;&gt;""),"PARTIAL","MISSING"))</f>
        <v/>
      </c>
      <c r="V551" s="11">
        <f>IF(Q551="UNKNOWN","Check fluid description",IF(AND(R551&lt;&gt;"",S551&lt;&gt;""),"Ready for contact screening","Needs TVD + thickness"))</f>
        <v/>
      </c>
    </row>
    <row r="552">
      <c r="A552" s="9" t="n"/>
      <c r="B552" s="9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9" t="n"/>
      <c r="N552" s="9" t="n"/>
      <c r="O552" s="10" t="n"/>
      <c r="P552" s="9" t="n"/>
      <c r="Q552" s="11">
        <f>IF(P552&lt;&gt;"",P552,IF(M552="","UNKNOWN",IF(AND(ISNUMBER(SEARCH("gas",LOWER(M552))),ISNUMBER(SEARCH("water",LOWER(M552)))),"GAS_WATER",IF(AND(ISNUMBER(SEARCH("oil",LOWER(M552))),ISNUMBER(SEARCH("water",LOWER(M552)))),"OIL_WATER",IF(ISNUMBER(SEARCH("gas",LOWER(M552))),"GAS",IF(ISNUMBER(SEARCH("water",LOWER(M552))),"WATER",IF(ISNUMBER(SEARCH("oil",LOWER(M552))),"OIL","UNKNOWN")))))))</f>
        <v/>
      </c>
      <c r="R552" s="12">
        <f>IF(C552="","",C552)</f>
        <v/>
      </c>
      <c r="S552" s="12">
        <f>IF(R552="","",R552+IF(O552&lt;&gt;"",O552,IF(H552="",0,H552)))</f>
        <v/>
      </c>
      <c r="T552" s="12">
        <f>IF(R552="","",MAX(Settings!$B$3,Settings!$B$4*IF(O552&lt;&gt;"",O552,IF(H552="",0,H552))))</f>
        <v/>
      </c>
      <c r="U552" s="11">
        <f>IF(AND(C552&lt;&gt;"",M552&lt;&gt;"",OR(H552&lt;&gt;"",O552&lt;&gt;"")),"COMPLETE",IF(OR(C552&lt;&gt;"",M552&lt;&gt;""),"PARTIAL","MISSING"))</f>
        <v/>
      </c>
      <c r="V552" s="11">
        <f>IF(Q552="UNKNOWN","Check fluid description",IF(AND(R552&lt;&gt;"",S552&lt;&gt;""),"Ready for contact screening","Needs TVD + thickness"))</f>
        <v/>
      </c>
    </row>
    <row r="553">
      <c r="A553" s="9" t="n"/>
      <c r="B553" s="9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9" t="n"/>
      <c r="N553" s="9" t="n"/>
      <c r="O553" s="10" t="n"/>
      <c r="P553" s="9" t="n"/>
      <c r="Q553" s="11">
        <f>IF(P553&lt;&gt;"",P553,IF(M553="","UNKNOWN",IF(AND(ISNUMBER(SEARCH("gas",LOWER(M553))),ISNUMBER(SEARCH("water",LOWER(M553)))),"GAS_WATER",IF(AND(ISNUMBER(SEARCH("oil",LOWER(M553))),ISNUMBER(SEARCH("water",LOWER(M553)))),"OIL_WATER",IF(ISNUMBER(SEARCH("gas",LOWER(M553))),"GAS",IF(ISNUMBER(SEARCH("water",LOWER(M553))),"WATER",IF(ISNUMBER(SEARCH("oil",LOWER(M553))),"OIL","UNKNOWN")))))))</f>
        <v/>
      </c>
      <c r="R553" s="12">
        <f>IF(C553="","",C553)</f>
        <v/>
      </c>
      <c r="S553" s="12">
        <f>IF(R553="","",R553+IF(O553&lt;&gt;"",O553,IF(H553="",0,H553)))</f>
        <v/>
      </c>
      <c r="T553" s="12">
        <f>IF(R553="","",MAX(Settings!$B$3,Settings!$B$4*IF(O553&lt;&gt;"",O553,IF(H553="",0,H553))))</f>
        <v/>
      </c>
      <c r="U553" s="11">
        <f>IF(AND(C553&lt;&gt;"",M553&lt;&gt;"",OR(H553&lt;&gt;"",O553&lt;&gt;"")),"COMPLETE",IF(OR(C553&lt;&gt;"",M553&lt;&gt;""),"PARTIAL","MISSING"))</f>
        <v/>
      </c>
      <c r="V553" s="11">
        <f>IF(Q553="UNKNOWN","Check fluid description",IF(AND(R553&lt;&gt;"",S553&lt;&gt;""),"Ready for contact screening","Needs TVD + thickness"))</f>
        <v/>
      </c>
    </row>
    <row r="554">
      <c r="A554" s="9" t="n"/>
      <c r="B554" s="9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9" t="n"/>
      <c r="N554" s="9" t="n"/>
      <c r="O554" s="10" t="n"/>
      <c r="P554" s="9" t="n"/>
      <c r="Q554" s="11">
        <f>IF(P554&lt;&gt;"",P554,IF(M554="","UNKNOWN",IF(AND(ISNUMBER(SEARCH("gas",LOWER(M554))),ISNUMBER(SEARCH("water",LOWER(M554)))),"GAS_WATER",IF(AND(ISNUMBER(SEARCH("oil",LOWER(M554))),ISNUMBER(SEARCH("water",LOWER(M554)))),"OIL_WATER",IF(ISNUMBER(SEARCH("gas",LOWER(M554))),"GAS",IF(ISNUMBER(SEARCH("water",LOWER(M554))),"WATER",IF(ISNUMBER(SEARCH("oil",LOWER(M554))),"OIL","UNKNOWN")))))))</f>
        <v/>
      </c>
      <c r="R554" s="12">
        <f>IF(C554="","",C554)</f>
        <v/>
      </c>
      <c r="S554" s="12">
        <f>IF(R554="","",R554+IF(O554&lt;&gt;"",O554,IF(H554="",0,H554)))</f>
        <v/>
      </c>
      <c r="T554" s="12">
        <f>IF(R554="","",MAX(Settings!$B$3,Settings!$B$4*IF(O554&lt;&gt;"",O554,IF(H554="",0,H554))))</f>
        <v/>
      </c>
      <c r="U554" s="11">
        <f>IF(AND(C554&lt;&gt;"",M554&lt;&gt;"",OR(H554&lt;&gt;"",O554&lt;&gt;"")),"COMPLETE",IF(OR(C554&lt;&gt;"",M554&lt;&gt;""),"PARTIAL","MISSING"))</f>
        <v/>
      </c>
      <c r="V554" s="11">
        <f>IF(Q554="UNKNOWN","Check fluid description",IF(AND(R554&lt;&gt;"",S554&lt;&gt;""),"Ready for contact screening","Needs TVD + thickness"))</f>
        <v/>
      </c>
    </row>
    <row r="555">
      <c r="A555" s="9" t="n"/>
      <c r="B555" s="9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9" t="n"/>
      <c r="N555" s="9" t="n"/>
      <c r="O555" s="10" t="n"/>
      <c r="P555" s="9" t="n"/>
      <c r="Q555" s="11">
        <f>IF(P555&lt;&gt;"",P555,IF(M555="","UNKNOWN",IF(AND(ISNUMBER(SEARCH("gas",LOWER(M555))),ISNUMBER(SEARCH("water",LOWER(M555)))),"GAS_WATER",IF(AND(ISNUMBER(SEARCH("oil",LOWER(M555))),ISNUMBER(SEARCH("water",LOWER(M555)))),"OIL_WATER",IF(ISNUMBER(SEARCH("gas",LOWER(M555))),"GAS",IF(ISNUMBER(SEARCH("water",LOWER(M555))),"WATER",IF(ISNUMBER(SEARCH("oil",LOWER(M555))),"OIL","UNKNOWN")))))))</f>
        <v/>
      </c>
      <c r="R555" s="12">
        <f>IF(C555="","",C555)</f>
        <v/>
      </c>
      <c r="S555" s="12">
        <f>IF(R555="","",R555+IF(O555&lt;&gt;"",O555,IF(H555="",0,H555)))</f>
        <v/>
      </c>
      <c r="T555" s="12">
        <f>IF(R555="","",MAX(Settings!$B$3,Settings!$B$4*IF(O555&lt;&gt;"",O555,IF(H555="",0,H555))))</f>
        <v/>
      </c>
      <c r="U555" s="11">
        <f>IF(AND(C555&lt;&gt;"",M555&lt;&gt;"",OR(H555&lt;&gt;"",O555&lt;&gt;"")),"COMPLETE",IF(OR(C555&lt;&gt;"",M555&lt;&gt;""),"PARTIAL","MISSING"))</f>
        <v/>
      </c>
      <c r="V555" s="11">
        <f>IF(Q555="UNKNOWN","Check fluid description",IF(AND(R555&lt;&gt;"",S555&lt;&gt;""),"Ready for contact screening","Needs TVD + thickness"))</f>
        <v/>
      </c>
    </row>
    <row r="556">
      <c r="A556" s="9" t="n"/>
      <c r="B556" s="9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9" t="n"/>
      <c r="N556" s="9" t="n"/>
      <c r="O556" s="10" t="n"/>
      <c r="P556" s="9" t="n"/>
      <c r="Q556" s="11">
        <f>IF(P556&lt;&gt;"",P556,IF(M556="","UNKNOWN",IF(AND(ISNUMBER(SEARCH("gas",LOWER(M556))),ISNUMBER(SEARCH("water",LOWER(M556)))),"GAS_WATER",IF(AND(ISNUMBER(SEARCH("oil",LOWER(M556))),ISNUMBER(SEARCH("water",LOWER(M556)))),"OIL_WATER",IF(ISNUMBER(SEARCH("gas",LOWER(M556))),"GAS",IF(ISNUMBER(SEARCH("water",LOWER(M556))),"WATER",IF(ISNUMBER(SEARCH("oil",LOWER(M556))),"OIL","UNKNOWN")))))))</f>
        <v/>
      </c>
      <c r="R556" s="12">
        <f>IF(C556="","",C556)</f>
        <v/>
      </c>
      <c r="S556" s="12">
        <f>IF(R556="","",R556+IF(O556&lt;&gt;"",O556,IF(H556="",0,H556)))</f>
        <v/>
      </c>
      <c r="T556" s="12">
        <f>IF(R556="","",MAX(Settings!$B$3,Settings!$B$4*IF(O556&lt;&gt;"",O556,IF(H556="",0,H556))))</f>
        <v/>
      </c>
      <c r="U556" s="11">
        <f>IF(AND(C556&lt;&gt;"",M556&lt;&gt;"",OR(H556&lt;&gt;"",O556&lt;&gt;"")),"COMPLETE",IF(OR(C556&lt;&gt;"",M556&lt;&gt;""),"PARTIAL","MISSING"))</f>
        <v/>
      </c>
      <c r="V556" s="11">
        <f>IF(Q556="UNKNOWN","Check fluid description",IF(AND(R556&lt;&gt;"",S556&lt;&gt;""),"Ready for contact screening","Needs TVD + thickness"))</f>
        <v/>
      </c>
    </row>
    <row r="557">
      <c r="A557" s="9" t="n"/>
      <c r="B557" s="9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9" t="n"/>
      <c r="N557" s="9" t="n"/>
      <c r="O557" s="10" t="n"/>
      <c r="P557" s="9" t="n"/>
      <c r="Q557" s="11">
        <f>IF(P557&lt;&gt;"",P557,IF(M557="","UNKNOWN",IF(AND(ISNUMBER(SEARCH("gas",LOWER(M557))),ISNUMBER(SEARCH("water",LOWER(M557)))),"GAS_WATER",IF(AND(ISNUMBER(SEARCH("oil",LOWER(M557))),ISNUMBER(SEARCH("water",LOWER(M557)))),"OIL_WATER",IF(ISNUMBER(SEARCH("gas",LOWER(M557))),"GAS",IF(ISNUMBER(SEARCH("water",LOWER(M557))),"WATER",IF(ISNUMBER(SEARCH("oil",LOWER(M557))),"OIL","UNKNOWN")))))))</f>
        <v/>
      </c>
      <c r="R557" s="12">
        <f>IF(C557="","",C557)</f>
        <v/>
      </c>
      <c r="S557" s="12">
        <f>IF(R557="","",R557+IF(O557&lt;&gt;"",O557,IF(H557="",0,H557)))</f>
        <v/>
      </c>
      <c r="T557" s="12">
        <f>IF(R557="","",MAX(Settings!$B$3,Settings!$B$4*IF(O557&lt;&gt;"",O557,IF(H557="",0,H557))))</f>
        <v/>
      </c>
      <c r="U557" s="11">
        <f>IF(AND(C557&lt;&gt;"",M557&lt;&gt;"",OR(H557&lt;&gt;"",O557&lt;&gt;"")),"COMPLETE",IF(OR(C557&lt;&gt;"",M557&lt;&gt;""),"PARTIAL","MISSING"))</f>
        <v/>
      </c>
      <c r="V557" s="11">
        <f>IF(Q557="UNKNOWN","Check fluid description",IF(AND(R557&lt;&gt;"",S557&lt;&gt;""),"Ready for contact screening","Needs TVD + thickness"))</f>
        <v/>
      </c>
    </row>
    <row r="558">
      <c r="A558" s="9" t="n"/>
      <c r="B558" s="9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9" t="n"/>
      <c r="N558" s="9" t="n"/>
      <c r="O558" s="10" t="n"/>
      <c r="P558" s="9" t="n"/>
      <c r="Q558" s="11">
        <f>IF(P558&lt;&gt;"",P558,IF(M558="","UNKNOWN",IF(AND(ISNUMBER(SEARCH("gas",LOWER(M558))),ISNUMBER(SEARCH("water",LOWER(M558)))),"GAS_WATER",IF(AND(ISNUMBER(SEARCH("oil",LOWER(M558))),ISNUMBER(SEARCH("water",LOWER(M558)))),"OIL_WATER",IF(ISNUMBER(SEARCH("gas",LOWER(M558))),"GAS",IF(ISNUMBER(SEARCH("water",LOWER(M558))),"WATER",IF(ISNUMBER(SEARCH("oil",LOWER(M558))),"OIL","UNKNOWN")))))))</f>
        <v/>
      </c>
      <c r="R558" s="12">
        <f>IF(C558="","",C558)</f>
        <v/>
      </c>
      <c r="S558" s="12">
        <f>IF(R558="","",R558+IF(O558&lt;&gt;"",O558,IF(H558="",0,H558)))</f>
        <v/>
      </c>
      <c r="T558" s="12">
        <f>IF(R558="","",MAX(Settings!$B$3,Settings!$B$4*IF(O558&lt;&gt;"",O558,IF(H558="",0,H558))))</f>
        <v/>
      </c>
      <c r="U558" s="11">
        <f>IF(AND(C558&lt;&gt;"",M558&lt;&gt;"",OR(H558&lt;&gt;"",O558&lt;&gt;"")),"COMPLETE",IF(OR(C558&lt;&gt;"",M558&lt;&gt;""),"PARTIAL","MISSING"))</f>
        <v/>
      </c>
      <c r="V558" s="11">
        <f>IF(Q558="UNKNOWN","Check fluid description",IF(AND(R558&lt;&gt;"",S558&lt;&gt;""),"Ready for contact screening","Needs TVD + thickness"))</f>
        <v/>
      </c>
    </row>
    <row r="559">
      <c r="A559" s="9" t="n"/>
      <c r="B559" s="9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9" t="n"/>
      <c r="N559" s="9" t="n"/>
      <c r="O559" s="10" t="n"/>
      <c r="P559" s="9" t="n"/>
      <c r="Q559" s="11">
        <f>IF(P559&lt;&gt;"",P559,IF(M559="","UNKNOWN",IF(AND(ISNUMBER(SEARCH("gas",LOWER(M559))),ISNUMBER(SEARCH("water",LOWER(M559)))),"GAS_WATER",IF(AND(ISNUMBER(SEARCH("oil",LOWER(M559))),ISNUMBER(SEARCH("water",LOWER(M559)))),"OIL_WATER",IF(ISNUMBER(SEARCH("gas",LOWER(M559))),"GAS",IF(ISNUMBER(SEARCH("water",LOWER(M559))),"WATER",IF(ISNUMBER(SEARCH("oil",LOWER(M559))),"OIL","UNKNOWN")))))))</f>
        <v/>
      </c>
      <c r="R559" s="12">
        <f>IF(C559="","",C559)</f>
        <v/>
      </c>
      <c r="S559" s="12">
        <f>IF(R559="","",R559+IF(O559&lt;&gt;"",O559,IF(H559="",0,H559)))</f>
        <v/>
      </c>
      <c r="T559" s="12">
        <f>IF(R559="","",MAX(Settings!$B$3,Settings!$B$4*IF(O559&lt;&gt;"",O559,IF(H559="",0,H559))))</f>
        <v/>
      </c>
      <c r="U559" s="11">
        <f>IF(AND(C559&lt;&gt;"",M559&lt;&gt;"",OR(H559&lt;&gt;"",O559&lt;&gt;"")),"COMPLETE",IF(OR(C559&lt;&gt;"",M559&lt;&gt;""),"PARTIAL","MISSING"))</f>
        <v/>
      </c>
      <c r="V559" s="11">
        <f>IF(Q559="UNKNOWN","Check fluid description",IF(AND(R559&lt;&gt;"",S559&lt;&gt;""),"Ready for contact screening","Needs TVD + thickness"))</f>
        <v/>
      </c>
    </row>
    <row r="560">
      <c r="A560" s="9" t="n"/>
      <c r="B560" s="9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9" t="n"/>
      <c r="N560" s="9" t="n"/>
      <c r="O560" s="10" t="n"/>
      <c r="P560" s="9" t="n"/>
      <c r="Q560" s="11">
        <f>IF(P560&lt;&gt;"",P560,IF(M560="","UNKNOWN",IF(AND(ISNUMBER(SEARCH("gas",LOWER(M560))),ISNUMBER(SEARCH("water",LOWER(M560)))),"GAS_WATER",IF(AND(ISNUMBER(SEARCH("oil",LOWER(M560))),ISNUMBER(SEARCH("water",LOWER(M560)))),"OIL_WATER",IF(ISNUMBER(SEARCH("gas",LOWER(M560))),"GAS",IF(ISNUMBER(SEARCH("water",LOWER(M560))),"WATER",IF(ISNUMBER(SEARCH("oil",LOWER(M560))),"OIL","UNKNOWN")))))))</f>
        <v/>
      </c>
      <c r="R560" s="12">
        <f>IF(C560="","",C560)</f>
        <v/>
      </c>
      <c r="S560" s="12">
        <f>IF(R560="","",R560+IF(O560&lt;&gt;"",O560,IF(H560="",0,H560)))</f>
        <v/>
      </c>
      <c r="T560" s="12">
        <f>IF(R560="","",MAX(Settings!$B$3,Settings!$B$4*IF(O560&lt;&gt;"",O560,IF(H560="",0,H560))))</f>
        <v/>
      </c>
      <c r="U560" s="11">
        <f>IF(AND(C560&lt;&gt;"",M560&lt;&gt;"",OR(H560&lt;&gt;"",O560&lt;&gt;"")),"COMPLETE",IF(OR(C560&lt;&gt;"",M560&lt;&gt;""),"PARTIAL","MISSING"))</f>
        <v/>
      </c>
      <c r="V560" s="11">
        <f>IF(Q560="UNKNOWN","Check fluid description",IF(AND(R560&lt;&gt;"",S560&lt;&gt;""),"Ready for contact screening","Needs TVD + thickness"))</f>
        <v/>
      </c>
    </row>
    <row r="561">
      <c r="A561" s="9" t="n"/>
      <c r="B561" s="9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9" t="n"/>
      <c r="N561" s="9" t="n"/>
      <c r="O561" s="10" t="n"/>
      <c r="P561" s="9" t="n"/>
      <c r="Q561" s="11">
        <f>IF(P561&lt;&gt;"",P561,IF(M561="","UNKNOWN",IF(AND(ISNUMBER(SEARCH("gas",LOWER(M561))),ISNUMBER(SEARCH("water",LOWER(M561)))),"GAS_WATER",IF(AND(ISNUMBER(SEARCH("oil",LOWER(M561))),ISNUMBER(SEARCH("water",LOWER(M561)))),"OIL_WATER",IF(ISNUMBER(SEARCH("gas",LOWER(M561))),"GAS",IF(ISNUMBER(SEARCH("water",LOWER(M561))),"WATER",IF(ISNUMBER(SEARCH("oil",LOWER(M561))),"OIL","UNKNOWN")))))))</f>
        <v/>
      </c>
      <c r="R561" s="12">
        <f>IF(C561="","",C561)</f>
        <v/>
      </c>
      <c r="S561" s="12">
        <f>IF(R561="","",R561+IF(O561&lt;&gt;"",O561,IF(H561="",0,H561)))</f>
        <v/>
      </c>
      <c r="T561" s="12">
        <f>IF(R561="","",MAX(Settings!$B$3,Settings!$B$4*IF(O561&lt;&gt;"",O561,IF(H561="",0,H561))))</f>
        <v/>
      </c>
      <c r="U561" s="11">
        <f>IF(AND(C561&lt;&gt;"",M561&lt;&gt;"",OR(H561&lt;&gt;"",O561&lt;&gt;"")),"COMPLETE",IF(OR(C561&lt;&gt;"",M561&lt;&gt;""),"PARTIAL","MISSING"))</f>
        <v/>
      </c>
      <c r="V561" s="11">
        <f>IF(Q561="UNKNOWN","Check fluid description",IF(AND(R561&lt;&gt;"",S561&lt;&gt;""),"Ready for contact screening","Needs TVD + thickness"))</f>
        <v/>
      </c>
    </row>
    <row r="562">
      <c r="A562" s="9" t="n"/>
      <c r="B562" s="9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9" t="n"/>
      <c r="N562" s="9" t="n"/>
      <c r="O562" s="10" t="n"/>
      <c r="P562" s="9" t="n"/>
      <c r="Q562" s="11">
        <f>IF(P562&lt;&gt;"",P562,IF(M562="","UNKNOWN",IF(AND(ISNUMBER(SEARCH("gas",LOWER(M562))),ISNUMBER(SEARCH("water",LOWER(M562)))),"GAS_WATER",IF(AND(ISNUMBER(SEARCH("oil",LOWER(M562))),ISNUMBER(SEARCH("water",LOWER(M562)))),"OIL_WATER",IF(ISNUMBER(SEARCH("gas",LOWER(M562))),"GAS",IF(ISNUMBER(SEARCH("water",LOWER(M562))),"WATER",IF(ISNUMBER(SEARCH("oil",LOWER(M562))),"OIL","UNKNOWN")))))))</f>
        <v/>
      </c>
      <c r="R562" s="12">
        <f>IF(C562="","",C562)</f>
        <v/>
      </c>
      <c r="S562" s="12">
        <f>IF(R562="","",R562+IF(O562&lt;&gt;"",O562,IF(H562="",0,H562)))</f>
        <v/>
      </c>
      <c r="T562" s="12">
        <f>IF(R562="","",MAX(Settings!$B$3,Settings!$B$4*IF(O562&lt;&gt;"",O562,IF(H562="",0,H562))))</f>
        <v/>
      </c>
      <c r="U562" s="11">
        <f>IF(AND(C562&lt;&gt;"",M562&lt;&gt;"",OR(H562&lt;&gt;"",O562&lt;&gt;"")),"COMPLETE",IF(OR(C562&lt;&gt;"",M562&lt;&gt;""),"PARTIAL","MISSING"))</f>
        <v/>
      </c>
      <c r="V562" s="11">
        <f>IF(Q562="UNKNOWN","Check fluid description",IF(AND(R562&lt;&gt;"",S562&lt;&gt;""),"Ready for contact screening","Needs TVD + thickness"))</f>
        <v/>
      </c>
    </row>
    <row r="563">
      <c r="A563" s="9" t="n"/>
      <c r="B563" s="9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9" t="n"/>
      <c r="N563" s="9" t="n"/>
      <c r="O563" s="10" t="n"/>
      <c r="P563" s="9" t="n"/>
      <c r="Q563" s="11">
        <f>IF(P563&lt;&gt;"",P563,IF(M563="","UNKNOWN",IF(AND(ISNUMBER(SEARCH("gas",LOWER(M563))),ISNUMBER(SEARCH("water",LOWER(M563)))),"GAS_WATER",IF(AND(ISNUMBER(SEARCH("oil",LOWER(M563))),ISNUMBER(SEARCH("water",LOWER(M563)))),"OIL_WATER",IF(ISNUMBER(SEARCH("gas",LOWER(M563))),"GAS",IF(ISNUMBER(SEARCH("water",LOWER(M563))),"WATER",IF(ISNUMBER(SEARCH("oil",LOWER(M563))),"OIL","UNKNOWN")))))))</f>
        <v/>
      </c>
      <c r="R563" s="12">
        <f>IF(C563="","",C563)</f>
        <v/>
      </c>
      <c r="S563" s="12">
        <f>IF(R563="","",R563+IF(O563&lt;&gt;"",O563,IF(H563="",0,H563)))</f>
        <v/>
      </c>
      <c r="T563" s="12">
        <f>IF(R563="","",MAX(Settings!$B$3,Settings!$B$4*IF(O563&lt;&gt;"",O563,IF(H563="",0,H563))))</f>
        <v/>
      </c>
      <c r="U563" s="11">
        <f>IF(AND(C563&lt;&gt;"",M563&lt;&gt;"",OR(H563&lt;&gt;"",O563&lt;&gt;"")),"COMPLETE",IF(OR(C563&lt;&gt;"",M563&lt;&gt;""),"PARTIAL","MISSING"))</f>
        <v/>
      </c>
      <c r="V563" s="11">
        <f>IF(Q563="UNKNOWN","Check fluid description",IF(AND(R563&lt;&gt;"",S563&lt;&gt;""),"Ready for contact screening","Needs TVD + thickness"))</f>
        <v/>
      </c>
    </row>
    <row r="564">
      <c r="A564" s="9" t="n"/>
      <c r="B564" s="9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9" t="n"/>
      <c r="N564" s="9" t="n"/>
      <c r="O564" s="10" t="n"/>
      <c r="P564" s="9" t="n"/>
      <c r="Q564" s="11">
        <f>IF(P564&lt;&gt;"",P564,IF(M564="","UNKNOWN",IF(AND(ISNUMBER(SEARCH("gas",LOWER(M564))),ISNUMBER(SEARCH("water",LOWER(M564)))),"GAS_WATER",IF(AND(ISNUMBER(SEARCH("oil",LOWER(M564))),ISNUMBER(SEARCH("water",LOWER(M564)))),"OIL_WATER",IF(ISNUMBER(SEARCH("gas",LOWER(M564))),"GAS",IF(ISNUMBER(SEARCH("water",LOWER(M564))),"WATER",IF(ISNUMBER(SEARCH("oil",LOWER(M564))),"OIL","UNKNOWN")))))))</f>
        <v/>
      </c>
      <c r="R564" s="12">
        <f>IF(C564="","",C564)</f>
        <v/>
      </c>
      <c r="S564" s="12">
        <f>IF(R564="","",R564+IF(O564&lt;&gt;"",O564,IF(H564="",0,H564)))</f>
        <v/>
      </c>
      <c r="T564" s="12">
        <f>IF(R564="","",MAX(Settings!$B$3,Settings!$B$4*IF(O564&lt;&gt;"",O564,IF(H564="",0,H564))))</f>
        <v/>
      </c>
      <c r="U564" s="11">
        <f>IF(AND(C564&lt;&gt;"",M564&lt;&gt;"",OR(H564&lt;&gt;"",O564&lt;&gt;"")),"COMPLETE",IF(OR(C564&lt;&gt;"",M564&lt;&gt;""),"PARTIAL","MISSING"))</f>
        <v/>
      </c>
      <c r="V564" s="11">
        <f>IF(Q564="UNKNOWN","Check fluid description",IF(AND(R564&lt;&gt;"",S564&lt;&gt;""),"Ready for contact screening","Needs TVD + thickness"))</f>
        <v/>
      </c>
    </row>
    <row r="565">
      <c r="A565" s="9" t="n"/>
      <c r="B565" s="9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9" t="n"/>
      <c r="N565" s="9" t="n"/>
      <c r="O565" s="10" t="n"/>
      <c r="P565" s="9" t="n"/>
      <c r="Q565" s="11">
        <f>IF(P565&lt;&gt;"",P565,IF(M565="","UNKNOWN",IF(AND(ISNUMBER(SEARCH("gas",LOWER(M565))),ISNUMBER(SEARCH("water",LOWER(M565)))),"GAS_WATER",IF(AND(ISNUMBER(SEARCH("oil",LOWER(M565))),ISNUMBER(SEARCH("water",LOWER(M565)))),"OIL_WATER",IF(ISNUMBER(SEARCH("gas",LOWER(M565))),"GAS",IF(ISNUMBER(SEARCH("water",LOWER(M565))),"WATER",IF(ISNUMBER(SEARCH("oil",LOWER(M565))),"OIL","UNKNOWN")))))))</f>
        <v/>
      </c>
      <c r="R565" s="12">
        <f>IF(C565="","",C565)</f>
        <v/>
      </c>
      <c r="S565" s="12">
        <f>IF(R565="","",R565+IF(O565&lt;&gt;"",O565,IF(H565="",0,H565)))</f>
        <v/>
      </c>
      <c r="T565" s="12">
        <f>IF(R565="","",MAX(Settings!$B$3,Settings!$B$4*IF(O565&lt;&gt;"",O565,IF(H565="",0,H565))))</f>
        <v/>
      </c>
      <c r="U565" s="11">
        <f>IF(AND(C565&lt;&gt;"",M565&lt;&gt;"",OR(H565&lt;&gt;"",O565&lt;&gt;"")),"COMPLETE",IF(OR(C565&lt;&gt;"",M565&lt;&gt;""),"PARTIAL","MISSING"))</f>
        <v/>
      </c>
      <c r="V565" s="11">
        <f>IF(Q565="UNKNOWN","Check fluid description",IF(AND(R565&lt;&gt;"",S565&lt;&gt;""),"Ready for contact screening","Needs TVD + thickness"))</f>
        <v/>
      </c>
    </row>
    <row r="566">
      <c r="A566" s="9" t="n"/>
      <c r="B566" s="9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9" t="n"/>
      <c r="N566" s="9" t="n"/>
      <c r="O566" s="10" t="n"/>
      <c r="P566" s="9" t="n"/>
      <c r="Q566" s="11">
        <f>IF(P566&lt;&gt;"",P566,IF(M566="","UNKNOWN",IF(AND(ISNUMBER(SEARCH("gas",LOWER(M566))),ISNUMBER(SEARCH("water",LOWER(M566)))),"GAS_WATER",IF(AND(ISNUMBER(SEARCH("oil",LOWER(M566))),ISNUMBER(SEARCH("water",LOWER(M566)))),"OIL_WATER",IF(ISNUMBER(SEARCH("gas",LOWER(M566))),"GAS",IF(ISNUMBER(SEARCH("water",LOWER(M566))),"WATER",IF(ISNUMBER(SEARCH("oil",LOWER(M566))),"OIL","UNKNOWN")))))))</f>
        <v/>
      </c>
      <c r="R566" s="12">
        <f>IF(C566="","",C566)</f>
        <v/>
      </c>
      <c r="S566" s="12">
        <f>IF(R566="","",R566+IF(O566&lt;&gt;"",O566,IF(H566="",0,H566)))</f>
        <v/>
      </c>
      <c r="T566" s="12">
        <f>IF(R566="","",MAX(Settings!$B$3,Settings!$B$4*IF(O566&lt;&gt;"",O566,IF(H566="",0,H566))))</f>
        <v/>
      </c>
      <c r="U566" s="11">
        <f>IF(AND(C566&lt;&gt;"",M566&lt;&gt;"",OR(H566&lt;&gt;"",O566&lt;&gt;"")),"COMPLETE",IF(OR(C566&lt;&gt;"",M566&lt;&gt;""),"PARTIAL","MISSING"))</f>
        <v/>
      </c>
      <c r="V566" s="11">
        <f>IF(Q566="UNKNOWN","Check fluid description",IF(AND(R566&lt;&gt;"",S566&lt;&gt;""),"Ready for contact screening","Needs TVD + thickness"))</f>
        <v/>
      </c>
    </row>
    <row r="567">
      <c r="A567" s="9" t="n"/>
      <c r="B567" s="9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9" t="n"/>
      <c r="N567" s="9" t="n"/>
      <c r="O567" s="10" t="n"/>
      <c r="P567" s="9" t="n"/>
      <c r="Q567" s="11">
        <f>IF(P567&lt;&gt;"",P567,IF(M567="","UNKNOWN",IF(AND(ISNUMBER(SEARCH("gas",LOWER(M567))),ISNUMBER(SEARCH("water",LOWER(M567)))),"GAS_WATER",IF(AND(ISNUMBER(SEARCH("oil",LOWER(M567))),ISNUMBER(SEARCH("water",LOWER(M567)))),"OIL_WATER",IF(ISNUMBER(SEARCH("gas",LOWER(M567))),"GAS",IF(ISNUMBER(SEARCH("water",LOWER(M567))),"WATER",IF(ISNUMBER(SEARCH("oil",LOWER(M567))),"OIL","UNKNOWN")))))))</f>
        <v/>
      </c>
      <c r="R567" s="12">
        <f>IF(C567="","",C567)</f>
        <v/>
      </c>
      <c r="S567" s="12">
        <f>IF(R567="","",R567+IF(O567&lt;&gt;"",O567,IF(H567="",0,H567)))</f>
        <v/>
      </c>
      <c r="T567" s="12">
        <f>IF(R567="","",MAX(Settings!$B$3,Settings!$B$4*IF(O567&lt;&gt;"",O567,IF(H567="",0,H567))))</f>
        <v/>
      </c>
      <c r="U567" s="11">
        <f>IF(AND(C567&lt;&gt;"",M567&lt;&gt;"",OR(H567&lt;&gt;"",O567&lt;&gt;"")),"COMPLETE",IF(OR(C567&lt;&gt;"",M567&lt;&gt;""),"PARTIAL","MISSING"))</f>
        <v/>
      </c>
      <c r="V567" s="11">
        <f>IF(Q567="UNKNOWN","Check fluid description",IF(AND(R567&lt;&gt;"",S567&lt;&gt;""),"Ready for contact screening","Needs TVD + thickness"))</f>
        <v/>
      </c>
    </row>
    <row r="568">
      <c r="A568" s="9" t="n"/>
      <c r="B568" s="9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9" t="n"/>
      <c r="N568" s="9" t="n"/>
      <c r="O568" s="10" t="n"/>
      <c r="P568" s="9" t="n"/>
      <c r="Q568" s="11">
        <f>IF(P568&lt;&gt;"",P568,IF(M568="","UNKNOWN",IF(AND(ISNUMBER(SEARCH("gas",LOWER(M568))),ISNUMBER(SEARCH("water",LOWER(M568)))),"GAS_WATER",IF(AND(ISNUMBER(SEARCH("oil",LOWER(M568))),ISNUMBER(SEARCH("water",LOWER(M568)))),"OIL_WATER",IF(ISNUMBER(SEARCH("gas",LOWER(M568))),"GAS",IF(ISNUMBER(SEARCH("water",LOWER(M568))),"WATER",IF(ISNUMBER(SEARCH("oil",LOWER(M568))),"OIL","UNKNOWN")))))))</f>
        <v/>
      </c>
      <c r="R568" s="12">
        <f>IF(C568="","",C568)</f>
        <v/>
      </c>
      <c r="S568" s="12">
        <f>IF(R568="","",R568+IF(O568&lt;&gt;"",O568,IF(H568="",0,H568)))</f>
        <v/>
      </c>
      <c r="T568" s="12">
        <f>IF(R568="","",MAX(Settings!$B$3,Settings!$B$4*IF(O568&lt;&gt;"",O568,IF(H568="",0,H568))))</f>
        <v/>
      </c>
      <c r="U568" s="11">
        <f>IF(AND(C568&lt;&gt;"",M568&lt;&gt;"",OR(H568&lt;&gt;"",O568&lt;&gt;"")),"COMPLETE",IF(OR(C568&lt;&gt;"",M568&lt;&gt;""),"PARTIAL","MISSING"))</f>
        <v/>
      </c>
      <c r="V568" s="11">
        <f>IF(Q568="UNKNOWN","Check fluid description",IF(AND(R568&lt;&gt;"",S568&lt;&gt;""),"Ready for contact screening","Needs TVD + thickness"))</f>
        <v/>
      </c>
    </row>
    <row r="569">
      <c r="A569" s="9" t="n"/>
      <c r="B569" s="9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9" t="n"/>
      <c r="N569" s="9" t="n"/>
      <c r="O569" s="10" t="n"/>
      <c r="P569" s="9" t="n"/>
      <c r="Q569" s="11">
        <f>IF(P569&lt;&gt;"",P569,IF(M569="","UNKNOWN",IF(AND(ISNUMBER(SEARCH("gas",LOWER(M569))),ISNUMBER(SEARCH("water",LOWER(M569)))),"GAS_WATER",IF(AND(ISNUMBER(SEARCH("oil",LOWER(M569))),ISNUMBER(SEARCH("water",LOWER(M569)))),"OIL_WATER",IF(ISNUMBER(SEARCH("gas",LOWER(M569))),"GAS",IF(ISNUMBER(SEARCH("water",LOWER(M569))),"WATER",IF(ISNUMBER(SEARCH("oil",LOWER(M569))),"OIL","UNKNOWN")))))))</f>
        <v/>
      </c>
      <c r="R569" s="12">
        <f>IF(C569="","",C569)</f>
        <v/>
      </c>
      <c r="S569" s="12">
        <f>IF(R569="","",R569+IF(O569&lt;&gt;"",O569,IF(H569="",0,H569)))</f>
        <v/>
      </c>
      <c r="T569" s="12">
        <f>IF(R569="","",MAX(Settings!$B$3,Settings!$B$4*IF(O569&lt;&gt;"",O569,IF(H569="",0,H569))))</f>
        <v/>
      </c>
      <c r="U569" s="11">
        <f>IF(AND(C569&lt;&gt;"",M569&lt;&gt;"",OR(H569&lt;&gt;"",O569&lt;&gt;"")),"COMPLETE",IF(OR(C569&lt;&gt;"",M569&lt;&gt;""),"PARTIAL","MISSING"))</f>
        <v/>
      </c>
      <c r="V569" s="11">
        <f>IF(Q569="UNKNOWN","Check fluid description",IF(AND(R569&lt;&gt;"",S569&lt;&gt;""),"Ready for contact screening","Needs TVD + thickness"))</f>
        <v/>
      </c>
    </row>
    <row r="570">
      <c r="A570" s="9" t="n"/>
      <c r="B570" s="9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9" t="n"/>
      <c r="N570" s="9" t="n"/>
      <c r="O570" s="10" t="n"/>
      <c r="P570" s="9" t="n"/>
      <c r="Q570" s="11">
        <f>IF(P570&lt;&gt;"",P570,IF(M570="","UNKNOWN",IF(AND(ISNUMBER(SEARCH("gas",LOWER(M570))),ISNUMBER(SEARCH("water",LOWER(M570)))),"GAS_WATER",IF(AND(ISNUMBER(SEARCH("oil",LOWER(M570))),ISNUMBER(SEARCH("water",LOWER(M570)))),"OIL_WATER",IF(ISNUMBER(SEARCH("gas",LOWER(M570))),"GAS",IF(ISNUMBER(SEARCH("water",LOWER(M570))),"WATER",IF(ISNUMBER(SEARCH("oil",LOWER(M570))),"OIL","UNKNOWN")))))))</f>
        <v/>
      </c>
      <c r="R570" s="12">
        <f>IF(C570="","",C570)</f>
        <v/>
      </c>
      <c r="S570" s="12">
        <f>IF(R570="","",R570+IF(O570&lt;&gt;"",O570,IF(H570="",0,H570)))</f>
        <v/>
      </c>
      <c r="T570" s="12">
        <f>IF(R570="","",MAX(Settings!$B$3,Settings!$B$4*IF(O570&lt;&gt;"",O570,IF(H570="",0,H570))))</f>
        <v/>
      </c>
      <c r="U570" s="11">
        <f>IF(AND(C570&lt;&gt;"",M570&lt;&gt;"",OR(H570&lt;&gt;"",O570&lt;&gt;"")),"COMPLETE",IF(OR(C570&lt;&gt;"",M570&lt;&gt;""),"PARTIAL","MISSING"))</f>
        <v/>
      </c>
      <c r="V570" s="11">
        <f>IF(Q570="UNKNOWN","Check fluid description",IF(AND(R570&lt;&gt;"",S570&lt;&gt;""),"Ready for contact screening","Needs TVD + thickness"))</f>
        <v/>
      </c>
    </row>
    <row r="571">
      <c r="A571" s="9" t="n"/>
      <c r="B571" s="9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9" t="n"/>
      <c r="N571" s="9" t="n"/>
      <c r="O571" s="10" t="n"/>
      <c r="P571" s="9" t="n"/>
      <c r="Q571" s="11">
        <f>IF(P571&lt;&gt;"",P571,IF(M571="","UNKNOWN",IF(AND(ISNUMBER(SEARCH("gas",LOWER(M571))),ISNUMBER(SEARCH("water",LOWER(M571)))),"GAS_WATER",IF(AND(ISNUMBER(SEARCH("oil",LOWER(M571))),ISNUMBER(SEARCH("water",LOWER(M571)))),"OIL_WATER",IF(ISNUMBER(SEARCH("gas",LOWER(M571))),"GAS",IF(ISNUMBER(SEARCH("water",LOWER(M571))),"WATER",IF(ISNUMBER(SEARCH("oil",LOWER(M571))),"OIL","UNKNOWN")))))))</f>
        <v/>
      </c>
      <c r="R571" s="12">
        <f>IF(C571="","",C571)</f>
        <v/>
      </c>
      <c r="S571" s="12">
        <f>IF(R571="","",R571+IF(O571&lt;&gt;"",O571,IF(H571="",0,H571)))</f>
        <v/>
      </c>
      <c r="T571" s="12">
        <f>IF(R571="","",MAX(Settings!$B$3,Settings!$B$4*IF(O571&lt;&gt;"",O571,IF(H571="",0,H571))))</f>
        <v/>
      </c>
      <c r="U571" s="11">
        <f>IF(AND(C571&lt;&gt;"",M571&lt;&gt;"",OR(H571&lt;&gt;"",O571&lt;&gt;"")),"COMPLETE",IF(OR(C571&lt;&gt;"",M571&lt;&gt;""),"PARTIAL","MISSING"))</f>
        <v/>
      </c>
      <c r="V571" s="11">
        <f>IF(Q571="UNKNOWN","Check fluid description",IF(AND(R571&lt;&gt;"",S571&lt;&gt;""),"Ready for contact screening","Needs TVD + thickness"))</f>
        <v/>
      </c>
    </row>
    <row r="572">
      <c r="A572" s="9" t="n"/>
      <c r="B572" s="9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9" t="n"/>
      <c r="N572" s="9" t="n"/>
      <c r="O572" s="10" t="n"/>
      <c r="P572" s="9" t="n"/>
      <c r="Q572" s="11">
        <f>IF(P572&lt;&gt;"",P572,IF(M572="","UNKNOWN",IF(AND(ISNUMBER(SEARCH("gas",LOWER(M572))),ISNUMBER(SEARCH("water",LOWER(M572)))),"GAS_WATER",IF(AND(ISNUMBER(SEARCH("oil",LOWER(M572))),ISNUMBER(SEARCH("water",LOWER(M572)))),"OIL_WATER",IF(ISNUMBER(SEARCH("gas",LOWER(M572))),"GAS",IF(ISNUMBER(SEARCH("water",LOWER(M572))),"WATER",IF(ISNUMBER(SEARCH("oil",LOWER(M572))),"OIL","UNKNOWN")))))))</f>
        <v/>
      </c>
      <c r="R572" s="12">
        <f>IF(C572="","",C572)</f>
        <v/>
      </c>
      <c r="S572" s="12">
        <f>IF(R572="","",R572+IF(O572&lt;&gt;"",O572,IF(H572="",0,H572)))</f>
        <v/>
      </c>
      <c r="T572" s="12">
        <f>IF(R572="","",MAX(Settings!$B$3,Settings!$B$4*IF(O572&lt;&gt;"",O572,IF(H572="",0,H572))))</f>
        <v/>
      </c>
      <c r="U572" s="11">
        <f>IF(AND(C572&lt;&gt;"",M572&lt;&gt;"",OR(H572&lt;&gt;"",O572&lt;&gt;"")),"COMPLETE",IF(OR(C572&lt;&gt;"",M572&lt;&gt;""),"PARTIAL","MISSING"))</f>
        <v/>
      </c>
      <c r="V572" s="11">
        <f>IF(Q572="UNKNOWN","Check fluid description",IF(AND(R572&lt;&gt;"",S572&lt;&gt;""),"Ready for contact screening","Needs TVD + thickness"))</f>
        <v/>
      </c>
    </row>
    <row r="573">
      <c r="A573" s="9" t="n"/>
      <c r="B573" s="9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9" t="n"/>
      <c r="N573" s="9" t="n"/>
      <c r="O573" s="10" t="n"/>
      <c r="P573" s="9" t="n"/>
      <c r="Q573" s="11">
        <f>IF(P573&lt;&gt;"",P573,IF(M573="","UNKNOWN",IF(AND(ISNUMBER(SEARCH("gas",LOWER(M573))),ISNUMBER(SEARCH("water",LOWER(M573)))),"GAS_WATER",IF(AND(ISNUMBER(SEARCH("oil",LOWER(M573))),ISNUMBER(SEARCH("water",LOWER(M573)))),"OIL_WATER",IF(ISNUMBER(SEARCH("gas",LOWER(M573))),"GAS",IF(ISNUMBER(SEARCH("water",LOWER(M573))),"WATER",IF(ISNUMBER(SEARCH("oil",LOWER(M573))),"OIL","UNKNOWN")))))))</f>
        <v/>
      </c>
      <c r="R573" s="12">
        <f>IF(C573="","",C573)</f>
        <v/>
      </c>
      <c r="S573" s="12">
        <f>IF(R573="","",R573+IF(O573&lt;&gt;"",O573,IF(H573="",0,H573)))</f>
        <v/>
      </c>
      <c r="T573" s="12">
        <f>IF(R573="","",MAX(Settings!$B$3,Settings!$B$4*IF(O573&lt;&gt;"",O573,IF(H573="",0,H573))))</f>
        <v/>
      </c>
      <c r="U573" s="11">
        <f>IF(AND(C573&lt;&gt;"",M573&lt;&gt;"",OR(H573&lt;&gt;"",O573&lt;&gt;"")),"COMPLETE",IF(OR(C573&lt;&gt;"",M573&lt;&gt;""),"PARTIAL","MISSING"))</f>
        <v/>
      </c>
      <c r="V573" s="11">
        <f>IF(Q573="UNKNOWN","Check fluid description",IF(AND(R573&lt;&gt;"",S573&lt;&gt;""),"Ready for contact screening","Needs TVD + thickness"))</f>
        <v/>
      </c>
    </row>
    <row r="574">
      <c r="A574" s="9" t="n"/>
      <c r="B574" s="9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9" t="n"/>
      <c r="N574" s="9" t="n"/>
      <c r="O574" s="10" t="n"/>
      <c r="P574" s="9" t="n"/>
      <c r="Q574" s="11">
        <f>IF(P574&lt;&gt;"",P574,IF(M574="","UNKNOWN",IF(AND(ISNUMBER(SEARCH("gas",LOWER(M574))),ISNUMBER(SEARCH("water",LOWER(M574)))),"GAS_WATER",IF(AND(ISNUMBER(SEARCH("oil",LOWER(M574))),ISNUMBER(SEARCH("water",LOWER(M574)))),"OIL_WATER",IF(ISNUMBER(SEARCH("gas",LOWER(M574))),"GAS",IF(ISNUMBER(SEARCH("water",LOWER(M574))),"WATER",IF(ISNUMBER(SEARCH("oil",LOWER(M574))),"OIL","UNKNOWN")))))))</f>
        <v/>
      </c>
      <c r="R574" s="12">
        <f>IF(C574="","",C574)</f>
        <v/>
      </c>
      <c r="S574" s="12">
        <f>IF(R574="","",R574+IF(O574&lt;&gt;"",O574,IF(H574="",0,H574)))</f>
        <v/>
      </c>
      <c r="T574" s="12">
        <f>IF(R574="","",MAX(Settings!$B$3,Settings!$B$4*IF(O574&lt;&gt;"",O574,IF(H574="",0,H574))))</f>
        <v/>
      </c>
      <c r="U574" s="11">
        <f>IF(AND(C574&lt;&gt;"",M574&lt;&gt;"",OR(H574&lt;&gt;"",O574&lt;&gt;"")),"COMPLETE",IF(OR(C574&lt;&gt;"",M574&lt;&gt;""),"PARTIAL","MISSING"))</f>
        <v/>
      </c>
      <c r="V574" s="11">
        <f>IF(Q574="UNKNOWN","Check fluid description",IF(AND(R574&lt;&gt;"",S574&lt;&gt;""),"Ready for contact screening","Needs TVD + thickness"))</f>
        <v/>
      </c>
    </row>
    <row r="575">
      <c r="A575" s="9" t="n"/>
      <c r="B575" s="9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9" t="n"/>
      <c r="N575" s="9" t="n"/>
      <c r="O575" s="10" t="n"/>
      <c r="P575" s="9" t="n"/>
      <c r="Q575" s="11">
        <f>IF(P575&lt;&gt;"",P575,IF(M575="","UNKNOWN",IF(AND(ISNUMBER(SEARCH("gas",LOWER(M575))),ISNUMBER(SEARCH("water",LOWER(M575)))),"GAS_WATER",IF(AND(ISNUMBER(SEARCH("oil",LOWER(M575))),ISNUMBER(SEARCH("water",LOWER(M575)))),"OIL_WATER",IF(ISNUMBER(SEARCH("gas",LOWER(M575))),"GAS",IF(ISNUMBER(SEARCH("water",LOWER(M575))),"WATER",IF(ISNUMBER(SEARCH("oil",LOWER(M575))),"OIL","UNKNOWN")))))))</f>
        <v/>
      </c>
      <c r="R575" s="12">
        <f>IF(C575="","",C575)</f>
        <v/>
      </c>
      <c r="S575" s="12">
        <f>IF(R575="","",R575+IF(O575&lt;&gt;"",O575,IF(H575="",0,H575)))</f>
        <v/>
      </c>
      <c r="T575" s="12">
        <f>IF(R575="","",MAX(Settings!$B$3,Settings!$B$4*IF(O575&lt;&gt;"",O575,IF(H575="",0,H575))))</f>
        <v/>
      </c>
      <c r="U575" s="11">
        <f>IF(AND(C575&lt;&gt;"",M575&lt;&gt;"",OR(H575&lt;&gt;"",O575&lt;&gt;"")),"COMPLETE",IF(OR(C575&lt;&gt;"",M575&lt;&gt;""),"PARTIAL","MISSING"))</f>
        <v/>
      </c>
      <c r="V575" s="11">
        <f>IF(Q575="UNKNOWN","Check fluid description",IF(AND(R575&lt;&gt;"",S575&lt;&gt;""),"Ready for contact screening","Needs TVD + thickness"))</f>
        <v/>
      </c>
    </row>
    <row r="576">
      <c r="A576" s="9" t="n"/>
      <c r="B576" s="9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9" t="n"/>
      <c r="N576" s="9" t="n"/>
      <c r="O576" s="10" t="n"/>
      <c r="P576" s="9" t="n"/>
      <c r="Q576" s="11">
        <f>IF(P576&lt;&gt;"",P576,IF(M576="","UNKNOWN",IF(AND(ISNUMBER(SEARCH("gas",LOWER(M576))),ISNUMBER(SEARCH("water",LOWER(M576)))),"GAS_WATER",IF(AND(ISNUMBER(SEARCH("oil",LOWER(M576))),ISNUMBER(SEARCH("water",LOWER(M576)))),"OIL_WATER",IF(ISNUMBER(SEARCH("gas",LOWER(M576))),"GAS",IF(ISNUMBER(SEARCH("water",LOWER(M576))),"WATER",IF(ISNUMBER(SEARCH("oil",LOWER(M576))),"OIL","UNKNOWN")))))))</f>
        <v/>
      </c>
      <c r="R576" s="12">
        <f>IF(C576="","",C576)</f>
        <v/>
      </c>
      <c r="S576" s="12">
        <f>IF(R576="","",R576+IF(O576&lt;&gt;"",O576,IF(H576="",0,H576)))</f>
        <v/>
      </c>
      <c r="T576" s="12">
        <f>IF(R576="","",MAX(Settings!$B$3,Settings!$B$4*IF(O576&lt;&gt;"",O576,IF(H576="",0,H576))))</f>
        <v/>
      </c>
      <c r="U576" s="11">
        <f>IF(AND(C576&lt;&gt;"",M576&lt;&gt;"",OR(H576&lt;&gt;"",O576&lt;&gt;"")),"COMPLETE",IF(OR(C576&lt;&gt;"",M576&lt;&gt;""),"PARTIAL","MISSING"))</f>
        <v/>
      </c>
      <c r="V576" s="11">
        <f>IF(Q576="UNKNOWN","Check fluid description",IF(AND(R576&lt;&gt;"",S576&lt;&gt;""),"Ready for contact screening","Needs TVD + thickness"))</f>
        <v/>
      </c>
    </row>
    <row r="577">
      <c r="A577" s="9" t="n"/>
      <c r="B577" s="9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9" t="n"/>
      <c r="N577" s="9" t="n"/>
      <c r="O577" s="10" t="n"/>
      <c r="P577" s="9" t="n"/>
      <c r="Q577" s="11">
        <f>IF(P577&lt;&gt;"",P577,IF(M577="","UNKNOWN",IF(AND(ISNUMBER(SEARCH("gas",LOWER(M577))),ISNUMBER(SEARCH("water",LOWER(M577)))),"GAS_WATER",IF(AND(ISNUMBER(SEARCH("oil",LOWER(M577))),ISNUMBER(SEARCH("water",LOWER(M577)))),"OIL_WATER",IF(ISNUMBER(SEARCH("gas",LOWER(M577))),"GAS",IF(ISNUMBER(SEARCH("water",LOWER(M577))),"WATER",IF(ISNUMBER(SEARCH("oil",LOWER(M577))),"OIL","UNKNOWN")))))))</f>
        <v/>
      </c>
      <c r="R577" s="12">
        <f>IF(C577="","",C577)</f>
        <v/>
      </c>
      <c r="S577" s="12">
        <f>IF(R577="","",R577+IF(O577&lt;&gt;"",O577,IF(H577="",0,H577)))</f>
        <v/>
      </c>
      <c r="T577" s="12">
        <f>IF(R577="","",MAX(Settings!$B$3,Settings!$B$4*IF(O577&lt;&gt;"",O577,IF(H577="",0,H577))))</f>
        <v/>
      </c>
      <c r="U577" s="11">
        <f>IF(AND(C577&lt;&gt;"",M577&lt;&gt;"",OR(H577&lt;&gt;"",O577&lt;&gt;"")),"COMPLETE",IF(OR(C577&lt;&gt;"",M577&lt;&gt;""),"PARTIAL","MISSING"))</f>
        <v/>
      </c>
      <c r="V577" s="11">
        <f>IF(Q577="UNKNOWN","Check fluid description",IF(AND(R577&lt;&gt;"",S577&lt;&gt;""),"Ready for contact screening","Needs TVD + thickness"))</f>
        <v/>
      </c>
    </row>
    <row r="578">
      <c r="A578" s="9" t="n"/>
      <c r="B578" s="9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9" t="n"/>
      <c r="N578" s="9" t="n"/>
      <c r="O578" s="10" t="n"/>
      <c r="P578" s="9" t="n"/>
      <c r="Q578" s="11">
        <f>IF(P578&lt;&gt;"",P578,IF(M578="","UNKNOWN",IF(AND(ISNUMBER(SEARCH("gas",LOWER(M578))),ISNUMBER(SEARCH("water",LOWER(M578)))),"GAS_WATER",IF(AND(ISNUMBER(SEARCH("oil",LOWER(M578))),ISNUMBER(SEARCH("water",LOWER(M578)))),"OIL_WATER",IF(ISNUMBER(SEARCH("gas",LOWER(M578))),"GAS",IF(ISNUMBER(SEARCH("water",LOWER(M578))),"WATER",IF(ISNUMBER(SEARCH("oil",LOWER(M578))),"OIL","UNKNOWN")))))))</f>
        <v/>
      </c>
      <c r="R578" s="12">
        <f>IF(C578="","",C578)</f>
        <v/>
      </c>
      <c r="S578" s="12">
        <f>IF(R578="","",R578+IF(O578&lt;&gt;"",O578,IF(H578="",0,H578)))</f>
        <v/>
      </c>
      <c r="T578" s="12">
        <f>IF(R578="","",MAX(Settings!$B$3,Settings!$B$4*IF(O578&lt;&gt;"",O578,IF(H578="",0,H578))))</f>
        <v/>
      </c>
      <c r="U578" s="11">
        <f>IF(AND(C578&lt;&gt;"",M578&lt;&gt;"",OR(H578&lt;&gt;"",O578&lt;&gt;"")),"COMPLETE",IF(OR(C578&lt;&gt;"",M578&lt;&gt;""),"PARTIAL","MISSING"))</f>
        <v/>
      </c>
      <c r="V578" s="11">
        <f>IF(Q578="UNKNOWN","Check fluid description",IF(AND(R578&lt;&gt;"",S578&lt;&gt;""),"Ready for contact screening","Needs TVD + thickness"))</f>
        <v/>
      </c>
    </row>
    <row r="579">
      <c r="A579" s="9" t="n"/>
      <c r="B579" s="9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9" t="n"/>
      <c r="N579" s="9" t="n"/>
      <c r="O579" s="10" t="n"/>
      <c r="P579" s="9" t="n"/>
      <c r="Q579" s="11">
        <f>IF(P579&lt;&gt;"",P579,IF(M579="","UNKNOWN",IF(AND(ISNUMBER(SEARCH("gas",LOWER(M579))),ISNUMBER(SEARCH("water",LOWER(M579)))),"GAS_WATER",IF(AND(ISNUMBER(SEARCH("oil",LOWER(M579))),ISNUMBER(SEARCH("water",LOWER(M579)))),"OIL_WATER",IF(ISNUMBER(SEARCH("gas",LOWER(M579))),"GAS",IF(ISNUMBER(SEARCH("water",LOWER(M579))),"WATER",IF(ISNUMBER(SEARCH("oil",LOWER(M579))),"OIL","UNKNOWN")))))))</f>
        <v/>
      </c>
      <c r="R579" s="12">
        <f>IF(C579="","",C579)</f>
        <v/>
      </c>
      <c r="S579" s="12">
        <f>IF(R579="","",R579+IF(O579&lt;&gt;"",O579,IF(H579="",0,H579)))</f>
        <v/>
      </c>
      <c r="T579" s="12">
        <f>IF(R579="","",MAX(Settings!$B$3,Settings!$B$4*IF(O579&lt;&gt;"",O579,IF(H579="",0,H579))))</f>
        <v/>
      </c>
      <c r="U579" s="11">
        <f>IF(AND(C579&lt;&gt;"",M579&lt;&gt;"",OR(H579&lt;&gt;"",O579&lt;&gt;"")),"COMPLETE",IF(OR(C579&lt;&gt;"",M579&lt;&gt;""),"PARTIAL","MISSING"))</f>
        <v/>
      </c>
      <c r="V579" s="11">
        <f>IF(Q579="UNKNOWN","Check fluid description",IF(AND(R579&lt;&gt;"",S579&lt;&gt;""),"Ready for contact screening","Needs TVD + thickness"))</f>
        <v/>
      </c>
    </row>
    <row r="580">
      <c r="A580" s="9" t="n"/>
      <c r="B580" s="9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9" t="n"/>
      <c r="N580" s="9" t="n"/>
      <c r="O580" s="10" t="n"/>
      <c r="P580" s="9" t="n"/>
      <c r="Q580" s="11">
        <f>IF(P580&lt;&gt;"",P580,IF(M580="","UNKNOWN",IF(AND(ISNUMBER(SEARCH("gas",LOWER(M580))),ISNUMBER(SEARCH("water",LOWER(M580)))),"GAS_WATER",IF(AND(ISNUMBER(SEARCH("oil",LOWER(M580))),ISNUMBER(SEARCH("water",LOWER(M580)))),"OIL_WATER",IF(ISNUMBER(SEARCH("gas",LOWER(M580))),"GAS",IF(ISNUMBER(SEARCH("water",LOWER(M580))),"WATER",IF(ISNUMBER(SEARCH("oil",LOWER(M580))),"OIL","UNKNOWN")))))))</f>
        <v/>
      </c>
      <c r="R580" s="12">
        <f>IF(C580="","",C580)</f>
        <v/>
      </c>
      <c r="S580" s="12">
        <f>IF(R580="","",R580+IF(O580&lt;&gt;"",O580,IF(H580="",0,H580)))</f>
        <v/>
      </c>
      <c r="T580" s="12">
        <f>IF(R580="","",MAX(Settings!$B$3,Settings!$B$4*IF(O580&lt;&gt;"",O580,IF(H580="",0,H580))))</f>
        <v/>
      </c>
      <c r="U580" s="11">
        <f>IF(AND(C580&lt;&gt;"",M580&lt;&gt;"",OR(H580&lt;&gt;"",O580&lt;&gt;"")),"COMPLETE",IF(OR(C580&lt;&gt;"",M580&lt;&gt;""),"PARTIAL","MISSING"))</f>
        <v/>
      </c>
      <c r="V580" s="11">
        <f>IF(Q580="UNKNOWN","Check fluid description",IF(AND(R580&lt;&gt;"",S580&lt;&gt;""),"Ready for contact screening","Needs TVD + thickness"))</f>
        <v/>
      </c>
    </row>
    <row r="581">
      <c r="A581" s="9" t="n"/>
      <c r="B581" s="9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9" t="n"/>
      <c r="N581" s="9" t="n"/>
      <c r="O581" s="10" t="n"/>
      <c r="P581" s="9" t="n"/>
      <c r="Q581" s="11">
        <f>IF(P581&lt;&gt;"",P581,IF(M581="","UNKNOWN",IF(AND(ISNUMBER(SEARCH("gas",LOWER(M581))),ISNUMBER(SEARCH("water",LOWER(M581)))),"GAS_WATER",IF(AND(ISNUMBER(SEARCH("oil",LOWER(M581))),ISNUMBER(SEARCH("water",LOWER(M581)))),"OIL_WATER",IF(ISNUMBER(SEARCH("gas",LOWER(M581))),"GAS",IF(ISNUMBER(SEARCH("water",LOWER(M581))),"WATER",IF(ISNUMBER(SEARCH("oil",LOWER(M581))),"OIL","UNKNOWN")))))))</f>
        <v/>
      </c>
      <c r="R581" s="12">
        <f>IF(C581="","",C581)</f>
        <v/>
      </c>
      <c r="S581" s="12">
        <f>IF(R581="","",R581+IF(O581&lt;&gt;"",O581,IF(H581="",0,H581)))</f>
        <v/>
      </c>
      <c r="T581" s="12">
        <f>IF(R581="","",MAX(Settings!$B$3,Settings!$B$4*IF(O581&lt;&gt;"",O581,IF(H581="",0,H581))))</f>
        <v/>
      </c>
      <c r="U581" s="11">
        <f>IF(AND(C581&lt;&gt;"",M581&lt;&gt;"",OR(H581&lt;&gt;"",O581&lt;&gt;"")),"COMPLETE",IF(OR(C581&lt;&gt;"",M581&lt;&gt;""),"PARTIAL","MISSING"))</f>
        <v/>
      </c>
      <c r="V581" s="11">
        <f>IF(Q581="UNKNOWN","Check fluid description",IF(AND(R581&lt;&gt;"",S581&lt;&gt;""),"Ready for contact screening","Needs TVD + thickness"))</f>
        <v/>
      </c>
    </row>
    <row r="582">
      <c r="A582" s="9" t="n"/>
      <c r="B582" s="9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9" t="n"/>
      <c r="N582" s="9" t="n"/>
      <c r="O582" s="10" t="n"/>
      <c r="P582" s="9" t="n"/>
      <c r="Q582" s="11">
        <f>IF(P582&lt;&gt;"",P582,IF(M582="","UNKNOWN",IF(AND(ISNUMBER(SEARCH("gas",LOWER(M582))),ISNUMBER(SEARCH("water",LOWER(M582)))),"GAS_WATER",IF(AND(ISNUMBER(SEARCH("oil",LOWER(M582))),ISNUMBER(SEARCH("water",LOWER(M582)))),"OIL_WATER",IF(ISNUMBER(SEARCH("gas",LOWER(M582))),"GAS",IF(ISNUMBER(SEARCH("water",LOWER(M582))),"WATER",IF(ISNUMBER(SEARCH("oil",LOWER(M582))),"OIL","UNKNOWN")))))))</f>
        <v/>
      </c>
      <c r="R582" s="12">
        <f>IF(C582="","",C582)</f>
        <v/>
      </c>
      <c r="S582" s="12">
        <f>IF(R582="","",R582+IF(O582&lt;&gt;"",O582,IF(H582="",0,H582)))</f>
        <v/>
      </c>
      <c r="T582" s="12">
        <f>IF(R582="","",MAX(Settings!$B$3,Settings!$B$4*IF(O582&lt;&gt;"",O582,IF(H582="",0,H582))))</f>
        <v/>
      </c>
      <c r="U582" s="11">
        <f>IF(AND(C582&lt;&gt;"",M582&lt;&gt;"",OR(H582&lt;&gt;"",O582&lt;&gt;"")),"COMPLETE",IF(OR(C582&lt;&gt;"",M582&lt;&gt;""),"PARTIAL","MISSING"))</f>
        <v/>
      </c>
      <c r="V582" s="11">
        <f>IF(Q582="UNKNOWN","Check fluid description",IF(AND(R582&lt;&gt;"",S582&lt;&gt;""),"Ready for contact screening","Needs TVD + thickness"))</f>
        <v/>
      </c>
    </row>
    <row r="583">
      <c r="A583" s="9" t="n"/>
      <c r="B583" s="9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9" t="n"/>
      <c r="N583" s="9" t="n"/>
      <c r="O583" s="10" t="n"/>
      <c r="P583" s="9" t="n"/>
      <c r="Q583" s="11">
        <f>IF(P583&lt;&gt;"",P583,IF(M583="","UNKNOWN",IF(AND(ISNUMBER(SEARCH("gas",LOWER(M583))),ISNUMBER(SEARCH("water",LOWER(M583)))),"GAS_WATER",IF(AND(ISNUMBER(SEARCH("oil",LOWER(M583))),ISNUMBER(SEARCH("water",LOWER(M583)))),"OIL_WATER",IF(ISNUMBER(SEARCH("gas",LOWER(M583))),"GAS",IF(ISNUMBER(SEARCH("water",LOWER(M583))),"WATER",IF(ISNUMBER(SEARCH("oil",LOWER(M583))),"OIL","UNKNOWN")))))))</f>
        <v/>
      </c>
      <c r="R583" s="12">
        <f>IF(C583="","",C583)</f>
        <v/>
      </c>
      <c r="S583" s="12">
        <f>IF(R583="","",R583+IF(O583&lt;&gt;"",O583,IF(H583="",0,H583)))</f>
        <v/>
      </c>
      <c r="T583" s="12">
        <f>IF(R583="","",MAX(Settings!$B$3,Settings!$B$4*IF(O583&lt;&gt;"",O583,IF(H583="",0,H583))))</f>
        <v/>
      </c>
      <c r="U583" s="11">
        <f>IF(AND(C583&lt;&gt;"",M583&lt;&gt;"",OR(H583&lt;&gt;"",O583&lt;&gt;"")),"COMPLETE",IF(OR(C583&lt;&gt;"",M583&lt;&gt;""),"PARTIAL","MISSING"))</f>
        <v/>
      </c>
      <c r="V583" s="11">
        <f>IF(Q583="UNKNOWN","Check fluid description",IF(AND(R583&lt;&gt;"",S583&lt;&gt;""),"Ready for contact screening","Needs TVD + thickness"))</f>
        <v/>
      </c>
    </row>
    <row r="584">
      <c r="A584" s="9" t="n"/>
      <c r="B584" s="9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9" t="n"/>
      <c r="N584" s="9" t="n"/>
      <c r="O584" s="10" t="n"/>
      <c r="P584" s="9" t="n"/>
      <c r="Q584" s="11">
        <f>IF(P584&lt;&gt;"",P584,IF(M584="","UNKNOWN",IF(AND(ISNUMBER(SEARCH("gas",LOWER(M584))),ISNUMBER(SEARCH("water",LOWER(M584)))),"GAS_WATER",IF(AND(ISNUMBER(SEARCH("oil",LOWER(M584))),ISNUMBER(SEARCH("water",LOWER(M584)))),"OIL_WATER",IF(ISNUMBER(SEARCH("gas",LOWER(M584))),"GAS",IF(ISNUMBER(SEARCH("water",LOWER(M584))),"WATER",IF(ISNUMBER(SEARCH("oil",LOWER(M584))),"OIL","UNKNOWN")))))))</f>
        <v/>
      </c>
      <c r="R584" s="12">
        <f>IF(C584="","",C584)</f>
        <v/>
      </c>
      <c r="S584" s="12">
        <f>IF(R584="","",R584+IF(O584&lt;&gt;"",O584,IF(H584="",0,H584)))</f>
        <v/>
      </c>
      <c r="T584" s="12">
        <f>IF(R584="","",MAX(Settings!$B$3,Settings!$B$4*IF(O584&lt;&gt;"",O584,IF(H584="",0,H584))))</f>
        <v/>
      </c>
      <c r="U584" s="11">
        <f>IF(AND(C584&lt;&gt;"",M584&lt;&gt;"",OR(H584&lt;&gt;"",O584&lt;&gt;"")),"COMPLETE",IF(OR(C584&lt;&gt;"",M584&lt;&gt;""),"PARTIAL","MISSING"))</f>
        <v/>
      </c>
      <c r="V584" s="11">
        <f>IF(Q584="UNKNOWN","Check fluid description",IF(AND(R584&lt;&gt;"",S584&lt;&gt;""),"Ready for contact screening","Needs TVD + thickness"))</f>
        <v/>
      </c>
    </row>
    <row r="585">
      <c r="A585" s="9" t="n"/>
      <c r="B585" s="9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9" t="n"/>
      <c r="N585" s="9" t="n"/>
      <c r="O585" s="10" t="n"/>
      <c r="P585" s="9" t="n"/>
      <c r="Q585" s="11">
        <f>IF(P585&lt;&gt;"",P585,IF(M585="","UNKNOWN",IF(AND(ISNUMBER(SEARCH("gas",LOWER(M585))),ISNUMBER(SEARCH("water",LOWER(M585)))),"GAS_WATER",IF(AND(ISNUMBER(SEARCH("oil",LOWER(M585))),ISNUMBER(SEARCH("water",LOWER(M585)))),"OIL_WATER",IF(ISNUMBER(SEARCH("gas",LOWER(M585))),"GAS",IF(ISNUMBER(SEARCH("water",LOWER(M585))),"WATER",IF(ISNUMBER(SEARCH("oil",LOWER(M585))),"OIL","UNKNOWN")))))))</f>
        <v/>
      </c>
      <c r="R585" s="12">
        <f>IF(C585="","",C585)</f>
        <v/>
      </c>
      <c r="S585" s="12">
        <f>IF(R585="","",R585+IF(O585&lt;&gt;"",O585,IF(H585="",0,H585)))</f>
        <v/>
      </c>
      <c r="T585" s="12">
        <f>IF(R585="","",MAX(Settings!$B$3,Settings!$B$4*IF(O585&lt;&gt;"",O585,IF(H585="",0,H585))))</f>
        <v/>
      </c>
      <c r="U585" s="11">
        <f>IF(AND(C585&lt;&gt;"",M585&lt;&gt;"",OR(H585&lt;&gt;"",O585&lt;&gt;"")),"COMPLETE",IF(OR(C585&lt;&gt;"",M585&lt;&gt;""),"PARTIAL","MISSING"))</f>
        <v/>
      </c>
      <c r="V585" s="11">
        <f>IF(Q585="UNKNOWN","Check fluid description",IF(AND(R585&lt;&gt;"",S585&lt;&gt;""),"Ready for contact screening","Needs TVD + thickness"))</f>
        <v/>
      </c>
    </row>
    <row r="586">
      <c r="A586" s="9" t="n"/>
      <c r="B586" s="9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9" t="n"/>
      <c r="N586" s="9" t="n"/>
      <c r="O586" s="10" t="n"/>
      <c r="P586" s="9" t="n"/>
      <c r="Q586" s="11">
        <f>IF(P586&lt;&gt;"",P586,IF(M586="","UNKNOWN",IF(AND(ISNUMBER(SEARCH("gas",LOWER(M586))),ISNUMBER(SEARCH("water",LOWER(M586)))),"GAS_WATER",IF(AND(ISNUMBER(SEARCH("oil",LOWER(M586))),ISNUMBER(SEARCH("water",LOWER(M586)))),"OIL_WATER",IF(ISNUMBER(SEARCH("gas",LOWER(M586))),"GAS",IF(ISNUMBER(SEARCH("water",LOWER(M586))),"WATER",IF(ISNUMBER(SEARCH("oil",LOWER(M586))),"OIL","UNKNOWN")))))))</f>
        <v/>
      </c>
      <c r="R586" s="12">
        <f>IF(C586="","",C586)</f>
        <v/>
      </c>
      <c r="S586" s="12">
        <f>IF(R586="","",R586+IF(O586&lt;&gt;"",O586,IF(H586="",0,H586)))</f>
        <v/>
      </c>
      <c r="T586" s="12">
        <f>IF(R586="","",MAX(Settings!$B$3,Settings!$B$4*IF(O586&lt;&gt;"",O586,IF(H586="",0,H586))))</f>
        <v/>
      </c>
      <c r="U586" s="11">
        <f>IF(AND(C586&lt;&gt;"",M586&lt;&gt;"",OR(H586&lt;&gt;"",O586&lt;&gt;"")),"COMPLETE",IF(OR(C586&lt;&gt;"",M586&lt;&gt;""),"PARTIAL","MISSING"))</f>
        <v/>
      </c>
      <c r="V586" s="11">
        <f>IF(Q586="UNKNOWN","Check fluid description",IF(AND(R586&lt;&gt;"",S586&lt;&gt;""),"Ready for contact screening","Needs TVD + thickness"))</f>
        <v/>
      </c>
    </row>
    <row r="587">
      <c r="A587" s="9" t="n"/>
      <c r="B587" s="9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9" t="n"/>
      <c r="N587" s="9" t="n"/>
      <c r="O587" s="10" t="n"/>
      <c r="P587" s="9" t="n"/>
      <c r="Q587" s="11">
        <f>IF(P587&lt;&gt;"",P587,IF(M587="","UNKNOWN",IF(AND(ISNUMBER(SEARCH("gas",LOWER(M587))),ISNUMBER(SEARCH("water",LOWER(M587)))),"GAS_WATER",IF(AND(ISNUMBER(SEARCH("oil",LOWER(M587))),ISNUMBER(SEARCH("water",LOWER(M587)))),"OIL_WATER",IF(ISNUMBER(SEARCH("gas",LOWER(M587))),"GAS",IF(ISNUMBER(SEARCH("water",LOWER(M587))),"WATER",IF(ISNUMBER(SEARCH("oil",LOWER(M587))),"OIL","UNKNOWN")))))))</f>
        <v/>
      </c>
      <c r="R587" s="12">
        <f>IF(C587="","",C587)</f>
        <v/>
      </c>
      <c r="S587" s="12">
        <f>IF(R587="","",R587+IF(O587&lt;&gt;"",O587,IF(H587="",0,H587)))</f>
        <v/>
      </c>
      <c r="T587" s="12">
        <f>IF(R587="","",MAX(Settings!$B$3,Settings!$B$4*IF(O587&lt;&gt;"",O587,IF(H587="",0,H587))))</f>
        <v/>
      </c>
      <c r="U587" s="11">
        <f>IF(AND(C587&lt;&gt;"",M587&lt;&gt;"",OR(H587&lt;&gt;"",O587&lt;&gt;"")),"COMPLETE",IF(OR(C587&lt;&gt;"",M587&lt;&gt;""),"PARTIAL","MISSING"))</f>
        <v/>
      </c>
      <c r="V587" s="11">
        <f>IF(Q587="UNKNOWN","Check fluid description",IF(AND(R587&lt;&gt;"",S587&lt;&gt;""),"Ready for contact screening","Needs TVD + thickness"))</f>
        <v/>
      </c>
    </row>
    <row r="588">
      <c r="A588" s="9" t="n"/>
      <c r="B588" s="9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9" t="n"/>
      <c r="N588" s="9" t="n"/>
      <c r="O588" s="10" t="n"/>
      <c r="P588" s="9" t="n"/>
      <c r="Q588" s="11">
        <f>IF(P588&lt;&gt;"",P588,IF(M588="","UNKNOWN",IF(AND(ISNUMBER(SEARCH("gas",LOWER(M588))),ISNUMBER(SEARCH("water",LOWER(M588)))),"GAS_WATER",IF(AND(ISNUMBER(SEARCH("oil",LOWER(M588))),ISNUMBER(SEARCH("water",LOWER(M588)))),"OIL_WATER",IF(ISNUMBER(SEARCH("gas",LOWER(M588))),"GAS",IF(ISNUMBER(SEARCH("water",LOWER(M588))),"WATER",IF(ISNUMBER(SEARCH("oil",LOWER(M588))),"OIL","UNKNOWN")))))))</f>
        <v/>
      </c>
      <c r="R588" s="12">
        <f>IF(C588="","",C588)</f>
        <v/>
      </c>
      <c r="S588" s="12">
        <f>IF(R588="","",R588+IF(O588&lt;&gt;"",O588,IF(H588="",0,H588)))</f>
        <v/>
      </c>
      <c r="T588" s="12">
        <f>IF(R588="","",MAX(Settings!$B$3,Settings!$B$4*IF(O588&lt;&gt;"",O588,IF(H588="",0,H588))))</f>
        <v/>
      </c>
      <c r="U588" s="11">
        <f>IF(AND(C588&lt;&gt;"",M588&lt;&gt;"",OR(H588&lt;&gt;"",O588&lt;&gt;"")),"COMPLETE",IF(OR(C588&lt;&gt;"",M588&lt;&gt;""),"PARTIAL","MISSING"))</f>
        <v/>
      </c>
      <c r="V588" s="11">
        <f>IF(Q588="UNKNOWN","Check fluid description",IF(AND(R588&lt;&gt;"",S588&lt;&gt;""),"Ready for contact screening","Needs TVD + thickness"))</f>
        <v/>
      </c>
    </row>
    <row r="589">
      <c r="A589" s="9" t="n"/>
      <c r="B589" s="9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9" t="n"/>
      <c r="N589" s="9" t="n"/>
      <c r="O589" s="10" t="n"/>
      <c r="P589" s="9" t="n"/>
      <c r="Q589" s="11">
        <f>IF(P589&lt;&gt;"",P589,IF(M589="","UNKNOWN",IF(AND(ISNUMBER(SEARCH("gas",LOWER(M589))),ISNUMBER(SEARCH("water",LOWER(M589)))),"GAS_WATER",IF(AND(ISNUMBER(SEARCH("oil",LOWER(M589))),ISNUMBER(SEARCH("water",LOWER(M589)))),"OIL_WATER",IF(ISNUMBER(SEARCH("gas",LOWER(M589))),"GAS",IF(ISNUMBER(SEARCH("water",LOWER(M589))),"WATER",IF(ISNUMBER(SEARCH("oil",LOWER(M589))),"OIL","UNKNOWN")))))))</f>
        <v/>
      </c>
      <c r="R589" s="12">
        <f>IF(C589="","",C589)</f>
        <v/>
      </c>
      <c r="S589" s="12">
        <f>IF(R589="","",R589+IF(O589&lt;&gt;"",O589,IF(H589="",0,H589)))</f>
        <v/>
      </c>
      <c r="T589" s="12">
        <f>IF(R589="","",MAX(Settings!$B$3,Settings!$B$4*IF(O589&lt;&gt;"",O589,IF(H589="",0,H589))))</f>
        <v/>
      </c>
      <c r="U589" s="11">
        <f>IF(AND(C589&lt;&gt;"",M589&lt;&gt;"",OR(H589&lt;&gt;"",O589&lt;&gt;"")),"COMPLETE",IF(OR(C589&lt;&gt;"",M589&lt;&gt;""),"PARTIAL","MISSING"))</f>
        <v/>
      </c>
      <c r="V589" s="11">
        <f>IF(Q589="UNKNOWN","Check fluid description",IF(AND(R589&lt;&gt;"",S589&lt;&gt;""),"Ready for contact screening","Needs TVD + thickness"))</f>
        <v/>
      </c>
    </row>
    <row r="590">
      <c r="A590" s="9" t="n"/>
      <c r="B590" s="9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9" t="n"/>
      <c r="N590" s="9" t="n"/>
      <c r="O590" s="10" t="n"/>
      <c r="P590" s="9" t="n"/>
      <c r="Q590" s="11">
        <f>IF(P590&lt;&gt;"",P590,IF(M590="","UNKNOWN",IF(AND(ISNUMBER(SEARCH("gas",LOWER(M590))),ISNUMBER(SEARCH("water",LOWER(M590)))),"GAS_WATER",IF(AND(ISNUMBER(SEARCH("oil",LOWER(M590))),ISNUMBER(SEARCH("water",LOWER(M590)))),"OIL_WATER",IF(ISNUMBER(SEARCH("gas",LOWER(M590))),"GAS",IF(ISNUMBER(SEARCH("water",LOWER(M590))),"WATER",IF(ISNUMBER(SEARCH("oil",LOWER(M590))),"OIL","UNKNOWN")))))))</f>
        <v/>
      </c>
      <c r="R590" s="12">
        <f>IF(C590="","",C590)</f>
        <v/>
      </c>
      <c r="S590" s="12">
        <f>IF(R590="","",R590+IF(O590&lt;&gt;"",O590,IF(H590="",0,H590)))</f>
        <v/>
      </c>
      <c r="T590" s="12">
        <f>IF(R590="","",MAX(Settings!$B$3,Settings!$B$4*IF(O590&lt;&gt;"",O590,IF(H590="",0,H590))))</f>
        <v/>
      </c>
      <c r="U590" s="11">
        <f>IF(AND(C590&lt;&gt;"",M590&lt;&gt;"",OR(H590&lt;&gt;"",O590&lt;&gt;"")),"COMPLETE",IF(OR(C590&lt;&gt;"",M590&lt;&gt;""),"PARTIAL","MISSING"))</f>
        <v/>
      </c>
      <c r="V590" s="11">
        <f>IF(Q590="UNKNOWN","Check fluid description",IF(AND(R590&lt;&gt;"",S590&lt;&gt;""),"Ready for contact screening","Needs TVD + thickness"))</f>
        <v/>
      </c>
    </row>
    <row r="591">
      <c r="A591" s="9" t="n"/>
      <c r="B591" s="9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9" t="n"/>
      <c r="N591" s="9" t="n"/>
      <c r="O591" s="10" t="n"/>
      <c r="P591" s="9" t="n"/>
      <c r="Q591" s="11">
        <f>IF(P591&lt;&gt;"",P591,IF(M591="","UNKNOWN",IF(AND(ISNUMBER(SEARCH("gas",LOWER(M591))),ISNUMBER(SEARCH("water",LOWER(M591)))),"GAS_WATER",IF(AND(ISNUMBER(SEARCH("oil",LOWER(M591))),ISNUMBER(SEARCH("water",LOWER(M591)))),"OIL_WATER",IF(ISNUMBER(SEARCH("gas",LOWER(M591))),"GAS",IF(ISNUMBER(SEARCH("water",LOWER(M591))),"WATER",IF(ISNUMBER(SEARCH("oil",LOWER(M591))),"OIL","UNKNOWN")))))))</f>
        <v/>
      </c>
      <c r="R591" s="12">
        <f>IF(C591="","",C591)</f>
        <v/>
      </c>
      <c r="S591" s="12">
        <f>IF(R591="","",R591+IF(O591&lt;&gt;"",O591,IF(H591="",0,H591)))</f>
        <v/>
      </c>
      <c r="T591" s="12">
        <f>IF(R591="","",MAX(Settings!$B$3,Settings!$B$4*IF(O591&lt;&gt;"",O591,IF(H591="",0,H591))))</f>
        <v/>
      </c>
      <c r="U591" s="11">
        <f>IF(AND(C591&lt;&gt;"",M591&lt;&gt;"",OR(H591&lt;&gt;"",O591&lt;&gt;"")),"COMPLETE",IF(OR(C591&lt;&gt;"",M591&lt;&gt;""),"PARTIAL","MISSING"))</f>
        <v/>
      </c>
      <c r="V591" s="11">
        <f>IF(Q591="UNKNOWN","Check fluid description",IF(AND(R591&lt;&gt;"",S591&lt;&gt;""),"Ready for contact screening","Needs TVD + thickness"))</f>
        <v/>
      </c>
    </row>
    <row r="592">
      <c r="A592" s="9" t="n"/>
      <c r="B592" s="9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9" t="n"/>
      <c r="N592" s="9" t="n"/>
      <c r="O592" s="10" t="n"/>
      <c r="P592" s="9" t="n"/>
      <c r="Q592" s="11">
        <f>IF(P592&lt;&gt;"",P592,IF(M592="","UNKNOWN",IF(AND(ISNUMBER(SEARCH("gas",LOWER(M592))),ISNUMBER(SEARCH("water",LOWER(M592)))),"GAS_WATER",IF(AND(ISNUMBER(SEARCH("oil",LOWER(M592))),ISNUMBER(SEARCH("water",LOWER(M592)))),"OIL_WATER",IF(ISNUMBER(SEARCH("gas",LOWER(M592))),"GAS",IF(ISNUMBER(SEARCH("water",LOWER(M592))),"WATER",IF(ISNUMBER(SEARCH("oil",LOWER(M592))),"OIL","UNKNOWN")))))))</f>
        <v/>
      </c>
      <c r="R592" s="12">
        <f>IF(C592="","",C592)</f>
        <v/>
      </c>
      <c r="S592" s="12">
        <f>IF(R592="","",R592+IF(O592&lt;&gt;"",O592,IF(H592="",0,H592)))</f>
        <v/>
      </c>
      <c r="T592" s="12">
        <f>IF(R592="","",MAX(Settings!$B$3,Settings!$B$4*IF(O592&lt;&gt;"",O592,IF(H592="",0,H592))))</f>
        <v/>
      </c>
      <c r="U592" s="11">
        <f>IF(AND(C592&lt;&gt;"",M592&lt;&gt;"",OR(H592&lt;&gt;"",O592&lt;&gt;"")),"COMPLETE",IF(OR(C592&lt;&gt;"",M592&lt;&gt;""),"PARTIAL","MISSING"))</f>
        <v/>
      </c>
      <c r="V592" s="11">
        <f>IF(Q592="UNKNOWN","Check fluid description",IF(AND(R592&lt;&gt;"",S592&lt;&gt;""),"Ready for contact screening","Needs TVD + thickness"))</f>
        <v/>
      </c>
    </row>
    <row r="593">
      <c r="A593" s="9" t="n"/>
      <c r="B593" s="9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9" t="n"/>
      <c r="N593" s="9" t="n"/>
      <c r="O593" s="10" t="n"/>
      <c r="P593" s="9" t="n"/>
      <c r="Q593" s="11">
        <f>IF(P593&lt;&gt;"",P593,IF(M593="","UNKNOWN",IF(AND(ISNUMBER(SEARCH("gas",LOWER(M593))),ISNUMBER(SEARCH("water",LOWER(M593)))),"GAS_WATER",IF(AND(ISNUMBER(SEARCH("oil",LOWER(M593))),ISNUMBER(SEARCH("water",LOWER(M593)))),"OIL_WATER",IF(ISNUMBER(SEARCH("gas",LOWER(M593))),"GAS",IF(ISNUMBER(SEARCH("water",LOWER(M593))),"WATER",IF(ISNUMBER(SEARCH("oil",LOWER(M593))),"OIL","UNKNOWN")))))))</f>
        <v/>
      </c>
      <c r="R593" s="12">
        <f>IF(C593="","",C593)</f>
        <v/>
      </c>
      <c r="S593" s="12">
        <f>IF(R593="","",R593+IF(O593&lt;&gt;"",O593,IF(H593="",0,H593)))</f>
        <v/>
      </c>
      <c r="T593" s="12">
        <f>IF(R593="","",MAX(Settings!$B$3,Settings!$B$4*IF(O593&lt;&gt;"",O593,IF(H593="",0,H593))))</f>
        <v/>
      </c>
      <c r="U593" s="11">
        <f>IF(AND(C593&lt;&gt;"",M593&lt;&gt;"",OR(H593&lt;&gt;"",O593&lt;&gt;"")),"COMPLETE",IF(OR(C593&lt;&gt;"",M593&lt;&gt;""),"PARTIAL","MISSING"))</f>
        <v/>
      </c>
      <c r="V593" s="11">
        <f>IF(Q593="UNKNOWN","Check fluid description",IF(AND(R593&lt;&gt;"",S593&lt;&gt;""),"Ready for contact screening","Needs TVD + thickness"))</f>
        <v/>
      </c>
    </row>
    <row r="594">
      <c r="A594" s="9" t="n"/>
      <c r="B594" s="9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9" t="n"/>
      <c r="N594" s="9" t="n"/>
      <c r="O594" s="10" t="n"/>
      <c r="P594" s="9" t="n"/>
      <c r="Q594" s="11">
        <f>IF(P594&lt;&gt;"",P594,IF(M594="","UNKNOWN",IF(AND(ISNUMBER(SEARCH("gas",LOWER(M594))),ISNUMBER(SEARCH("water",LOWER(M594)))),"GAS_WATER",IF(AND(ISNUMBER(SEARCH("oil",LOWER(M594))),ISNUMBER(SEARCH("water",LOWER(M594)))),"OIL_WATER",IF(ISNUMBER(SEARCH("gas",LOWER(M594))),"GAS",IF(ISNUMBER(SEARCH("water",LOWER(M594))),"WATER",IF(ISNUMBER(SEARCH("oil",LOWER(M594))),"OIL","UNKNOWN")))))))</f>
        <v/>
      </c>
      <c r="R594" s="12">
        <f>IF(C594="","",C594)</f>
        <v/>
      </c>
      <c r="S594" s="12">
        <f>IF(R594="","",R594+IF(O594&lt;&gt;"",O594,IF(H594="",0,H594)))</f>
        <v/>
      </c>
      <c r="T594" s="12">
        <f>IF(R594="","",MAX(Settings!$B$3,Settings!$B$4*IF(O594&lt;&gt;"",O594,IF(H594="",0,H594))))</f>
        <v/>
      </c>
      <c r="U594" s="11">
        <f>IF(AND(C594&lt;&gt;"",M594&lt;&gt;"",OR(H594&lt;&gt;"",O594&lt;&gt;"")),"COMPLETE",IF(OR(C594&lt;&gt;"",M594&lt;&gt;""),"PARTIAL","MISSING"))</f>
        <v/>
      </c>
      <c r="V594" s="11">
        <f>IF(Q594="UNKNOWN","Check fluid description",IF(AND(R594&lt;&gt;"",S594&lt;&gt;""),"Ready for contact screening","Needs TVD + thickness"))</f>
        <v/>
      </c>
    </row>
    <row r="595">
      <c r="A595" s="9" t="n"/>
      <c r="B595" s="9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9" t="n"/>
      <c r="N595" s="9" t="n"/>
      <c r="O595" s="10" t="n"/>
      <c r="P595" s="9" t="n"/>
      <c r="Q595" s="11">
        <f>IF(P595&lt;&gt;"",P595,IF(M595="","UNKNOWN",IF(AND(ISNUMBER(SEARCH("gas",LOWER(M595))),ISNUMBER(SEARCH("water",LOWER(M595)))),"GAS_WATER",IF(AND(ISNUMBER(SEARCH("oil",LOWER(M595))),ISNUMBER(SEARCH("water",LOWER(M595)))),"OIL_WATER",IF(ISNUMBER(SEARCH("gas",LOWER(M595))),"GAS",IF(ISNUMBER(SEARCH("water",LOWER(M595))),"WATER",IF(ISNUMBER(SEARCH("oil",LOWER(M595))),"OIL","UNKNOWN")))))))</f>
        <v/>
      </c>
      <c r="R595" s="12">
        <f>IF(C595="","",C595)</f>
        <v/>
      </c>
      <c r="S595" s="12">
        <f>IF(R595="","",R595+IF(O595&lt;&gt;"",O595,IF(H595="",0,H595)))</f>
        <v/>
      </c>
      <c r="T595" s="12">
        <f>IF(R595="","",MAX(Settings!$B$3,Settings!$B$4*IF(O595&lt;&gt;"",O595,IF(H595="",0,H595))))</f>
        <v/>
      </c>
      <c r="U595" s="11">
        <f>IF(AND(C595&lt;&gt;"",M595&lt;&gt;"",OR(H595&lt;&gt;"",O595&lt;&gt;"")),"COMPLETE",IF(OR(C595&lt;&gt;"",M595&lt;&gt;""),"PARTIAL","MISSING"))</f>
        <v/>
      </c>
      <c r="V595" s="11">
        <f>IF(Q595="UNKNOWN","Check fluid description",IF(AND(R595&lt;&gt;"",S595&lt;&gt;""),"Ready for contact screening","Needs TVD + thickness"))</f>
        <v/>
      </c>
    </row>
    <row r="596">
      <c r="A596" s="9" t="n"/>
      <c r="B596" s="9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9" t="n"/>
      <c r="N596" s="9" t="n"/>
      <c r="O596" s="10" t="n"/>
      <c r="P596" s="9" t="n"/>
      <c r="Q596" s="11">
        <f>IF(P596&lt;&gt;"",P596,IF(M596="","UNKNOWN",IF(AND(ISNUMBER(SEARCH("gas",LOWER(M596))),ISNUMBER(SEARCH("water",LOWER(M596)))),"GAS_WATER",IF(AND(ISNUMBER(SEARCH("oil",LOWER(M596))),ISNUMBER(SEARCH("water",LOWER(M596)))),"OIL_WATER",IF(ISNUMBER(SEARCH("gas",LOWER(M596))),"GAS",IF(ISNUMBER(SEARCH("water",LOWER(M596))),"WATER",IF(ISNUMBER(SEARCH("oil",LOWER(M596))),"OIL","UNKNOWN")))))))</f>
        <v/>
      </c>
      <c r="R596" s="12">
        <f>IF(C596="","",C596)</f>
        <v/>
      </c>
      <c r="S596" s="12">
        <f>IF(R596="","",R596+IF(O596&lt;&gt;"",O596,IF(H596="",0,H596)))</f>
        <v/>
      </c>
      <c r="T596" s="12">
        <f>IF(R596="","",MAX(Settings!$B$3,Settings!$B$4*IF(O596&lt;&gt;"",O596,IF(H596="",0,H596))))</f>
        <v/>
      </c>
      <c r="U596" s="11">
        <f>IF(AND(C596&lt;&gt;"",M596&lt;&gt;"",OR(H596&lt;&gt;"",O596&lt;&gt;"")),"COMPLETE",IF(OR(C596&lt;&gt;"",M596&lt;&gt;""),"PARTIAL","MISSING"))</f>
        <v/>
      </c>
      <c r="V596" s="11">
        <f>IF(Q596="UNKNOWN","Check fluid description",IF(AND(R596&lt;&gt;"",S596&lt;&gt;""),"Ready for contact screening","Needs TVD + thickness"))</f>
        <v/>
      </c>
    </row>
    <row r="597">
      <c r="A597" s="9" t="n"/>
      <c r="B597" s="9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9" t="n"/>
      <c r="N597" s="9" t="n"/>
      <c r="O597" s="10" t="n"/>
      <c r="P597" s="9" t="n"/>
      <c r="Q597" s="11">
        <f>IF(P597&lt;&gt;"",P597,IF(M597="","UNKNOWN",IF(AND(ISNUMBER(SEARCH("gas",LOWER(M597))),ISNUMBER(SEARCH("water",LOWER(M597)))),"GAS_WATER",IF(AND(ISNUMBER(SEARCH("oil",LOWER(M597))),ISNUMBER(SEARCH("water",LOWER(M597)))),"OIL_WATER",IF(ISNUMBER(SEARCH("gas",LOWER(M597))),"GAS",IF(ISNUMBER(SEARCH("water",LOWER(M597))),"WATER",IF(ISNUMBER(SEARCH("oil",LOWER(M597))),"OIL","UNKNOWN")))))))</f>
        <v/>
      </c>
      <c r="R597" s="12">
        <f>IF(C597="","",C597)</f>
        <v/>
      </c>
      <c r="S597" s="12">
        <f>IF(R597="","",R597+IF(O597&lt;&gt;"",O597,IF(H597="",0,H597)))</f>
        <v/>
      </c>
      <c r="T597" s="12">
        <f>IF(R597="","",MAX(Settings!$B$3,Settings!$B$4*IF(O597&lt;&gt;"",O597,IF(H597="",0,H597))))</f>
        <v/>
      </c>
      <c r="U597" s="11">
        <f>IF(AND(C597&lt;&gt;"",M597&lt;&gt;"",OR(H597&lt;&gt;"",O597&lt;&gt;"")),"COMPLETE",IF(OR(C597&lt;&gt;"",M597&lt;&gt;""),"PARTIAL","MISSING"))</f>
        <v/>
      </c>
      <c r="V597" s="11">
        <f>IF(Q597="UNKNOWN","Check fluid description",IF(AND(R597&lt;&gt;"",S597&lt;&gt;""),"Ready for contact screening","Needs TVD + thickness"))</f>
        <v/>
      </c>
    </row>
    <row r="598">
      <c r="A598" s="9" t="n"/>
      <c r="B598" s="9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9" t="n"/>
      <c r="N598" s="9" t="n"/>
      <c r="O598" s="10" t="n"/>
      <c r="P598" s="9" t="n"/>
      <c r="Q598" s="11">
        <f>IF(P598&lt;&gt;"",P598,IF(M598="","UNKNOWN",IF(AND(ISNUMBER(SEARCH("gas",LOWER(M598))),ISNUMBER(SEARCH("water",LOWER(M598)))),"GAS_WATER",IF(AND(ISNUMBER(SEARCH("oil",LOWER(M598))),ISNUMBER(SEARCH("water",LOWER(M598)))),"OIL_WATER",IF(ISNUMBER(SEARCH("gas",LOWER(M598))),"GAS",IF(ISNUMBER(SEARCH("water",LOWER(M598))),"WATER",IF(ISNUMBER(SEARCH("oil",LOWER(M598))),"OIL","UNKNOWN")))))))</f>
        <v/>
      </c>
      <c r="R598" s="12">
        <f>IF(C598="","",C598)</f>
        <v/>
      </c>
      <c r="S598" s="12">
        <f>IF(R598="","",R598+IF(O598&lt;&gt;"",O598,IF(H598="",0,H598)))</f>
        <v/>
      </c>
      <c r="T598" s="12">
        <f>IF(R598="","",MAX(Settings!$B$3,Settings!$B$4*IF(O598&lt;&gt;"",O598,IF(H598="",0,H598))))</f>
        <v/>
      </c>
      <c r="U598" s="11">
        <f>IF(AND(C598&lt;&gt;"",M598&lt;&gt;"",OR(H598&lt;&gt;"",O598&lt;&gt;"")),"COMPLETE",IF(OR(C598&lt;&gt;"",M598&lt;&gt;""),"PARTIAL","MISSING"))</f>
        <v/>
      </c>
      <c r="V598" s="11">
        <f>IF(Q598="UNKNOWN","Check fluid description",IF(AND(R598&lt;&gt;"",S598&lt;&gt;""),"Ready for contact screening","Needs TVD + thickness"))</f>
        <v/>
      </c>
    </row>
    <row r="599">
      <c r="A599" s="9" t="n"/>
      <c r="B599" s="9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9" t="n"/>
      <c r="N599" s="9" t="n"/>
      <c r="O599" s="10" t="n"/>
      <c r="P599" s="9" t="n"/>
      <c r="Q599" s="11">
        <f>IF(P599&lt;&gt;"",P599,IF(M599="","UNKNOWN",IF(AND(ISNUMBER(SEARCH("gas",LOWER(M599))),ISNUMBER(SEARCH("water",LOWER(M599)))),"GAS_WATER",IF(AND(ISNUMBER(SEARCH("oil",LOWER(M599))),ISNUMBER(SEARCH("water",LOWER(M599)))),"OIL_WATER",IF(ISNUMBER(SEARCH("gas",LOWER(M599))),"GAS",IF(ISNUMBER(SEARCH("water",LOWER(M599))),"WATER",IF(ISNUMBER(SEARCH("oil",LOWER(M599))),"OIL","UNKNOWN")))))))</f>
        <v/>
      </c>
      <c r="R599" s="12">
        <f>IF(C599="","",C599)</f>
        <v/>
      </c>
      <c r="S599" s="12">
        <f>IF(R599="","",R599+IF(O599&lt;&gt;"",O599,IF(H599="",0,H599)))</f>
        <v/>
      </c>
      <c r="T599" s="12">
        <f>IF(R599="","",MAX(Settings!$B$3,Settings!$B$4*IF(O599&lt;&gt;"",O599,IF(H599="",0,H599))))</f>
        <v/>
      </c>
      <c r="U599" s="11">
        <f>IF(AND(C599&lt;&gt;"",M599&lt;&gt;"",OR(H599&lt;&gt;"",O599&lt;&gt;"")),"COMPLETE",IF(OR(C599&lt;&gt;"",M599&lt;&gt;""),"PARTIAL","MISSING"))</f>
        <v/>
      </c>
      <c r="V599" s="11">
        <f>IF(Q599="UNKNOWN","Check fluid description",IF(AND(R599&lt;&gt;"",S599&lt;&gt;""),"Ready for contact screening","Needs TVD + thickness"))</f>
        <v/>
      </c>
    </row>
    <row r="600">
      <c r="A600" s="9" t="n"/>
      <c r="B600" s="9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9" t="n"/>
      <c r="N600" s="9" t="n"/>
      <c r="O600" s="10" t="n"/>
      <c r="P600" s="9" t="n"/>
      <c r="Q600" s="11">
        <f>IF(P600&lt;&gt;"",P600,IF(M600="","UNKNOWN",IF(AND(ISNUMBER(SEARCH("gas",LOWER(M600))),ISNUMBER(SEARCH("water",LOWER(M600)))),"GAS_WATER",IF(AND(ISNUMBER(SEARCH("oil",LOWER(M600))),ISNUMBER(SEARCH("water",LOWER(M600)))),"OIL_WATER",IF(ISNUMBER(SEARCH("gas",LOWER(M600))),"GAS",IF(ISNUMBER(SEARCH("water",LOWER(M600))),"WATER",IF(ISNUMBER(SEARCH("oil",LOWER(M600))),"OIL","UNKNOWN")))))))</f>
        <v/>
      </c>
      <c r="R600" s="12">
        <f>IF(C600="","",C600)</f>
        <v/>
      </c>
      <c r="S600" s="12">
        <f>IF(R600="","",R600+IF(O600&lt;&gt;"",O600,IF(H600="",0,H600)))</f>
        <v/>
      </c>
      <c r="T600" s="12">
        <f>IF(R600="","",MAX(Settings!$B$3,Settings!$B$4*IF(O600&lt;&gt;"",O600,IF(H600="",0,H600))))</f>
        <v/>
      </c>
      <c r="U600" s="11">
        <f>IF(AND(C600&lt;&gt;"",M600&lt;&gt;"",OR(H600&lt;&gt;"",O600&lt;&gt;"")),"COMPLETE",IF(OR(C600&lt;&gt;"",M600&lt;&gt;""),"PARTIAL","MISSING"))</f>
        <v/>
      </c>
      <c r="V600" s="11">
        <f>IF(Q600="UNKNOWN","Check fluid description",IF(AND(R600&lt;&gt;"",S600&lt;&gt;""),"Ready for contact screening","Needs TVD + thickness"))</f>
        <v/>
      </c>
    </row>
    <row r="601">
      <c r="A601" s="9" t="n"/>
      <c r="B601" s="9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9" t="n"/>
      <c r="N601" s="9" t="n"/>
      <c r="O601" s="10" t="n"/>
      <c r="P601" s="9" t="n"/>
      <c r="Q601" s="11">
        <f>IF(P601&lt;&gt;"",P601,IF(M601="","UNKNOWN",IF(AND(ISNUMBER(SEARCH("gas",LOWER(M601))),ISNUMBER(SEARCH("water",LOWER(M601)))),"GAS_WATER",IF(AND(ISNUMBER(SEARCH("oil",LOWER(M601))),ISNUMBER(SEARCH("water",LOWER(M601)))),"OIL_WATER",IF(ISNUMBER(SEARCH("gas",LOWER(M601))),"GAS",IF(ISNUMBER(SEARCH("water",LOWER(M601))),"WATER",IF(ISNUMBER(SEARCH("oil",LOWER(M601))),"OIL","UNKNOWN")))))))</f>
        <v/>
      </c>
      <c r="R601" s="12">
        <f>IF(C601="","",C601)</f>
        <v/>
      </c>
      <c r="S601" s="12">
        <f>IF(R601="","",R601+IF(O601&lt;&gt;"",O601,IF(H601="",0,H601)))</f>
        <v/>
      </c>
      <c r="T601" s="12">
        <f>IF(R601="","",MAX(Settings!$B$3,Settings!$B$4*IF(O601&lt;&gt;"",O601,IF(H601="",0,H601))))</f>
        <v/>
      </c>
      <c r="U601" s="11">
        <f>IF(AND(C601&lt;&gt;"",M601&lt;&gt;"",OR(H601&lt;&gt;"",O601&lt;&gt;"")),"COMPLETE",IF(OR(C601&lt;&gt;"",M601&lt;&gt;""),"PARTIAL","MISSING"))</f>
        <v/>
      </c>
      <c r="V601" s="11">
        <f>IF(Q601="UNKNOWN","Check fluid description",IF(AND(R601&lt;&gt;"",S601&lt;&gt;""),"Ready for contact screening","Needs TVD + thickness"))</f>
        <v/>
      </c>
    </row>
    <row r="602">
      <c r="A602" s="9" t="n"/>
      <c r="B602" s="9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9" t="n"/>
      <c r="N602" s="9" t="n"/>
      <c r="O602" s="10" t="n"/>
      <c r="P602" s="9" t="n"/>
      <c r="Q602" s="11">
        <f>IF(P602&lt;&gt;"",P602,IF(M602="","UNKNOWN",IF(AND(ISNUMBER(SEARCH("gas",LOWER(M602))),ISNUMBER(SEARCH("water",LOWER(M602)))),"GAS_WATER",IF(AND(ISNUMBER(SEARCH("oil",LOWER(M602))),ISNUMBER(SEARCH("water",LOWER(M602)))),"OIL_WATER",IF(ISNUMBER(SEARCH("gas",LOWER(M602))),"GAS",IF(ISNUMBER(SEARCH("water",LOWER(M602))),"WATER",IF(ISNUMBER(SEARCH("oil",LOWER(M602))),"OIL","UNKNOWN")))))))</f>
        <v/>
      </c>
      <c r="R602" s="12">
        <f>IF(C602="","",C602)</f>
        <v/>
      </c>
      <c r="S602" s="12">
        <f>IF(R602="","",R602+IF(O602&lt;&gt;"",O602,IF(H602="",0,H602)))</f>
        <v/>
      </c>
      <c r="T602" s="12">
        <f>IF(R602="","",MAX(Settings!$B$3,Settings!$B$4*IF(O602&lt;&gt;"",O602,IF(H602="",0,H602))))</f>
        <v/>
      </c>
      <c r="U602" s="11">
        <f>IF(AND(C602&lt;&gt;"",M602&lt;&gt;"",OR(H602&lt;&gt;"",O602&lt;&gt;"")),"COMPLETE",IF(OR(C602&lt;&gt;"",M602&lt;&gt;""),"PARTIAL","MISSING"))</f>
        <v/>
      </c>
      <c r="V602" s="11">
        <f>IF(Q602="UNKNOWN","Check fluid description",IF(AND(R602&lt;&gt;"",S602&lt;&gt;""),"Ready for contact screening","Needs TVD + thickness"))</f>
        <v/>
      </c>
    </row>
    <row r="603">
      <c r="A603" s="9" t="n"/>
      <c r="B603" s="9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9" t="n"/>
      <c r="N603" s="9" t="n"/>
      <c r="O603" s="10" t="n"/>
      <c r="P603" s="9" t="n"/>
      <c r="Q603" s="11">
        <f>IF(P603&lt;&gt;"",P603,IF(M603="","UNKNOWN",IF(AND(ISNUMBER(SEARCH("gas",LOWER(M603))),ISNUMBER(SEARCH("water",LOWER(M603)))),"GAS_WATER",IF(AND(ISNUMBER(SEARCH("oil",LOWER(M603))),ISNUMBER(SEARCH("water",LOWER(M603)))),"OIL_WATER",IF(ISNUMBER(SEARCH("gas",LOWER(M603))),"GAS",IF(ISNUMBER(SEARCH("water",LOWER(M603))),"WATER",IF(ISNUMBER(SEARCH("oil",LOWER(M603))),"OIL","UNKNOWN")))))))</f>
        <v/>
      </c>
      <c r="R603" s="12">
        <f>IF(C603="","",C603)</f>
        <v/>
      </c>
      <c r="S603" s="12">
        <f>IF(R603="","",R603+IF(O603&lt;&gt;"",O603,IF(H603="",0,H603)))</f>
        <v/>
      </c>
      <c r="T603" s="12">
        <f>IF(R603="","",MAX(Settings!$B$3,Settings!$B$4*IF(O603&lt;&gt;"",O603,IF(H603="",0,H603))))</f>
        <v/>
      </c>
      <c r="U603" s="11">
        <f>IF(AND(C603&lt;&gt;"",M603&lt;&gt;"",OR(H603&lt;&gt;"",O603&lt;&gt;"")),"COMPLETE",IF(OR(C603&lt;&gt;"",M603&lt;&gt;""),"PARTIAL","MISSING"))</f>
        <v/>
      </c>
      <c r="V603" s="11">
        <f>IF(Q603="UNKNOWN","Check fluid description",IF(AND(R603&lt;&gt;"",S603&lt;&gt;""),"Ready for contact screening","Needs TVD + thickness"))</f>
        <v/>
      </c>
    </row>
    <row r="604">
      <c r="A604" s="9" t="n"/>
      <c r="B604" s="9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9" t="n"/>
      <c r="N604" s="9" t="n"/>
      <c r="O604" s="10" t="n"/>
      <c r="P604" s="9" t="n"/>
      <c r="Q604" s="11">
        <f>IF(P604&lt;&gt;"",P604,IF(M604="","UNKNOWN",IF(AND(ISNUMBER(SEARCH("gas",LOWER(M604))),ISNUMBER(SEARCH("water",LOWER(M604)))),"GAS_WATER",IF(AND(ISNUMBER(SEARCH("oil",LOWER(M604))),ISNUMBER(SEARCH("water",LOWER(M604)))),"OIL_WATER",IF(ISNUMBER(SEARCH("gas",LOWER(M604))),"GAS",IF(ISNUMBER(SEARCH("water",LOWER(M604))),"WATER",IF(ISNUMBER(SEARCH("oil",LOWER(M604))),"OIL","UNKNOWN")))))))</f>
        <v/>
      </c>
      <c r="R604" s="12">
        <f>IF(C604="","",C604)</f>
        <v/>
      </c>
      <c r="S604" s="12">
        <f>IF(R604="","",R604+IF(O604&lt;&gt;"",O604,IF(H604="",0,H604)))</f>
        <v/>
      </c>
      <c r="T604" s="12">
        <f>IF(R604="","",MAX(Settings!$B$3,Settings!$B$4*IF(O604&lt;&gt;"",O604,IF(H604="",0,H604))))</f>
        <v/>
      </c>
      <c r="U604" s="11">
        <f>IF(AND(C604&lt;&gt;"",M604&lt;&gt;"",OR(H604&lt;&gt;"",O604&lt;&gt;"")),"COMPLETE",IF(OR(C604&lt;&gt;"",M604&lt;&gt;""),"PARTIAL","MISSING"))</f>
        <v/>
      </c>
      <c r="V604" s="11">
        <f>IF(Q604="UNKNOWN","Check fluid description",IF(AND(R604&lt;&gt;"",S604&lt;&gt;""),"Ready for contact screening","Needs TVD + thickness"))</f>
        <v/>
      </c>
    </row>
    <row r="605">
      <c r="A605" s="9" t="n"/>
      <c r="B605" s="9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9" t="n"/>
      <c r="N605" s="9" t="n"/>
      <c r="O605" s="10" t="n"/>
      <c r="P605" s="9" t="n"/>
      <c r="Q605" s="11">
        <f>IF(P605&lt;&gt;"",P605,IF(M605="","UNKNOWN",IF(AND(ISNUMBER(SEARCH("gas",LOWER(M605))),ISNUMBER(SEARCH("water",LOWER(M605)))),"GAS_WATER",IF(AND(ISNUMBER(SEARCH("oil",LOWER(M605))),ISNUMBER(SEARCH("water",LOWER(M605)))),"OIL_WATER",IF(ISNUMBER(SEARCH("gas",LOWER(M605))),"GAS",IF(ISNUMBER(SEARCH("water",LOWER(M605))),"WATER",IF(ISNUMBER(SEARCH("oil",LOWER(M605))),"OIL","UNKNOWN")))))))</f>
        <v/>
      </c>
      <c r="R605" s="12">
        <f>IF(C605="","",C605)</f>
        <v/>
      </c>
      <c r="S605" s="12">
        <f>IF(R605="","",R605+IF(O605&lt;&gt;"",O605,IF(H605="",0,H605)))</f>
        <v/>
      </c>
      <c r="T605" s="12">
        <f>IF(R605="","",MAX(Settings!$B$3,Settings!$B$4*IF(O605&lt;&gt;"",O605,IF(H605="",0,H605))))</f>
        <v/>
      </c>
      <c r="U605" s="11">
        <f>IF(AND(C605&lt;&gt;"",M605&lt;&gt;"",OR(H605&lt;&gt;"",O605&lt;&gt;"")),"COMPLETE",IF(OR(C605&lt;&gt;"",M605&lt;&gt;""),"PARTIAL","MISSING"))</f>
        <v/>
      </c>
      <c r="V605" s="11">
        <f>IF(Q605="UNKNOWN","Check fluid description",IF(AND(R605&lt;&gt;"",S605&lt;&gt;""),"Ready for contact screening","Needs TVD + thickness"))</f>
        <v/>
      </c>
    </row>
    <row r="606">
      <c r="A606" s="9" t="n"/>
      <c r="B606" s="9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9" t="n"/>
      <c r="N606" s="9" t="n"/>
      <c r="O606" s="10" t="n"/>
      <c r="P606" s="9" t="n"/>
      <c r="Q606" s="11">
        <f>IF(P606&lt;&gt;"",P606,IF(M606="","UNKNOWN",IF(AND(ISNUMBER(SEARCH("gas",LOWER(M606))),ISNUMBER(SEARCH("water",LOWER(M606)))),"GAS_WATER",IF(AND(ISNUMBER(SEARCH("oil",LOWER(M606))),ISNUMBER(SEARCH("water",LOWER(M606)))),"OIL_WATER",IF(ISNUMBER(SEARCH("gas",LOWER(M606))),"GAS",IF(ISNUMBER(SEARCH("water",LOWER(M606))),"WATER",IF(ISNUMBER(SEARCH("oil",LOWER(M606))),"OIL","UNKNOWN")))))))</f>
        <v/>
      </c>
      <c r="R606" s="12">
        <f>IF(C606="","",C606)</f>
        <v/>
      </c>
      <c r="S606" s="12">
        <f>IF(R606="","",R606+IF(O606&lt;&gt;"",O606,IF(H606="",0,H606)))</f>
        <v/>
      </c>
      <c r="T606" s="12">
        <f>IF(R606="","",MAX(Settings!$B$3,Settings!$B$4*IF(O606&lt;&gt;"",O606,IF(H606="",0,H606))))</f>
        <v/>
      </c>
      <c r="U606" s="11">
        <f>IF(AND(C606&lt;&gt;"",M606&lt;&gt;"",OR(H606&lt;&gt;"",O606&lt;&gt;"")),"COMPLETE",IF(OR(C606&lt;&gt;"",M606&lt;&gt;""),"PARTIAL","MISSING"))</f>
        <v/>
      </c>
      <c r="V606" s="11">
        <f>IF(Q606="UNKNOWN","Check fluid description",IF(AND(R606&lt;&gt;"",S606&lt;&gt;""),"Ready for contact screening","Needs TVD + thickness"))</f>
        <v/>
      </c>
    </row>
    <row r="607">
      <c r="A607" s="9" t="n"/>
      <c r="B607" s="9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9" t="n"/>
      <c r="N607" s="9" t="n"/>
      <c r="O607" s="10" t="n"/>
      <c r="P607" s="9" t="n"/>
      <c r="Q607" s="11">
        <f>IF(P607&lt;&gt;"",P607,IF(M607="","UNKNOWN",IF(AND(ISNUMBER(SEARCH("gas",LOWER(M607))),ISNUMBER(SEARCH("water",LOWER(M607)))),"GAS_WATER",IF(AND(ISNUMBER(SEARCH("oil",LOWER(M607))),ISNUMBER(SEARCH("water",LOWER(M607)))),"OIL_WATER",IF(ISNUMBER(SEARCH("gas",LOWER(M607))),"GAS",IF(ISNUMBER(SEARCH("water",LOWER(M607))),"WATER",IF(ISNUMBER(SEARCH("oil",LOWER(M607))),"OIL","UNKNOWN")))))))</f>
        <v/>
      </c>
      <c r="R607" s="12">
        <f>IF(C607="","",C607)</f>
        <v/>
      </c>
      <c r="S607" s="12">
        <f>IF(R607="","",R607+IF(O607&lt;&gt;"",O607,IF(H607="",0,H607)))</f>
        <v/>
      </c>
      <c r="T607" s="12">
        <f>IF(R607="","",MAX(Settings!$B$3,Settings!$B$4*IF(O607&lt;&gt;"",O607,IF(H607="",0,H607))))</f>
        <v/>
      </c>
      <c r="U607" s="11">
        <f>IF(AND(C607&lt;&gt;"",M607&lt;&gt;"",OR(H607&lt;&gt;"",O607&lt;&gt;"")),"COMPLETE",IF(OR(C607&lt;&gt;"",M607&lt;&gt;""),"PARTIAL","MISSING"))</f>
        <v/>
      </c>
      <c r="V607" s="11">
        <f>IF(Q607="UNKNOWN","Check fluid description",IF(AND(R607&lt;&gt;"",S607&lt;&gt;""),"Ready for contact screening","Needs TVD + thickness"))</f>
        <v/>
      </c>
    </row>
    <row r="608">
      <c r="A608" s="9" t="n"/>
      <c r="B608" s="9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9" t="n"/>
      <c r="N608" s="9" t="n"/>
      <c r="O608" s="10" t="n"/>
      <c r="P608" s="9" t="n"/>
      <c r="Q608" s="11">
        <f>IF(P608&lt;&gt;"",P608,IF(M608="","UNKNOWN",IF(AND(ISNUMBER(SEARCH("gas",LOWER(M608))),ISNUMBER(SEARCH("water",LOWER(M608)))),"GAS_WATER",IF(AND(ISNUMBER(SEARCH("oil",LOWER(M608))),ISNUMBER(SEARCH("water",LOWER(M608)))),"OIL_WATER",IF(ISNUMBER(SEARCH("gas",LOWER(M608))),"GAS",IF(ISNUMBER(SEARCH("water",LOWER(M608))),"WATER",IF(ISNUMBER(SEARCH("oil",LOWER(M608))),"OIL","UNKNOWN")))))))</f>
        <v/>
      </c>
      <c r="R608" s="12">
        <f>IF(C608="","",C608)</f>
        <v/>
      </c>
      <c r="S608" s="12">
        <f>IF(R608="","",R608+IF(O608&lt;&gt;"",O608,IF(H608="",0,H608)))</f>
        <v/>
      </c>
      <c r="T608" s="12">
        <f>IF(R608="","",MAX(Settings!$B$3,Settings!$B$4*IF(O608&lt;&gt;"",O608,IF(H608="",0,H608))))</f>
        <v/>
      </c>
      <c r="U608" s="11">
        <f>IF(AND(C608&lt;&gt;"",M608&lt;&gt;"",OR(H608&lt;&gt;"",O608&lt;&gt;"")),"COMPLETE",IF(OR(C608&lt;&gt;"",M608&lt;&gt;""),"PARTIAL","MISSING"))</f>
        <v/>
      </c>
      <c r="V608" s="11">
        <f>IF(Q608="UNKNOWN","Check fluid description",IF(AND(R608&lt;&gt;"",S608&lt;&gt;""),"Ready for contact screening","Needs TVD + thickness"))</f>
        <v/>
      </c>
    </row>
    <row r="609">
      <c r="A609" s="9" t="n"/>
      <c r="B609" s="9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9" t="n"/>
      <c r="N609" s="9" t="n"/>
      <c r="O609" s="10" t="n"/>
      <c r="P609" s="9" t="n"/>
      <c r="Q609" s="11">
        <f>IF(P609&lt;&gt;"",P609,IF(M609="","UNKNOWN",IF(AND(ISNUMBER(SEARCH("gas",LOWER(M609))),ISNUMBER(SEARCH("water",LOWER(M609)))),"GAS_WATER",IF(AND(ISNUMBER(SEARCH("oil",LOWER(M609))),ISNUMBER(SEARCH("water",LOWER(M609)))),"OIL_WATER",IF(ISNUMBER(SEARCH("gas",LOWER(M609))),"GAS",IF(ISNUMBER(SEARCH("water",LOWER(M609))),"WATER",IF(ISNUMBER(SEARCH("oil",LOWER(M609))),"OIL","UNKNOWN")))))))</f>
        <v/>
      </c>
      <c r="R609" s="12">
        <f>IF(C609="","",C609)</f>
        <v/>
      </c>
      <c r="S609" s="12">
        <f>IF(R609="","",R609+IF(O609&lt;&gt;"",O609,IF(H609="",0,H609)))</f>
        <v/>
      </c>
      <c r="T609" s="12">
        <f>IF(R609="","",MAX(Settings!$B$3,Settings!$B$4*IF(O609&lt;&gt;"",O609,IF(H609="",0,H609))))</f>
        <v/>
      </c>
      <c r="U609" s="11">
        <f>IF(AND(C609&lt;&gt;"",M609&lt;&gt;"",OR(H609&lt;&gt;"",O609&lt;&gt;"")),"COMPLETE",IF(OR(C609&lt;&gt;"",M609&lt;&gt;""),"PARTIAL","MISSING"))</f>
        <v/>
      </c>
      <c r="V609" s="11">
        <f>IF(Q609="UNKNOWN","Check fluid description",IF(AND(R609&lt;&gt;"",S609&lt;&gt;""),"Ready for contact screening","Needs TVD + thickness"))</f>
        <v/>
      </c>
    </row>
    <row r="610">
      <c r="A610" s="9" t="n"/>
      <c r="B610" s="9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9" t="n"/>
      <c r="N610" s="9" t="n"/>
      <c r="O610" s="10" t="n"/>
      <c r="P610" s="9" t="n"/>
      <c r="Q610" s="11">
        <f>IF(P610&lt;&gt;"",P610,IF(M610="","UNKNOWN",IF(AND(ISNUMBER(SEARCH("gas",LOWER(M610))),ISNUMBER(SEARCH("water",LOWER(M610)))),"GAS_WATER",IF(AND(ISNUMBER(SEARCH("oil",LOWER(M610))),ISNUMBER(SEARCH("water",LOWER(M610)))),"OIL_WATER",IF(ISNUMBER(SEARCH("gas",LOWER(M610))),"GAS",IF(ISNUMBER(SEARCH("water",LOWER(M610))),"WATER",IF(ISNUMBER(SEARCH("oil",LOWER(M610))),"OIL","UNKNOWN")))))))</f>
        <v/>
      </c>
      <c r="R610" s="12">
        <f>IF(C610="","",C610)</f>
        <v/>
      </c>
      <c r="S610" s="12">
        <f>IF(R610="","",R610+IF(O610&lt;&gt;"",O610,IF(H610="",0,H610)))</f>
        <v/>
      </c>
      <c r="T610" s="12">
        <f>IF(R610="","",MAX(Settings!$B$3,Settings!$B$4*IF(O610&lt;&gt;"",O610,IF(H610="",0,H610))))</f>
        <v/>
      </c>
      <c r="U610" s="11">
        <f>IF(AND(C610&lt;&gt;"",M610&lt;&gt;"",OR(H610&lt;&gt;"",O610&lt;&gt;"")),"COMPLETE",IF(OR(C610&lt;&gt;"",M610&lt;&gt;""),"PARTIAL","MISSING"))</f>
        <v/>
      </c>
      <c r="V610" s="11">
        <f>IF(Q610="UNKNOWN","Check fluid description",IF(AND(R610&lt;&gt;"",S610&lt;&gt;""),"Ready for contact screening","Needs TVD + thickness"))</f>
        <v/>
      </c>
    </row>
    <row r="611">
      <c r="A611" s="9" t="n"/>
      <c r="B611" s="9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9" t="n"/>
      <c r="N611" s="9" t="n"/>
      <c r="O611" s="10" t="n"/>
      <c r="P611" s="9" t="n"/>
      <c r="Q611" s="11">
        <f>IF(P611&lt;&gt;"",P611,IF(M611="","UNKNOWN",IF(AND(ISNUMBER(SEARCH("gas",LOWER(M611))),ISNUMBER(SEARCH("water",LOWER(M611)))),"GAS_WATER",IF(AND(ISNUMBER(SEARCH("oil",LOWER(M611))),ISNUMBER(SEARCH("water",LOWER(M611)))),"OIL_WATER",IF(ISNUMBER(SEARCH("gas",LOWER(M611))),"GAS",IF(ISNUMBER(SEARCH("water",LOWER(M611))),"WATER",IF(ISNUMBER(SEARCH("oil",LOWER(M611))),"OIL","UNKNOWN")))))))</f>
        <v/>
      </c>
      <c r="R611" s="12">
        <f>IF(C611="","",C611)</f>
        <v/>
      </c>
      <c r="S611" s="12">
        <f>IF(R611="","",R611+IF(O611&lt;&gt;"",O611,IF(H611="",0,H611)))</f>
        <v/>
      </c>
      <c r="T611" s="12">
        <f>IF(R611="","",MAX(Settings!$B$3,Settings!$B$4*IF(O611&lt;&gt;"",O611,IF(H611="",0,H611))))</f>
        <v/>
      </c>
      <c r="U611" s="11">
        <f>IF(AND(C611&lt;&gt;"",M611&lt;&gt;"",OR(H611&lt;&gt;"",O611&lt;&gt;"")),"COMPLETE",IF(OR(C611&lt;&gt;"",M611&lt;&gt;""),"PARTIAL","MISSING"))</f>
        <v/>
      </c>
      <c r="V611" s="11">
        <f>IF(Q611="UNKNOWN","Check fluid description",IF(AND(R611&lt;&gt;"",S611&lt;&gt;""),"Ready for contact screening","Needs TVD + thickness"))</f>
        <v/>
      </c>
    </row>
    <row r="612">
      <c r="A612" s="9" t="n"/>
      <c r="B612" s="9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9" t="n"/>
      <c r="N612" s="9" t="n"/>
      <c r="O612" s="10" t="n"/>
      <c r="P612" s="9" t="n"/>
      <c r="Q612" s="11">
        <f>IF(P612&lt;&gt;"",P612,IF(M612="","UNKNOWN",IF(AND(ISNUMBER(SEARCH("gas",LOWER(M612))),ISNUMBER(SEARCH("water",LOWER(M612)))),"GAS_WATER",IF(AND(ISNUMBER(SEARCH("oil",LOWER(M612))),ISNUMBER(SEARCH("water",LOWER(M612)))),"OIL_WATER",IF(ISNUMBER(SEARCH("gas",LOWER(M612))),"GAS",IF(ISNUMBER(SEARCH("water",LOWER(M612))),"WATER",IF(ISNUMBER(SEARCH("oil",LOWER(M612))),"OIL","UNKNOWN")))))))</f>
        <v/>
      </c>
      <c r="R612" s="12">
        <f>IF(C612="","",C612)</f>
        <v/>
      </c>
      <c r="S612" s="12">
        <f>IF(R612="","",R612+IF(O612&lt;&gt;"",O612,IF(H612="",0,H612)))</f>
        <v/>
      </c>
      <c r="T612" s="12">
        <f>IF(R612="","",MAX(Settings!$B$3,Settings!$B$4*IF(O612&lt;&gt;"",O612,IF(H612="",0,H612))))</f>
        <v/>
      </c>
      <c r="U612" s="11">
        <f>IF(AND(C612&lt;&gt;"",M612&lt;&gt;"",OR(H612&lt;&gt;"",O612&lt;&gt;"")),"COMPLETE",IF(OR(C612&lt;&gt;"",M612&lt;&gt;""),"PARTIAL","MISSING"))</f>
        <v/>
      </c>
      <c r="V612" s="11">
        <f>IF(Q612="UNKNOWN","Check fluid description",IF(AND(R612&lt;&gt;"",S612&lt;&gt;""),"Ready for contact screening","Needs TVD + thickness"))</f>
        <v/>
      </c>
    </row>
    <row r="613">
      <c r="A613" s="9" t="n"/>
      <c r="B613" s="9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9" t="n"/>
      <c r="N613" s="9" t="n"/>
      <c r="O613" s="10" t="n"/>
      <c r="P613" s="9" t="n"/>
      <c r="Q613" s="11">
        <f>IF(P613&lt;&gt;"",P613,IF(M613="","UNKNOWN",IF(AND(ISNUMBER(SEARCH("gas",LOWER(M613))),ISNUMBER(SEARCH("water",LOWER(M613)))),"GAS_WATER",IF(AND(ISNUMBER(SEARCH("oil",LOWER(M613))),ISNUMBER(SEARCH("water",LOWER(M613)))),"OIL_WATER",IF(ISNUMBER(SEARCH("gas",LOWER(M613))),"GAS",IF(ISNUMBER(SEARCH("water",LOWER(M613))),"WATER",IF(ISNUMBER(SEARCH("oil",LOWER(M613))),"OIL","UNKNOWN")))))))</f>
        <v/>
      </c>
      <c r="R613" s="12">
        <f>IF(C613="","",C613)</f>
        <v/>
      </c>
      <c r="S613" s="12">
        <f>IF(R613="","",R613+IF(O613&lt;&gt;"",O613,IF(H613="",0,H613)))</f>
        <v/>
      </c>
      <c r="T613" s="12">
        <f>IF(R613="","",MAX(Settings!$B$3,Settings!$B$4*IF(O613&lt;&gt;"",O613,IF(H613="",0,H613))))</f>
        <v/>
      </c>
      <c r="U613" s="11">
        <f>IF(AND(C613&lt;&gt;"",M613&lt;&gt;"",OR(H613&lt;&gt;"",O613&lt;&gt;"")),"COMPLETE",IF(OR(C613&lt;&gt;"",M613&lt;&gt;""),"PARTIAL","MISSING"))</f>
        <v/>
      </c>
      <c r="V613" s="11">
        <f>IF(Q613="UNKNOWN","Check fluid description",IF(AND(R613&lt;&gt;"",S613&lt;&gt;""),"Ready for contact screening","Needs TVD + thickness"))</f>
        <v/>
      </c>
    </row>
    <row r="614">
      <c r="A614" s="9" t="n"/>
      <c r="B614" s="9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9" t="n"/>
      <c r="N614" s="9" t="n"/>
      <c r="O614" s="10" t="n"/>
      <c r="P614" s="9" t="n"/>
      <c r="Q614" s="11">
        <f>IF(P614&lt;&gt;"",P614,IF(M614="","UNKNOWN",IF(AND(ISNUMBER(SEARCH("gas",LOWER(M614))),ISNUMBER(SEARCH("water",LOWER(M614)))),"GAS_WATER",IF(AND(ISNUMBER(SEARCH("oil",LOWER(M614))),ISNUMBER(SEARCH("water",LOWER(M614)))),"OIL_WATER",IF(ISNUMBER(SEARCH("gas",LOWER(M614))),"GAS",IF(ISNUMBER(SEARCH("water",LOWER(M614))),"WATER",IF(ISNUMBER(SEARCH("oil",LOWER(M614))),"OIL","UNKNOWN")))))))</f>
        <v/>
      </c>
      <c r="R614" s="12">
        <f>IF(C614="","",C614)</f>
        <v/>
      </c>
      <c r="S614" s="12">
        <f>IF(R614="","",R614+IF(O614&lt;&gt;"",O614,IF(H614="",0,H614)))</f>
        <v/>
      </c>
      <c r="T614" s="12">
        <f>IF(R614="","",MAX(Settings!$B$3,Settings!$B$4*IF(O614&lt;&gt;"",O614,IF(H614="",0,H614))))</f>
        <v/>
      </c>
      <c r="U614" s="11">
        <f>IF(AND(C614&lt;&gt;"",M614&lt;&gt;"",OR(H614&lt;&gt;"",O614&lt;&gt;"")),"COMPLETE",IF(OR(C614&lt;&gt;"",M614&lt;&gt;""),"PARTIAL","MISSING"))</f>
        <v/>
      </c>
      <c r="V614" s="11">
        <f>IF(Q614="UNKNOWN","Check fluid description",IF(AND(R614&lt;&gt;"",S614&lt;&gt;""),"Ready for contact screening","Needs TVD + thickness"))</f>
        <v/>
      </c>
    </row>
    <row r="615">
      <c r="A615" s="9" t="n"/>
      <c r="B615" s="9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9" t="n"/>
      <c r="N615" s="9" t="n"/>
      <c r="O615" s="10" t="n"/>
      <c r="P615" s="9" t="n"/>
      <c r="Q615" s="11">
        <f>IF(P615&lt;&gt;"",P615,IF(M615="","UNKNOWN",IF(AND(ISNUMBER(SEARCH("gas",LOWER(M615))),ISNUMBER(SEARCH("water",LOWER(M615)))),"GAS_WATER",IF(AND(ISNUMBER(SEARCH("oil",LOWER(M615))),ISNUMBER(SEARCH("water",LOWER(M615)))),"OIL_WATER",IF(ISNUMBER(SEARCH("gas",LOWER(M615))),"GAS",IF(ISNUMBER(SEARCH("water",LOWER(M615))),"WATER",IF(ISNUMBER(SEARCH("oil",LOWER(M615))),"OIL","UNKNOWN")))))))</f>
        <v/>
      </c>
      <c r="R615" s="12">
        <f>IF(C615="","",C615)</f>
        <v/>
      </c>
      <c r="S615" s="12">
        <f>IF(R615="","",R615+IF(O615&lt;&gt;"",O615,IF(H615="",0,H615)))</f>
        <v/>
      </c>
      <c r="T615" s="12">
        <f>IF(R615="","",MAX(Settings!$B$3,Settings!$B$4*IF(O615&lt;&gt;"",O615,IF(H615="",0,H615))))</f>
        <v/>
      </c>
      <c r="U615" s="11">
        <f>IF(AND(C615&lt;&gt;"",M615&lt;&gt;"",OR(H615&lt;&gt;"",O615&lt;&gt;"")),"COMPLETE",IF(OR(C615&lt;&gt;"",M615&lt;&gt;""),"PARTIAL","MISSING"))</f>
        <v/>
      </c>
      <c r="V615" s="11">
        <f>IF(Q615="UNKNOWN","Check fluid description",IF(AND(R615&lt;&gt;"",S615&lt;&gt;""),"Ready for contact screening","Needs TVD + thickness"))</f>
        <v/>
      </c>
    </row>
    <row r="616">
      <c r="A616" s="9" t="n"/>
      <c r="B616" s="9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9" t="n"/>
      <c r="N616" s="9" t="n"/>
      <c r="O616" s="10" t="n"/>
      <c r="P616" s="9" t="n"/>
      <c r="Q616" s="11">
        <f>IF(P616&lt;&gt;"",P616,IF(M616="","UNKNOWN",IF(AND(ISNUMBER(SEARCH("gas",LOWER(M616))),ISNUMBER(SEARCH("water",LOWER(M616)))),"GAS_WATER",IF(AND(ISNUMBER(SEARCH("oil",LOWER(M616))),ISNUMBER(SEARCH("water",LOWER(M616)))),"OIL_WATER",IF(ISNUMBER(SEARCH("gas",LOWER(M616))),"GAS",IF(ISNUMBER(SEARCH("water",LOWER(M616))),"WATER",IF(ISNUMBER(SEARCH("oil",LOWER(M616))),"OIL","UNKNOWN")))))))</f>
        <v/>
      </c>
      <c r="R616" s="12">
        <f>IF(C616="","",C616)</f>
        <v/>
      </c>
      <c r="S616" s="12">
        <f>IF(R616="","",R616+IF(O616&lt;&gt;"",O616,IF(H616="",0,H616)))</f>
        <v/>
      </c>
      <c r="T616" s="12">
        <f>IF(R616="","",MAX(Settings!$B$3,Settings!$B$4*IF(O616&lt;&gt;"",O616,IF(H616="",0,H616))))</f>
        <v/>
      </c>
      <c r="U616" s="11">
        <f>IF(AND(C616&lt;&gt;"",M616&lt;&gt;"",OR(H616&lt;&gt;"",O616&lt;&gt;"")),"COMPLETE",IF(OR(C616&lt;&gt;"",M616&lt;&gt;""),"PARTIAL","MISSING"))</f>
        <v/>
      </c>
      <c r="V616" s="11">
        <f>IF(Q616="UNKNOWN","Check fluid description",IF(AND(R616&lt;&gt;"",S616&lt;&gt;""),"Ready for contact screening","Needs TVD + thickness"))</f>
        <v/>
      </c>
    </row>
    <row r="617">
      <c r="A617" s="9" t="n"/>
      <c r="B617" s="9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9" t="n"/>
      <c r="N617" s="9" t="n"/>
      <c r="O617" s="10" t="n"/>
      <c r="P617" s="9" t="n"/>
      <c r="Q617" s="11">
        <f>IF(P617&lt;&gt;"",P617,IF(M617="","UNKNOWN",IF(AND(ISNUMBER(SEARCH("gas",LOWER(M617))),ISNUMBER(SEARCH("water",LOWER(M617)))),"GAS_WATER",IF(AND(ISNUMBER(SEARCH("oil",LOWER(M617))),ISNUMBER(SEARCH("water",LOWER(M617)))),"OIL_WATER",IF(ISNUMBER(SEARCH("gas",LOWER(M617))),"GAS",IF(ISNUMBER(SEARCH("water",LOWER(M617))),"WATER",IF(ISNUMBER(SEARCH("oil",LOWER(M617))),"OIL","UNKNOWN")))))))</f>
        <v/>
      </c>
      <c r="R617" s="12">
        <f>IF(C617="","",C617)</f>
        <v/>
      </c>
      <c r="S617" s="12">
        <f>IF(R617="","",R617+IF(O617&lt;&gt;"",O617,IF(H617="",0,H617)))</f>
        <v/>
      </c>
      <c r="T617" s="12">
        <f>IF(R617="","",MAX(Settings!$B$3,Settings!$B$4*IF(O617&lt;&gt;"",O617,IF(H617="",0,H617))))</f>
        <v/>
      </c>
      <c r="U617" s="11">
        <f>IF(AND(C617&lt;&gt;"",M617&lt;&gt;"",OR(H617&lt;&gt;"",O617&lt;&gt;"")),"COMPLETE",IF(OR(C617&lt;&gt;"",M617&lt;&gt;""),"PARTIAL","MISSING"))</f>
        <v/>
      </c>
      <c r="V617" s="11">
        <f>IF(Q617="UNKNOWN","Check fluid description",IF(AND(R617&lt;&gt;"",S617&lt;&gt;""),"Ready for contact screening","Needs TVD + thickness"))</f>
        <v/>
      </c>
    </row>
    <row r="618">
      <c r="A618" s="9" t="n"/>
      <c r="B618" s="9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9" t="n"/>
      <c r="N618" s="9" t="n"/>
      <c r="O618" s="10" t="n"/>
      <c r="P618" s="9" t="n"/>
      <c r="Q618" s="11">
        <f>IF(P618&lt;&gt;"",P618,IF(M618="","UNKNOWN",IF(AND(ISNUMBER(SEARCH("gas",LOWER(M618))),ISNUMBER(SEARCH("water",LOWER(M618)))),"GAS_WATER",IF(AND(ISNUMBER(SEARCH("oil",LOWER(M618))),ISNUMBER(SEARCH("water",LOWER(M618)))),"OIL_WATER",IF(ISNUMBER(SEARCH("gas",LOWER(M618))),"GAS",IF(ISNUMBER(SEARCH("water",LOWER(M618))),"WATER",IF(ISNUMBER(SEARCH("oil",LOWER(M618))),"OIL","UNKNOWN")))))))</f>
        <v/>
      </c>
      <c r="R618" s="12">
        <f>IF(C618="","",C618)</f>
        <v/>
      </c>
      <c r="S618" s="12">
        <f>IF(R618="","",R618+IF(O618&lt;&gt;"",O618,IF(H618="",0,H618)))</f>
        <v/>
      </c>
      <c r="T618" s="12">
        <f>IF(R618="","",MAX(Settings!$B$3,Settings!$B$4*IF(O618&lt;&gt;"",O618,IF(H618="",0,H618))))</f>
        <v/>
      </c>
      <c r="U618" s="11">
        <f>IF(AND(C618&lt;&gt;"",M618&lt;&gt;"",OR(H618&lt;&gt;"",O618&lt;&gt;"")),"COMPLETE",IF(OR(C618&lt;&gt;"",M618&lt;&gt;""),"PARTIAL","MISSING"))</f>
        <v/>
      </c>
      <c r="V618" s="11">
        <f>IF(Q618="UNKNOWN","Check fluid description",IF(AND(R618&lt;&gt;"",S618&lt;&gt;""),"Ready for contact screening","Needs TVD + thickness"))</f>
        <v/>
      </c>
    </row>
    <row r="619">
      <c r="A619" s="9" t="n"/>
      <c r="B619" s="9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9" t="n"/>
      <c r="N619" s="9" t="n"/>
      <c r="O619" s="10" t="n"/>
      <c r="P619" s="9" t="n"/>
      <c r="Q619" s="11">
        <f>IF(P619&lt;&gt;"",P619,IF(M619="","UNKNOWN",IF(AND(ISNUMBER(SEARCH("gas",LOWER(M619))),ISNUMBER(SEARCH("water",LOWER(M619)))),"GAS_WATER",IF(AND(ISNUMBER(SEARCH("oil",LOWER(M619))),ISNUMBER(SEARCH("water",LOWER(M619)))),"OIL_WATER",IF(ISNUMBER(SEARCH("gas",LOWER(M619))),"GAS",IF(ISNUMBER(SEARCH("water",LOWER(M619))),"WATER",IF(ISNUMBER(SEARCH("oil",LOWER(M619))),"OIL","UNKNOWN")))))))</f>
        <v/>
      </c>
      <c r="R619" s="12">
        <f>IF(C619="","",C619)</f>
        <v/>
      </c>
      <c r="S619" s="12">
        <f>IF(R619="","",R619+IF(O619&lt;&gt;"",O619,IF(H619="",0,H619)))</f>
        <v/>
      </c>
      <c r="T619" s="12">
        <f>IF(R619="","",MAX(Settings!$B$3,Settings!$B$4*IF(O619&lt;&gt;"",O619,IF(H619="",0,H619))))</f>
        <v/>
      </c>
      <c r="U619" s="11">
        <f>IF(AND(C619&lt;&gt;"",M619&lt;&gt;"",OR(H619&lt;&gt;"",O619&lt;&gt;"")),"COMPLETE",IF(OR(C619&lt;&gt;"",M619&lt;&gt;""),"PARTIAL","MISSING"))</f>
        <v/>
      </c>
      <c r="V619" s="11">
        <f>IF(Q619="UNKNOWN","Check fluid description",IF(AND(R619&lt;&gt;"",S619&lt;&gt;""),"Ready for contact screening","Needs TVD + thickness"))</f>
        <v/>
      </c>
    </row>
    <row r="620">
      <c r="A620" s="9" t="n"/>
      <c r="B620" s="9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9" t="n"/>
      <c r="N620" s="9" t="n"/>
      <c r="O620" s="10" t="n"/>
      <c r="P620" s="9" t="n"/>
      <c r="Q620" s="11">
        <f>IF(P620&lt;&gt;"",P620,IF(M620="","UNKNOWN",IF(AND(ISNUMBER(SEARCH("gas",LOWER(M620))),ISNUMBER(SEARCH("water",LOWER(M620)))),"GAS_WATER",IF(AND(ISNUMBER(SEARCH("oil",LOWER(M620))),ISNUMBER(SEARCH("water",LOWER(M620)))),"OIL_WATER",IF(ISNUMBER(SEARCH("gas",LOWER(M620))),"GAS",IF(ISNUMBER(SEARCH("water",LOWER(M620))),"WATER",IF(ISNUMBER(SEARCH("oil",LOWER(M620))),"OIL","UNKNOWN")))))))</f>
        <v/>
      </c>
      <c r="R620" s="12">
        <f>IF(C620="","",C620)</f>
        <v/>
      </c>
      <c r="S620" s="12">
        <f>IF(R620="","",R620+IF(O620&lt;&gt;"",O620,IF(H620="",0,H620)))</f>
        <v/>
      </c>
      <c r="T620" s="12">
        <f>IF(R620="","",MAX(Settings!$B$3,Settings!$B$4*IF(O620&lt;&gt;"",O620,IF(H620="",0,H620))))</f>
        <v/>
      </c>
      <c r="U620" s="11">
        <f>IF(AND(C620&lt;&gt;"",M620&lt;&gt;"",OR(H620&lt;&gt;"",O620&lt;&gt;"")),"COMPLETE",IF(OR(C620&lt;&gt;"",M620&lt;&gt;""),"PARTIAL","MISSING"))</f>
        <v/>
      </c>
      <c r="V620" s="11">
        <f>IF(Q620="UNKNOWN","Check fluid description",IF(AND(R620&lt;&gt;"",S620&lt;&gt;""),"Ready for contact screening","Needs TVD + thickness"))</f>
        <v/>
      </c>
    </row>
    <row r="621">
      <c r="A621" s="9" t="n"/>
      <c r="B621" s="9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9" t="n"/>
      <c r="N621" s="9" t="n"/>
      <c r="O621" s="10" t="n"/>
      <c r="P621" s="9" t="n"/>
      <c r="Q621" s="11">
        <f>IF(P621&lt;&gt;"",P621,IF(M621="","UNKNOWN",IF(AND(ISNUMBER(SEARCH("gas",LOWER(M621))),ISNUMBER(SEARCH("water",LOWER(M621)))),"GAS_WATER",IF(AND(ISNUMBER(SEARCH("oil",LOWER(M621))),ISNUMBER(SEARCH("water",LOWER(M621)))),"OIL_WATER",IF(ISNUMBER(SEARCH("gas",LOWER(M621))),"GAS",IF(ISNUMBER(SEARCH("water",LOWER(M621))),"WATER",IF(ISNUMBER(SEARCH("oil",LOWER(M621))),"OIL","UNKNOWN")))))))</f>
        <v/>
      </c>
      <c r="R621" s="12">
        <f>IF(C621="","",C621)</f>
        <v/>
      </c>
      <c r="S621" s="12">
        <f>IF(R621="","",R621+IF(O621&lt;&gt;"",O621,IF(H621="",0,H621)))</f>
        <v/>
      </c>
      <c r="T621" s="12">
        <f>IF(R621="","",MAX(Settings!$B$3,Settings!$B$4*IF(O621&lt;&gt;"",O621,IF(H621="",0,H621))))</f>
        <v/>
      </c>
      <c r="U621" s="11">
        <f>IF(AND(C621&lt;&gt;"",M621&lt;&gt;"",OR(H621&lt;&gt;"",O621&lt;&gt;"")),"COMPLETE",IF(OR(C621&lt;&gt;"",M621&lt;&gt;""),"PARTIAL","MISSING"))</f>
        <v/>
      </c>
      <c r="V621" s="11">
        <f>IF(Q621="UNKNOWN","Check fluid description",IF(AND(R621&lt;&gt;"",S621&lt;&gt;""),"Ready for contact screening","Needs TVD + thickness"))</f>
        <v/>
      </c>
    </row>
    <row r="622">
      <c r="A622" s="9" t="n"/>
      <c r="B622" s="9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9" t="n"/>
      <c r="N622" s="9" t="n"/>
      <c r="O622" s="10" t="n"/>
      <c r="P622" s="9" t="n"/>
      <c r="Q622" s="11">
        <f>IF(P622&lt;&gt;"",P622,IF(M622="","UNKNOWN",IF(AND(ISNUMBER(SEARCH("gas",LOWER(M622))),ISNUMBER(SEARCH("water",LOWER(M622)))),"GAS_WATER",IF(AND(ISNUMBER(SEARCH("oil",LOWER(M622))),ISNUMBER(SEARCH("water",LOWER(M622)))),"OIL_WATER",IF(ISNUMBER(SEARCH("gas",LOWER(M622))),"GAS",IF(ISNUMBER(SEARCH("water",LOWER(M622))),"WATER",IF(ISNUMBER(SEARCH("oil",LOWER(M622))),"OIL","UNKNOWN")))))))</f>
        <v/>
      </c>
      <c r="R622" s="12">
        <f>IF(C622="","",C622)</f>
        <v/>
      </c>
      <c r="S622" s="12">
        <f>IF(R622="","",R622+IF(O622&lt;&gt;"",O622,IF(H622="",0,H622)))</f>
        <v/>
      </c>
      <c r="T622" s="12">
        <f>IF(R622="","",MAX(Settings!$B$3,Settings!$B$4*IF(O622&lt;&gt;"",O622,IF(H622="",0,H622))))</f>
        <v/>
      </c>
      <c r="U622" s="11">
        <f>IF(AND(C622&lt;&gt;"",M622&lt;&gt;"",OR(H622&lt;&gt;"",O622&lt;&gt;"")),"COMPLETE",IF(OR(C622&lt;&gt;"",M622&lt;&gt;""),"PARTIAL","MISSING"))</f>
        <v/>
      </c>
      <c r="V622" s="11">
        <f>IF(Q622="UNKNOWN","Check fluid description",IF(AND(R622&lt;&gt;"",S622&lt;&gt;""),"Ready for contact screening","Needs TVD + thickness"))</f>
        <v/>
      </c>
    </row>
    <row r="623">
      <c r="A623" s="9" t="n"/>
      <c r="B623" s="9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9" t="n"/>
      <c r="N623" s="9" t="n"/>
      <c r="O623" s="10" t="n"/>
      <c r="P623" s="9" t="n"/>
      <c r="Q623" s="11">
        <f>IF(P623&lt;&gt;"",P623,IF(M623="","UNKNOWN",IF(AND(ISNUMBER(SEARCH("gas",LOWER(M623))),ISNUMBER(SEARCH("water",LOWER(M623)))),"GAS_WATER",IF(AND(ISNUMBER(SEARCH("oil",LOWER(M623))),ISNUMBER(SEARCH("water",LOWER(M623)))),"OIL_WATER",IF(ISNUMBER(SEARCH("gas",LOWER(M623))),"GAS",IF(ISNUMBER(SEARCH("water",LOWER(M623))),"WATER",IF(ISNUMBER(SEARCH("oil",LOWER(M623))),"OIL","UNKNOWN")))))))</f>
        <v/>
      </c>
      <c r="R623" s="12">
        <f>IF(C623="","",C623)</f>
        <v/>
      </c>
      <c r="S623" s="12">
        <f>IF(R623="","",R623+IF(O623&lt;&gt;"",O623,IF(H623="",0,H623)))</f>
        <v/>
      </c>
      <c r="T623" s="12">
        <f>IF(R623="","",MAX(Settings!$B$3,Settings!$B$4*IF(O623&lt;&gt;"",O623,IF(H623="",0,H623))))</f>
        <v/>
      </c>
      <c r="U623" s="11">
        <f>IF(AND(C623&lt;&gt;"",M623&lt;&gt;"",OR(H623&lt;&gt;"",O623&lt;&gt;"")),"COMPLETE",IF(OR(C623&lt;&gt;"",M623&lt;&gt;""),"PARTIAL","MISSING"))</f>
        <v/>
      </c>
      <c r="V623" s="11">
        <f>IF(Q623="UNKNOWN","Check fluid description",IF(AND(R623&lt;&gt;"",S623&lt;&gt;""),"Ready for contact screening","Needs TVD + thickness"))</f>
        <v/>
      </c>
    </row>
    <row r="624">
      <c r="A624" s="9" t="n"/>
      <c r="B624" s="9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9" t="n"/>
      <c r="N624" s="9" t="n"/>
      <c r="O624" s="10" t="n"/>
      <c r="P624" s="9" t="n"/>
      <c r="Q624" s="11">
        <f>IF(P624&lt;&gt;"",P624,IF(M624="","UNKNOWN",IF(AND(ISNUMBER(SEARCH("gas",LOWER(M624))),ISNUMBER(SEARCH("water",LOWER(M624)))),"GAS_WATER",IF(AND(ISNUMBER(SEARCH("oil",LOWER(M624))),ISNUMBER(SEARCH("water",LOWER(M624)))),"OIL_WATER",IF(ISNUMBER(SEARCH("gas",LOWER(M624))),"GAS",IF(ISNUMBER(SEARCH("water",LOWER(M624))),"WATER",IF(ISNUMBER(SEARCH("oil",LOWER(M624))),"OIL","UNKNOWN")))))))</f>
        <v/>
      </c>
      <c r="R624" s="12">
        <f>IF(C624="","",C624)</f>
        <v/>
      </c>
      <c r="S624" s="12">
        <f>IF(R624="","",R624+IF(O624&lt;&gt;"",O624,IF(H624="",0,H624)))</f>
        <v/>
      </c>
      <c r="T624" s="12">
        <f>IF(R624="","",MAX(Settings!$B$3,Settings!$B$4*IF(O624&lt;&gt;"",O624,IF(H624="",0,H624))))</f>
        <v/>
      </c>
      <c r="U624" s="11">
        <f>IF(AND(C624&lt;&gt;"",M624&lt;&gt;"",OR(H624&lt;&gt;"",O624&lt;&gt;"")),"COMPLETE",IF(OR(C624&lt;&gt;"",M624&lt;&gt;""),"PARTIAL","MISSING"))</f>
        <v/>
      </c>
      <c r="V624" s="11">
        <f>IF(Q624="UNKNOWN","Check fluid description",IF(AND(R624&lt;&gt;"",S624&lt;&gt;""),"Ready for contact screening","Needs TVD + thickness"))</f>
        <v/>
      </c>
    </row>
    <row r="625">
      <c r="A625" s="9" t="n"/>
      <c r="B625" s="9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9" t="n"/>
      <c r="N625" s="9" t="n"/>
      <c r="O625" s="10" t="n"/>
      <c r="P625" s="9" t="n"/>
      <c r="Q625" s="11">
        <f>IF(P625&lt;&gt;"",P625,IF(M625="","UNKNOWN",IF(AND(ISNUMBER(SEARCH("gas",LOWER(M625))),ISNUMBER(SEARCH("water",LOWER(M625)))),"GAS_WATER",IF(AND(ISNUMBER(SEARCH("oil",LOWER(M625))),ISNUMBER(SEARCH("water",LOWER(M625)))),"OIL_WATER",IF(ISNUMBER(SEARCH("gas",LOWER(M625))),"GAS",IF(ISNUMBER(SEARCH("water",LOWER(M625))),"WATER",IF(ISNUMBER(SEARCH("oil",LOWER(M625))),"OIL","UNKNOWN")))))))</f>
        <v/>
      </c>
      <c r="R625" s="12">
        <f>IF(C625="","",C625)</f>
        <v/>
      </c>
      <c r="S625" s="12">
        <f>IF(R625="","",R625+IF(O625&lt;&gt;"",O625,IF(H625="",0,H625)))</f>
        <v/>
      </c>
      <c r="T625" s="12">
        <f>IF(R625="","",MAX(Settings!$B$3,Settings!$B$4*IF(O625&lt;&gt;"",O625,IF(H625="",0,H625))))</f>
        <v/>
      </c>
      <c r="U625" s="11">
        <f>IF(AND(C625&lt;&gt;"",M625&lt;&gt;"",OR(H625&lt;&gt;"",O625&lt;&gt;"")),"COMPLETE",IF(OR(C625&lt;&gt;"",M625&lt;&gt;""),"PARTIAL","MISSING"))</f>
        <v/>
      </c>
      <c r="V625" s="11">
        <f>IF(Q625="UNKNOWN","Check fluid description",IF(AND(R625&lt;&gt;"",S625&lt;&gt;""),"Ready for contact screening","Needs TVD + thickness"))</f>
        <v/>
      </c>
    </row>
    <row r="626">
      <c r="A626" s="9" t="n"/>
      <c r="B626" s="9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9" t="n"/>
      <c r="N626" s="9" t="n"/>
      <c r="O626" s="10" t="n"/>
      <c r="P626" s="9" t="n"/>
      <c r="Q626" s="11">
        <f>IF(P626&lt;&gt;"",P626,IF(M626="","UNKNOWN",IF(AND(ISNUMBER(SEARCH("gas",LOWER(M626))),ISNUMBER(SEARCH("water",LOWER(M626)))),"GAS_WATER",IF(AND(ISNUMBER(SEARCH("oil",LOWER(M626))),ISNUMBER(SEARCH("water",LOWER(M626)))),"OIL_WATER",IF(ISNUMBER(SEARCH("gas",LOWER(M626))),"GAS",IF(ISNUMBER(SEARCH("water",LOWER(M626))),"WATER",IF(ISNUMBER(SEARCH("oil",LOWER(M626))),"OIL","UNKNOWN")))))))</f>
        <v/>
      </c>
      <c r="R626" s="12">
        <f>IF(C626="","",C626)</f>
        <v/>
      </c>
      <c r="S626" s="12">
        <f>IF(R626="","",R626+IF(O626&lt;&gt;"",O626,IF(H626="",0,H626)))</f>
        <v/>
      </c>
      <c r="T626" s="12">
        <f>IF(R626="","",MAX(Settings!$B$3,Settings!$B$4*IF(O626&lt;&gt;"",O626,IF(H626="",0,H626))))</f>
        <v/>
      </c>
      <c r="U626" s="11">
        <f>IF(AND(C626&lt;&gt;"",M626&lt;&gt;"",OR(H626&lt;&gt;"",O626&lt;&gt;"")),"COMPLETE",IF(OR(C626&lt;&gt;"",M626&lt;&gt;""),"PARTIAL","MISSING"))</f>
        <v/>
      </c>
      <c r="V626" s="11">
        <f>IF(Q626="UNKNOWN","Check fluid description",IF(AND(R626&lt;&gt;"",S626&lt;&gt;""),"Ready for contact screening","Needs TVD + thickness"))</f>
        <v/>
      </c>
    </row>
    <row r="627">
      <c r="A627" s="9" t="n"/>
      <c r="B627" s="9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9" t="n"/>
      <c r="N627" s="9" t="n"/>
      <c r="O627" s="10" t="n"/>
      <c r="P627" s="9" t="n"/>
      <c r="Q627" s="11">
        <f>IF(P627&lt;&gt;"",P627,IF(M627="","UNKNOWN",IF(AND(ISNUMBER(SEARCH("gas",LOWER(M627))),ISNUMBER(SEARCH("water",LOWER(M627)))),"GAS_WATER",IF(AND(ISNUMBER(SEARCH("oil",LOWER(M627))),ISNUMBER(SEARCH("water",LOWER(M627)))),"OIL_WATER",IF(ISNUMBER(SEARCH("gas",LOWER(M627))),"GAS",IF(ISNUMBER(SEARCH("water",LOWER(M627))),"WATER",IF(ISNUMBER(SEARCH("oil",LOWER(M627))),"OIL","UNKNOWN")))))))</f>
        <v/>
      </c>
      <c r="R627" s="12">
        <f>IF(C627="","",C627)</f>
        <v/>
      </c>
      <c r="S627" s="12">
        <f>IF(R627="","",R627+IF(O627&lt;&gt;"",O627,IF(H627="",0,H627)))</f>
        <v/>
      </c>
      <c r="T627" s="12">
        <f>IF(R627="","",MAX(Settings!$B$3,Settings!$B$4*IF(O627&lt;&gt;"",O627,IF(H627="",0,H627))))</f>
        <v/>
      </c>
      <c r="U627" s="11">
        <f>IF(AND(C627&lt;&gt;"",M627&lt;&gt;"",OR(H627&lt;&gt;"",O627&lt;&gt;"")),"COMPLETE",IF(OR(C627&lt;&gt;"",M627&lt;&gt;""),"PARTIAL","MISSING"))</f>
        <v/>
      </c>
      <c r="V627" s="11">
        <f>IF(Q627="UNKNOWN","Check fluid description",IF(AND(R627&lt;&gt;"",S627&lt;&gt;""),"Ready for contact screening","Needs TVD + thickness"))</f>
        <v/>
      </c>
    </row>
    <row r="628">
      <c r="A628" s="9" t="n"/>
      <c r="B628" s="9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9" t="n"/>
      <c r="N628" s="9" t="n"/>
      <c r="O628" s="10" t="n"/>
      <c r="P628" s="9" t="n"/>
      <c r="Q628" s="11">
        <f>IF(P628&lt;&gt;"",P628,IF(M628="","UNKNOWN",IF(AND(ISNUMBER(SEARCH("gas",LOWER(M628))),ISNUMBER(SEARCH("water",LOWER(M628)))),"GAS_WATER",IF(AND(ISNUMBER(SEARCH("oil",LOWER(M628))),ISNUMBER(SEARCH("water",LOWER(M628)))),"OIL_WATER",IF(ISNUMBER(SEARCH("gas",LOWER(M628))),"GAS",IF(ISNUMBER(SEARCH("water",LOWER(M628))),"WATER",IF(ISNUMBER(SEARCH("oil",LOWER(M628))),"OIL","UNKNOWN")))))))</f>
        <v/>
      </c>
      <c r="R628" s="12">
        <f>IF(C628="","",C628)</f>
        <v/>
      </c>
      <c r="S628" s="12">
        <f>IF(R628="","",R628+IF(O628&lt;&gt;"",O628,IF(H628="",0,H628)))</f>
        <v/>
      </c>
      <c r="T628" s="12">
        <f>IF(R628="","",MAX(Settings!$B$3,Settings!$B$4*IF(O628&lt;&gt;"",O628,IF(H628="",0,H628))))</f>
        <v/>
      </c>
      <c r="U628" s="11">
        <f>IF(AND(C628&lt;&gt;"",M628&lt;&gt;"",OR(H628&lt;&gt;"",O628&lt;&gt;"")),"COMPLETE",IF(OR(C628&lt;&gt;"",M628&lt;&gt;""),"PARTIAL","MISSING"))</f>
        <v/>
      </c>
      <c r="V628" s="11">
        <f>IF(Q628="UNKNOWN","Check fluid description",IF(AND(R628&lt;&gt;"",S628&lt;&gt;""),"Ready for contact screening","Needs TVD + thickness"))</f>
        <v/>
      </c>
    </row>
    <row r="629">
      <c r="A629" s="9" t="n"/>
      <c r="B629" s="9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9" t="n"/>
      <c r="N629" s="9" t="n"/>
      <c r="O629" s="10" t="n"/>
      <c r="P629" s="9" t="n"/>
      <c r="Q629" s="11">
        <f>IF(P629&lt;&gt;"",P629,IF(M629="","UNKNOWN",IF(AND(ISNUMBER(SEARCH("gas",LOWER(M629))),ISNUMBER(SEARCH("water",LOWER(M629)))),"GAS_WATER",IF(AND(ISNUMBER(SEARCH("oil",LOWER(M629))),ISNUMBER(SEARCH("water",LOWER(M629)))),"OIL_WATER",IF(ISNUMBER(SEARCH("gas",LOWER(M629))),"GAS",IF(ISNUMBER(SEARCH("water",LOWER(M629))),"WATER",IF(ISNUMBER(SEARCH("oil",LOWER(M629))),"OIL","UNKNOWN")))))))</f>
        <v/>
      </c>
      <c r="R629" s="12">
        <f>IF(C629="","",C629)</f>
        <v/>
      </c>
      <c r="S629" s="12">
        <f>IF(R629="","",R629+IF(O629&lt;&gt;"",O629,IF(H629="",0,H629)))</f>
        <v/>
      </c>
      <c r="T629" s="12">
        <f>IF(R629="","",MAX(Settings!$B$3,Settings!$B$4*IF(O629&lt;&gt;"",O629,IF(H629="",0,H629))))</f>
        <v/>
      </c>
      <c r="U629" s="11">
        <f>IF(AND(C629&lt;&gt;"",M629&lt;&gt;"",OR(H629&lt;&gt;"",O629&lt;&gt;"")),"COMPLETE",IF(OR(C629&lt;&gt;"",M629&lt;&gt;""),"PARTIAL","MISSING"))</f>
        <v/>
      </c>
      <c r="V629" s="11">
        <f>IF(Q629="UNKNOWN","Check fluid description",IF(AND(R629&lt;&gt;"",S629&lt;&gt;""),"Ready for contact screening","Needs TVD + thickness"))</f>
        <v/>
      </c>
    </row>
    <row r="630">
      <c r="A630" s="9" t="n"/>
      <c r="B630" s="9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9" t="n"/>
      <c r="N630" s="9" t="n"/>
      <c r="O630" s="10" t="n"/>
      <c r="P630" s="9" t="n"/>
      <c r="Q630" s="11">
        <f>IF(P630&lt;&gt;"",P630,IF(M630="","UNKNOWN",IF(AND(ISNUMBER(SEARCH("gas",LOWER(M630))),ISNUMBER(SEARCH("water",LOWER(M630)))),"GAS_WATER",IF(AND(ISNUMBER(SEARCH("oil",LOWER(M630))),ISNUMBER(SEARCH("water",LOWER(M630)))),"OIL_WATER",IF(ISNUMBER(SEARCH("gas",LOWER(M630))),"GAS",IF(ISNUMBER(SEARCH("water",LOWER(M630))),"WATER",IF(ISNUMBER(SEARCH("oil",LOWER(M630))),"OIL","UNKNOWN")))))))</f>
        <v/>
      </c>
      <c r="R630" s="12">
        <f>IF(C630="","",C630)</f>
        <v/>
      </c>
      <c r="S630" s="12">
        <f>IF(R630="","",R630+IF(O630&lt;&gt;"",O630,IF(H630="",0,H630)))</f>
        <v/>
      </c>
      <c r="T630" s="12">
        <f>IF(R630="","",MAX(Settings!$B$3,Settings!$B$4*IF(O630&lt;&gt;"",O630,IF(H630="",0,H630))))</f>
        <v/>
      </c>
      <c r="U630" s="11">
        <f>IF(AND(C630&lt;&gt;"",M630&lt;&gt;"",OR(H630&lt;&gt;"",O630&lt;&gt;"")),"COMPLETE",IF(OR(C630&lt;&gt;"",M630&lt;&gt;""),"PARTIAL","MISSING"))</f>
        <v/>
      </c>
      <c r="V630" s="11">
        <f>IF(Q630="UNKNOWN","Check fluid description",IF(AND(R630&lt;&gt;"",S630&lt;&gt;""),"Ready for contact screening","Needs TVD + thickness"))</f>
        <v/>
      </c>
    </row>
    <row r="631">
      <c r="A631" s="9" t="n"/>
      <c r="B631" s="9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9" t="n"/>
      <c r="N631" s="9" t="n"/>
      <c r="O631" s="10" t="n"/>
      <c r="P631" s="9" t="n"/>
      <c r="Q631" s="11">
        <f>IF(P631&lt;&gt;"",P631,IF(M631="","UNKNOWN",IF(AND(ISNUMBER(SEARCH("gas",LOWER(M631))),ISNUMBER(SEARCH("water",LOWER(M631)))),"GAS_WATER",IF(AND(ISNUMBER(SEARCH("oil",LOWER(M631))),ISNUMBER(SEARCH("water",LOWER(M631)))),"OIL_WATER",IF(ISNUMBER(SEARCH("gas",LOWER(M631))),"GAS",IF(ISNUMBER(SEARCH("water",LOWER(M631))),"WATER",IF(ISNUMBER(SEARCH("oil",LOWER(M631))),"OIL","UNKNOWN")))))))</f>
        <v/>
      </c>
      <c r="R631" s="12">
        <f>IF(C631="","",C631)</f>
        <v/>
      </c>
      <c r="S631" s="12">
        <f>IF(R631="","",R631+IF(O631&lt;&gt;"",O631,IF(H631="",0,H631)))</f>
        <v/>
      </c>
      <c r="T631" s="12">
        <f>IF(R631="","",MAX(Settings!$B$3,Settings!$B$4*IF(O631&lt;&gt;"",O631,IF(H631="",0,H631))))</f>
        <v/>
      </c>
      <c r="U631" s="11">
        <f>IF(AND(C631&lt;&gt;"",M631&lt;&gt;"",OR(H631&lt;&gt;"",O631&lt;&gt;"")),"COMPLETE",IF(OR(C631&lt;&gt;"",M631&lt;&gt;""),"PARTIAL","MISSING"))</f>
        <v/>
      </c>
      <c r="V631" s="11">
        <f>IF(Q631="UNKNOWN","Check fluid description",IF(AND(R631&lt;&gt;"",S631&lt;&gt;""),"Ready for contact screening","Needs TVD + thickness"))</f>
        <v/>
      </c>
    </row>
    <row r="632">
      <c r="A632" s="9" t="n"/>
      <c r="B632" s="9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9" t="n"/>
      <c r="N632" s="9" t="n"/>
      <c r="O632" s="10" t="n"/>
      <c r="P632" s="9" t="n"/>
      <c r="Q632" s="11">
        <f>IF(P632&lt;&gt;"",P632,IF(M632="","UNKNOWN",IF(AND(ISNUMBER(SEARCH("gas",LOWER(M632))),ISNUMBER(SEARCH("water",LOWER(M632)))),"GAS_WATER",IF(AND(ISNUMBER(SEARCH("oil",LOWER(M632))),ISNUMBER(SEARCH("water",LOWER(M632)))),"OIL_WATER",IF(ISNUMBER(SEARCH("gas",LOWER(M632))),"GAS",IF(ISNUMBER(SEARCH("water",LOWER(M632))),"WATER",IF(ISNUMBER(SEARCH("oil",LOWER(M632))),"OIL","UNKNOWN")))))))</f>
        <v/>
      </c>
      <c r="R632" s="12">
        <f>IF(C632="","",C632)</f>
        <v/>
      </c>
      <c r="S632" s="12">
        <f>IF(R632="","",R632+IF(O632&lt;&gt;"",O632,IF(H632="",0,H632)))</f>
        <v/>
      </c>
      <c r="T632" s="12">
        <f>IF(R632="","",MAX(Settings!$B$3,Settings!$B$4*IF(O632&lt;&gt;"",O632,IF(H632="",0,H632))))</f>
        <v/>
      </c>
      <c r="U632" s="11">
        <f>IF(AND(C632&lt;&gt;"",M632&lt;&gt;"",OR(H632&lt;&gt;"",O632&lt;&gt;"")),"COMPLETE",IF(OR(C632&lt;&gt;"",M632&lt;&gt;""),"PARTIAL","MISSING"))</f>
        <v/>
      </c>
      <c r="V632" s="11">
        <f>IF(Q632="UNKNOWN","Check fluid description",IF(AND(R632&lt;&gt;"",S632&lt;&gt;""),"Ready for contact screening","Needs TVD + thickness"))</f>
        <v/>
      </c>
    </row>
    <row r="633">
      <c r="A633" s="9" t="n"/>
      <c r="B633" s="9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9" t="n"/>
      <c r="N633" s="9" t="n"/>
      <c r="O633" s="10" t="n"/>
      <c r="P633" s="9" t="n"/>
      <c r="Q633" s="11">
        <f>IF(P633&lt;&gt;"",P633,IF(M633="","UNKNOWN",IF(AND(ISNUMBER(SEARCH("gas",LOWER(M633))),ISNUMBER(SEARCH("water",LOWER(M633)))),"GAS_WATER",IF(AND(ISNUMBER(SEARCH("oil",LOWER(M633))),ISNUMBER(SEARCH("water",LOWER(M633)))),"OIL_WATER",IF(ISNUMBER(SEARCH("gas",LOWER(M633))),"GAS",IF(ISNUMBER(SEARCH("water",LOWER(M633))),"WATER",IF(ISNUMBER(SEARCH("oil",LOWER(M633))),"OIL","UNKNOWN")))))))</f>
        <v/>
      </c>
      <c r="R633" s="12">
        <f>IF(C633="","",C633)</f>
        <v/>
      </c>
      <c r="S633" s="12">
        <f>IF(R633="","",R633+IF(O633&lt;&gt;"",O633,IF(H633="",0,H633)))</f>
        <v/>
      </c>
      <c r="T633" s="12">
        <f>IF(R633="","",MAX(Settings!$B$3,Settings!$B$4*IF(O633&lt;&gt;"",O633,IF(H633="",0,H633))))</f>
        <v/>
      </c>
      <c r="U633" s="11">
        <f>IF(AND(C633&lt;&gt;"",M633&lt;&gt;"",OR(H633&lt;&gt;"",O633&lt;&gt;"")),"COMPLETE",IF(OR(C633&lt;&gt;"",M633&lt;&gt;""),"PARTIAL","MISSING"))</f>
        <v/>
      </c>
      <c r="V633" s="11">
        <f>IF(Q633="UNKNOWN","Check fluid description",IF(AND(R633&lt;&gt;"",S633&lt;&gt;""),"Ready for contact screening","Needs TVD + thickness"))</f>
        <v/>
      </c>
    </row>
    <row r="634">
      <c r="A634" s="9" t="n"/>
      <c r="B634" s="9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9" t="n"/>
      <c r="N634" s="9" t="n"/>
      <c r="O634" s="10" t="n"/>
      <c r="P634" s="9" t="n"/>
      <c r="Q634" s="11">
        <f>IF(P634&lt;&gt;"",P634,IF(M634="","UNKNOWN",IF(AND(ISNUMBER(SEARCH("gas",LOWER(M634))),ISNUMBER(SEARCH("water",LOWER(M634)))),"GAS_WATER",IF(AND(ISNUMBER(SEARCH("oil",LOWER(M634))),ISNUMBER(SEARCH("water",LOWER(M634)))),"OIL_WATER",IF(ISNUMBER(SEARCH("gas",LOWER(M634))),"GAS",IF(ISNUMBER(SEARCH("water",LOWER(M634))),"WATER",IF(ISNUMBER(SEARCH("oil",LOWER(M634))),"OIL","UNKNOWN")))))))</f>
        <v/>
      </c>
      <c r="R634" s="12">
        <f>IF(C634="","",C634)</f>
        <v/>
      </c>
      <c r="S634" s="12">
        <f>IF(R634="","",R634+IF(O634&lt;&gt;"",O634,IF(H634="",0,H634)))</f>
        <v/>
      </c>
      <c r="T634" s="12">
        <f>IF(R634="","",MAX(Settings!$B$3,Settings!$B$4*IF(O634&lt;&gt;"",O634,IF(H634="",0,H634))))</f>
        <v/>
      </c>
      <c r="U634" s="11">
        <f>IF(AND(C634&lt;&gt;"",M634&lt;&gt;"",OR(H634&lt;&gt;"",O634&lt;&gt;"")),"COMPLETE",IF(OR(C634&lt;&gt;"",M634&lt;&gt;""),"PARTIAL","MISSING"))</f>
        <v/>
      </c>
      <c r="V634" s="11">
        <f>IF(Q634="UNKNOWN","Check fluid description",IF(AND(R634&lt;&gt;"",S634&lt;&gt;""),"Ready for contact screening","Needs TVD + thickness"))</f>
        <v/>
      </c>
    </row>
    <row r="635">
      <c r="A635" s="9" t="n"/>
      <c r="B635" s="9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9" t="n"/>
      <c r="N635" s="9" t="n"/>
      <c r="O635" s="10" t="n"/>
      <c r="P635" s="9" t="n"/>
      <c r="Q635" s="11">
        <f>IF(P635&lt;&gt;"",P635,IF(M635="","UNKNOWN",IF(AND(ISNUMBER(SEARCH("gas",LOWER(M635))),ISNUMBER(SEARCH("water",LOWER(M635)))),"GAS_WATER",IF(AND(ISNUMBER(SEARCH("oil",LOWER(M635))),ISNUMBER(SEARCH("water",LOWER(M635)))),"OIL_WATER",IF(ISNUMBER(SEARCH("gas",LOWER(M635))),"GAS",IF(ISNUMBER(SEARCH("water",LOWER(M635))),"WATER",IF(ISNUMBER(SEARCH("oil",LOWER(M635))),"OIL","UNKNOWN")))))))</f>
        <v/>
      </c>
      <c r="R635" s="12">
        <f>IF(C635="","",C635)</f>
        <v/>
      </c>
      <c r="S635" s="12">
        <f>IF(R635="","",R635+IF(O635&lt;&gt;"",O635,IF(H635="",0,H635)))</f>
        <v/>
      </c>
      <c r="T635" s="12">
        <f>IF(R635="","",MAX(Settings!$B$3,Settings!$B$4*IF(O635&lt;&gt;"",O635,IF(H635="",0,H635))))</f>
        <v/>
      </c>
      <c r="U635" s="11">
        <f>IF(AND(C635&lt;&gt;"",M635&lt;&gt;"",OR(H635&lt;&gt;"",O635&lt;&gt;"")),"COMPLETE",IF(OR(C635&lt;&gt;"",M635&lt;&gt;""),"PARTIAL","MISSING"))</f>
        <v/>
      </c>
      <c r="V635" s="11">
        <f>IF(Q635="UNKNOWN","Check fluid description",IF(AND(R635&lt;&gt;"",S635&lt;&gt;""),"Ready for contact screening","Needs TVD + thickness"))</f>
        <v/>
      </c>
    </row>
    <row r="636">
      <c r="A636" s="9" t="n"/>
      <c r="B636" s="9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9" t="n"/>
      <c r="N636" s="9" t="n"/>
      <c r="O636" s="10" t="n"/>
      <c r="P636" s="9" t="n"/>
      <c r="Q636" s="11">
        <f>IF(P636&lt;&gt;"",P636,IF(M636="","UNKNOWN",IF(AND(ISNUMBER(SEARCH("gas",LOWER(M636))),ISNUMBER(SEARCH("water",LOWER(M636)))),"GAS_WATER",IF(AND(ISNUMBER(SEARCH("oil",LOWER(M636))),ISNUMBER(SEARCH("water",LOWER(M636)))),"OIL_WATER",IF(ISNUMBER(SEARCH("gas",LOWER(M636))),"GAS",IF(ISNUMBER(SEARCH("water",LOWER(M636))),"WATER",IF(ISNUMBER(SEARCH("oil",LOWER(M636))),"OIL","UNKNOWN")))))))</f>
        <v/>
      </c>
      <c r="R636" s="12">
        <f>IF(C636="","",C636)</f>
        <v/>
      </c>
      <c r="S636" s="12">
        <f>IF(R636="","",R636+IF(O636&lt;&gt;"",O636,IF(H636="",0,H636)))</f>
        <v/>
      </c>
      <c r="T636" s="12">
        <f>IF(R636="","",MAX(Settings!$B$3,Settings!$B$4*IF(O636&lt;&gt;"",O636,IF(H636="",0,H636))))</f>
        <v/>
      </c>
      <c r="U636" s="11">
        <f>IF(AND(C636&lt;&gt;"",M636&lt;&gt;"",OR(H636&lt;&gt;"",O636&lt;&gt;"")),"COMPLETE",IF(OR(C636&lt;&gt;"",M636&lt;&gt;""),"PARTIAL","MISSING"))</f>
        <v/>
      </c>
      <c r="V636" s="11">
        <f>IF(Q636="UNKNOWN","Check fluid description",IF(AND(R636&lt;&gt;"",S636&lt;&gt;""),"Ready for contact screening","Needs TVD + thickness"))</f>
        <v/>
      </c>
    </row>
    <row r="637">
      <c r="A637" s="9" t="n"/>
      <c r="B637" s="9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9" t="n"/>
      <c r="N637" s="9" t="n"/>
      <c r="O637" s="10" t="n"/>
      <c r="P637" s="9" t="n"/>
      <c r="Q637" s="11">
        <f>IF(P637&lt;&gt;"",P637,IF(M637="","UNKNOWN",IF(AND(ISNUMBER(SEARCH("gas",LOWER(M637))),ISNUMBER(SEARCH("water",LOWER(M637)))),"GAS_WATER",IF(AND(ISNUMBER(SEARCH("oil",LOWER(M637))),ISNUMBER(SEARCH("water",LOWER(M637)))),"OIL_WATER",IF(ISNUMBER(SEARCH("gas",LOWER(M637))),"GAS",IF(ISNUMBER(SEARCH("water",LOWER(M637))),"WATER",IF(ISNUMBER(SEARCH("oil",LOWER(M637))),"OIL","UNKNOWN")))))))</f>
        <v/>
      </c>
      <c r="R637" s="12">
        <f>IF(C637="","",C637)</f>
        <v/>
      </c>
      <c r="S637" s="12">
        <f>IF(R637="","",R637+IF(O637&lt;&gt;"",O637,IF(H637="",0,H637)))</f>
        <v/>
      </c>
      <c r="T637" s="12">
        <f>IF(R637="","",MAX(Settings!$B$3,Settings!$B$4*IF(O637&lt;&gt;"",O637,IF(H637="",0,H637))))</f>
        <v/>
      </c>
      <c r="U637" s="11">
        <f>IF(AND(C637&lt;&gt;"",M637&lt;&gt;"",OR(H637&lt;&gt;"",O637&lt;&gt;"")),"COMPLETE",IF(OR(C637&lt;&gt;"",M637&lt;&gt;""),"PARTIAL","MISSING"))</f>
        <v/>
      </c>
      <c r="V637" s="11">
        <f>IF(Q637="UNKNOWN","Check fluid description",IF(AND(R637&lt;&gt;"",S637&lt;&gt;""),"Ready for contact screening","Needs TVD + thickness"))</f>
        <v/>
      </c>
    </row>
    <row r="638">
      <c r="A638" s="9" t="n"/>
      <c r="B638" s="9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9" t="n"/>
      <c r="N638" s="9" t="n"/>
      <c r="O638" s="10" t="n"/>
      <c r="P638" s="9" t="n"/>
      <c r="Q638" s="11">
        <f>IF(P638&lt;&gt;"",P638,IF(M638="","UNKNOWN",IF(AND(ISNUMBER(SEARCH("gas",LOWER(M638))),ISNUMBER(SEARCH("water",LOWER(M638)))),"GAS_WATER",IF(AND(ISNUMBER(SEARCH("oil",LOWER(M638))),ISNUMBER(SEARCH("water",LOWER(M638)))),"OIL_WATER",IF(ISNUMBER(SEARCH("gas",LOWER(M638))),"GAS",IF(ISNUMBER(SEARCH("water",LOWER(M638))),"WATER",IF(ISNUMBER(SEARCH("oil",LOWER(M638))),"OIL","UNKNOWN")))))))</f>
        <v/>
      </c>
      <c r="R638" s="12">
        <f>IF(C638="","",C638)</f>
        <v/>
      </c>
      <c r="S638" s="12">
        <f>IF(R638="","",R638+IF(O638&lt;&gt;"",O638,IF(H638="",0,H638)))</f>
        <v/>
      </c>
      <c r="T638" s="12">
        <f>IF(R638="","",MAX(Settings!$B$3,Settings!$B$4*IF(O638&lt;&gt;"",O638,IF(H638="",0,H638))))</f>
        <v/>
      </c>
      <c r="U638" s="11">
        <f>IF(AND(C638&lt;&gt;"",M638&lt;&gt;"",OR(H638&lt;&gt;"",O638&lt;&gt;"")),"COMPLETE",IF(OR(C638&lt;&gt;"",M638&lt;&gt;""),"PARTIAL","MISSING"))</f>
        <v/>
      </c>
      <c r="V638" s="11">
        <f>IF(Q638="UNKNOWN","Check fluid description",IF(AND(R638&lt;&gt;"",S638&lt;&gt;""),"Ready for contact screening","Needs TVD + thickness"))</f>
        <v/>
      </c>
    </row>
    <row r="639">
      <c r="A639" s="9" t="n"/>
      <c r="B639" s="9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9" t="n"/>
      <c r="N639" s="9" t="n"/>
      <c r="O639" s="10" t="n"/>
      <c r="P639" s="9" t="n"/>
      <c r="Q639" s="11">
        <f>IF(P639&lt;&gt;"",P639,IF(M639="","UNKNOWN",IF(AND(ISNUMBER(SEARCH("gas",LOWER(M639))),ISNUMBER(SEARCH("water",LOWER(M639)))),"GAS_WATER",IF(AND(ISNUMBER(SEARCH("oil",LOWER(M639))),ISNUMBER(SEARCH("water",LOWER(M639)))),"OIL_WATER",IF(ISNUMBER(SEARCH("gas",LOWER(M639))),"GAS",IF(ISNUMBER(SEARCH("water",LOWER(M639))),"WATER",IF(ISNUMBER(SEARCH("oil",LOWER(M639))),"OIL","UNKNOWN")))))))</f>
        <v/>
      </c>
      <c r="R639" s="12">
        <f>IF(C639="","",C639)</f>
        <v/>
      </c>
      <c r="S639" s="12">
        <f>IF(R639="","",R639+IF(O639&lt;&gt;"",O639,IF(H639="",0,H639)))</f>
        <v/>
      </c>
      <c r="T639" s="12">
        <f>IF(R639="","",MAX(Settings!$B$3,Settings!$B$4*IF(O639&lt;&gt;"",O639,IF(H639="",0,H639))))</f>
        <v/>
      </c>
      <c r="U639" s="11">
        <f>IF(AND(C639&lt;&gt;"",M639&lt;&gt;"",OR(H639&lt;&gt;"",O639&lt;&gt;"")),"COMPLETE",IF(OR(C639&lt;&gt;"",M639&lt;&gt;""),"PARTIAL","MISSING"))</f>
        <v/>
      </c>
      <c r="V639" s="11">
        <f>IF(Q639="UNKNOWN","Check fluid description",IF(AND(R639&lt;&gt;"",S639&lt;&gt;""),"Ready for contact screening","Needs TVD + thickness"))</f>
        <v/>
      </c>
    </row>
    <row r="640">
      <c r="A640" s="9" t="n"/>
      <c r="B640" s="9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9" t="n"/>
      <c r="N640" s="9" t="n"/>
      <c r="O640" s="10" t="n"/>
      <c r="P640" s="9" t="n"/>
      <c r="Q640" s="11">
        <f>IF(P640&lt;&gt;"",P640,IF(M640="","UNKNOWN",IF(AND(ISNUMBER(SEARCH("gas",LOWER(M640))),ISNUMBER(SEARCH("water",LOWER(M640)))),"GAS_WATER",IF(AND(ISNUMBER(SEARCH("oil",LOWER(M640))),ISNUMBER(SEARCH("water",LOWER(M640)))),"OIL_WATER",IF(ISNUMBER(SEARCH("gas",LOWER(M640))),"GAS",IF(ISNUMBER(SEARCH("water",LOWER(M640))),"WATER",IF(ISNUMBER(SEARCH("oil",LOWER(M640))),"OIL","UNKNOWN")))))))</f>
        <v/>
      </c>
      <c r="R640" s="12">
        <f>IF(C640="","",C640)</f>
        <v/>
      </c>
      <c r="S640" s="12">
        <f>IF(R640="","",R640+IF(O640&lt;&gt;"",O640,IF(H640="",0,H640)))</f>
        <v/>
      </c>
      <c r="T640" s="12">
        <f>IF(R640="","",MAX(Settings!$B$3,Settings!$B$4*IF(O640&lt;&gt;"",O640,IF(H640="",0,H640))))</f>
        <v/>
      </c>
      <c r="U640" s="11">
        <f>IF(AND(C640&lt;&gt;"",M640&lt;&gt;"",OR(H640&lt;&gt;"",O640&lt;&gt;"")),"COMPLETE",IF(OR(C640&lt;&gt;"",M640&lt;&gt;""),"PARTIAL","MISSING"))</f>
        <v/>
      </c>
      <c r="V640" s="11">
        <f>IF(Q640="UNKNOWN","Check fluid description",IF(AND(R640&lt;&gt;"",S640&lt;&gt;""),"Ready for contact screening","Needs TVD + thickness"))</f>
        <v/>
      </c>
    </row>
    <row r="641">
      <c r="A641" s="9" t="n"/>
      <c r="B641" s="9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9" t="n"/>
      <c r="N641" s="9" t="n"/>
      <c r="O641" s="10" t="n"/>
      <c r="P641" s="9" t="n"/>
      <c r="Q641" s="11">
        <f>IF(P641&lt;&gt;"",P641,IF(M641="","UNKNOWN",IF(AND(ISNUMBER(SEARCH("gas",LOWER(M641))),ISNUMBER(SEARCH("water",LOWER(M641)))),"GAS_WATER",IF(AND(ISNUMBER(SEARCH("oil",LOWER(M641))),ISNUMBER(SEARCH("water",LOWER(M641)))),"OIL_WATER",IF(ISNUMBER(SEARCH("gas",LOWER(M641))),"GAS",IF(ISNUMBER(SEARCH("water",LOWER(M641))),"WATER",IF(ISNUMBER(SEARCH("oil",LOWER(M641))),"OIL","UNKNOWN")))))))</f>
        <v/>
      </c>
      <c r="R641" s="12">
        <f>IF(C641="","",C641)</f>
        <v/>
      </c>
      <c r="S641" s="12">
        <f>IF(R641="","",R641+IF(O641&lt;&gt;"",O641,IF(H641="",0,H641)))</f>
        <v/>
      </c>
      <c r="T641" s="12">
        <f>IF(R641="","",MAX(Settings!$B$3,Settings!$B$4*IF(O641&lt;&gt;"",O641,IF(H641="",0,H641))))</f>
        <v/>
      </c>
      <c r="U641" s="11">
        <f>IF(AND(C641&lt;&gt;"",M641&lt;&gt;"",OR(H641&lt;&gt;"",O641&lt;&gt;"")),"COMPLETE",IF(OR(C641&lt;&gt;"",M641&lt;&gt;""),"PARTIAL","MISSING"))</f>
        <v/>
      </c>
      <c r="V641" s="11">
        <f>IF(Q641="UNKNOWN","Check fluid description",IF(AND(R641&lt;&gt;"",S641&lt;&gt;""),"Ready for contact screening","Needs TVD + thickness"))</f>
        <v/>
      </c>
    </row>
    <row r="642">
      <c r="A642" s="9" t="n"/>
      <c r="B642" s="9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9" t="n"/>
      <c r="N642" s="9" t="n"/>
      <c r="O642" s="10" t="n"/>
      <c r="P642" s="9" t="n"/>
      <c r="Q642" s="11">
        <f>IF(P642&lt;&gt;"",P642,IF(M642="","UNKNOWN",IF(AND(ISNUMBER(SEARCH("gas",LOWER(M642))),ISNUMBER(SEARCH("water",LOWER(M642)))),"GAS_WATER",IF(AND(ISNUMBER(SEARCH("oil",LOWER(M642))),ISNUMBER(SEARCH("water",LOWER(M642)))),"OIL_WATER",IF(ISNUMBER(SEARCH("gas",LOWER(M642))),"GAS",IF(ISNUMBER(SEARCH("water",LOWER(M642))),"WATER",IF(ISNUMBER(SEARCH("oil",LOWER(M642))),"OIL","UNKNOWN")))))))</f>
        <v/>
      </c>
      <c r="R642" s="12">
        <f>IF(C642="","",C642)</f>
        <v/>
      </c>
      <c r="S642" s="12">
        <f>IF(R642="","",R642+IF(O642&lt;&gt;"",O642,IF(H642="",0,H642)))</f>
        <v/>
      </c>
      <c r="T642" s="12">
        <f>IF(R642="","",MAX(Settings!$B$3,Settings!$B$4*IF(O642&lt;&gt;"",O642,IF(H642="",0,H642))))</f>
        <v/>
      </c>
      <c r="U642" s="11">
        <f>IF(AND(C642&lt;&gt;"",M642&lt;&gt;"",OR(H642&lt;&gt;"",O642&lt;&gt;"")),"COMPLETE",IF(OR(C642&lt;&gt;"",M642&lt;&gt;""),"PARTIAL","MISSING"))</f>
        <v/>
      </c>
      <c r="V642" s="11">
        <f>IF(Q642="UNKNOWN","Check fluid description",IF(AND(R642&lt;&gt;"",S642&lt;&gt;""),"Ready for contact screening","Needs TVD + thickness"))</f>
        <v/>
      </c>
    </row>
    <row r="643">
      <c r="A643" s="9" t="n"/>
      <c r="B643" s="9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9" t="n"/>
      <c r="N643" s="9" t="n"/>
      <c r="O643" s="10" t="n"/>
      <c r="P643" s="9" t="n"/>
      <c r="Q643" s="11">
        <f>IF(P643&lt;&gt;"",P643,IF(M643="","UNKNOWN",IF(AND(ISNUMBER(SEARCH("gas",LOWER(M643))),ISNUMBER(SEARCH("water",LOWER(M643)))),"GAS_WATER",IF(AND(ISNUMBER(SEARCH("oil",LOWER(M643))),ISNUMBER(SEARCH("water",LOWER(M643)))),"OIL_WATER",IF(ISNUMBER(SEARCH("gas",LOWER(M643))),"GAS",IF(ISNUMBER(SEARCH("water",LOWER(M643))),"WATER",IF(ISNUMBER(SEARCH("oil",LOWER(M643))),"OIL","UNKNOWN")))))))</f>
        <v/>
      </c>
      <c r="R643" s="12">
        <f>IF(C643="","",C643)</f>
        <v/>
      </c>
      <c r="S643" s="12">
        <f>IF(R643="","",R643+IF(O643&lt;&gt;"",O643,IF(H643="",0,H643)))</f>
        <v/>
      </c>
      <c r="T643" s="12">
        <f>IF(R643="","",MAX(Settings!$B$3,Settings!$B$4*IF(O643&lt;&gt;"",O643,IF(H643="",0,H643))))</f>
        <v/>
      </c>
      <c r="U643" s="11">
        <f>IF(AND(C643&lt;&gt;"",M643&lt;&gt;"",OR(H643&lt;&gt;"",O643&lt;&gt;"")),"COMPLETE",IF(OR(C643&lt;&gt;"",M643&lt;&gt;""),"PARTIAL","MISSING"))</f>
        <v/>
      </c>
      <c r="V643" s="11">
        <f>IF(Q643="UNKNOWN","Check fluid description",IF(AND(R643&lt;&gt;"",S643&lt;&gt;""),"Ready for contact screening","Needs TVD + thickness"))</f>
        <v/>
      </c>
    </row>
    <row r="644">
      <c r="A644" s="9" t="n"/>
      <c r="B644" s="9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9" t="n"/>
      <c r="N644" s="9" t="n"/>
      <c r="O644" s="10" t="n"/>
      <c r="P644" s="9" t="n"/>
      <c r="Q644" s="11">
        <f>IF(P644&lt;&gt;"",P644,IF(M644="","UNKNOWN",IF(AND(ISNUMBER(SEARCH("gas",LOWER(M644))),ISNUMBER(SEARCH("water",LOWER(M644)))),"GAS_WATER",IF(AND(ISNUMBER(SEARCH("oil",LOWER(M644))),ISNUMBER(SEARCH("water",LOWER(M644)))),"OIL_WATER",IF(ISNUMBER(SEARCH("gas",LOWER(M644))),"GAS",IF(ISNUMBER(SEARCH("water",LOWER(M644))),"WATER",IF(ISNUMBER(SEARCH("oil",LOWER(M644))),"OIL","UNKNOWN")))))))</f>
        <v/>
      </c>
      <c r="R644" s="12">
        <f>IF(C644="","",C644)</f>
        <v/>
      </c>
      <c r="S644" s="12">
        <f>IF(R644="","",R644+IF(O644&lt;&gt;"",O644,IF(H644="",0,H644)))</f>
        <v/>
      </c>
      <c r="T644" s="12">
        <f>IF(R644="","",MAX(Settings!$B$3,Settings!$B$4*IF(O644&lt;&gt;"",O644,IF(H644="",0,H644))))</f>
        <v/>
      </c>
      <c r="U644" s="11">
        <f>IF(AND(C644&lt;&gt;"",M644&lt;&gt;"",OR(H644&lt;&gt;"",O644&lt;&gt;"")),"COMPLETE",IF(OR(C644&lt;&gt;"",M644&lt;&gt;""),"PARTIAL","MISSING"))</f>
        <v/>
      </c>
      <c r="V644" s="11">
        <f>IF(Q644="UNKNOWN","Check fluid description",IF(AND(R644&lt;&gt;"",S644&lt;&gt;""),"Ready for contact screening","Needs TVD + thickness"))</f>
        <v/>
      </c>
    </row>
    <row r="645">
      <c r="A645" s="9" t="n"/>
      <c r="B645" s="9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9" t="n"/>
      <c r="N645" s="9" t="n"/>
      <c r="O645" s="10" t="n"/>
      <c r="P645" s="9" t="n"/>
      <c r="Q645" s="11">
        <f>IF(P645&lt;&gt;"",P645,IF(M645="","UNKNOWN",IF(AND(ISNUMBER(SEARCH("gas",LOWER(M645))),ISNUMBER(SEARCH("water",LOWER(M645)))),"GAS_WATER",IF(AND(ISNUMBER(SEARCH("oil",LOWER(M645))),ISNUMBER(SEARCH("water",LOWER(M645)))),"OIL_WATER",IF(ISNUMBER(SEARCH("gas",LOWER(M645))),"GAS",IF(ISNUMBER(SEARCH("water",LOWER(M645))),"WATER",IF(ISNUMBER(SEARCH("oil",LOWER(M645))),"OIL","UNKNOWN")))))))</f>
        <v/>
      </c>
      <c r="R645" s="12">
        <f>IF(C645="","",C645)</f>
        <v/>
      </c>
      <c r="S645" s="12">
        <f>IF(R645="","",R645+IF(O645&lt;&gt;"",O645,IF(H645="",0,H645)))</f>
        <v/>
      </c>
      <c r="T645" s="12">
        <f>IF(R645="","",MAX(Settings!$B$3,Settings!$B$4*IF(O645&lt;&gt;"",O645,IF(H645="",0,H645))))</f>
        <v/>
      </c>
      <c r="U645" s="11">
        <f>IF(AND(C645&lt;&gt;"",M645&lt;&gt;"",OR(H645&lt;&gt;"",O645&lt;&gt;"")),"COMPLETE",IF(OR(C645&lt;&gt;"",M645&lt;&gt;""),"PARTIAL","MISSING"))</f>
        <v/>
      </c>
      <c r="V645" s="11">
        <f>IF(Q645="UNKNOWN","Check fluid description",IF(AND(R645&lt;&gt;"",S645&lt;&gt;""),"Ready for contact screening","Needs TVD + thickness"))</f>
        <v/>
      </c>
    </row>
    <row r="646">
      <c r="A646" s="9" t="n"/>
      <c r="B646" s="9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9" t="n"/>
      <c r="N646" s="9" t="n"/>
      <c r="O646" s="10" t="n"/>
      <c r="P646" s="9" t="n"/>
      <c r="Q646" s="11">
        <f>IF(P646&lt;&gt;"",P646,IF(M646="","UNKNOWN",IF(AND(ISNUMBER(SEARCH("gas",LOWER(M646))),ISNUMBER(SEARCH("water",LOWER(M646)))),"GAS_WATER",IF(AND(ISNUMBER(SEARCH("oil",LOWER(M646))),ISNUMBER(SEARCH("water",LOWER(M646)))),"OIL_WATER",IF(ISNUMBER(SEARCH("gas",LOWER(M646))),"GAS",IF(ISNUMBER(SEARCH("water",LOWER(M646))),"WATER",IF(ISNUMBER(SEARCH("oil",LOWER(M646))),"OIL","UNKNOWN")))))))</f>
        <v/>
      </c>
      <c r="R646" s="12">
        <f>IF(C646="","",C646)</f>
        <v/>
      </c>
      <c r="S646" s="12">
        <f>IF(R646="","",R646+IF(O646&lt;&gt;"",O646,IF(H646="",0,H646)))</f>
        <v/>
      </c>
      <c r="T646" s="12">
        <f>IF(R646="","",MAX(Settings!$B$3,Settings!$B$4*IF(O646&lt;&gt;"",O646,IF(H646="",0,H646))))</f>
        <v/>
      </c>
      <c r="U646" s="11">
        <f>IF(AND(C646&lt;&gt;"",M646&lt;&gt;"",OR(H646&lt;&gt;"",O646&lt;&gt;"")),"COMPLETE",IF(OR(C646&lt;&gt;"",M646&lt;&gt;""),"PARTIAL","MISSING"))</f>
        <v/>
      </c>
      <c r="V646" s="11">
        <f>IF(Q646="UNKNOWN","Check fluid description",IF(AND(R646&lt;&gt;"",S646&lt;&gt;""),"Ready for contact screening","Needs TVD + thickness"))</f>
        <v/>
      </c>
    </row>
    <row r="647">
      <c r="A647" s="9" t="n"/>
      <c r="B647" s="9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9" t="n"/>
      <c r="N647" s="9" t="n"/>
      <c r="O647" s="10" t="n"/>
      <c r="P647" s="9" t="n"/>
      <c r="Q647" s="11">
        <f>IF(P647&lt;&gt;"",P647,IF(M647="","UNKNOWN",IF(AND(ISNUMBER(SEARCH("gas",LOWER(M647))),ISNUMBER(SEARCH("water",LOWER(M647)))),"GAS_WATER",IF(AND(ISNUMBER(SEARCH("oil",LOWER(M647))),ISNUMBER(SEARCH("water",LOWER(M647)))),"OIL_WATER",IF(ISNUMBER(SEARCH("gas",LOWER(M647))),"GAS",IF(ISNUMBER(SEARCH("water",LOWER(M647))),"WATER",IF(ISNUMBER(SEARCH("oil",LOWER(M647))),"OIL","UNKNOWN")))))))</f>
        <v/>
      </c>
      <c r="R647" s="12">
        <f>IF(C647="","",C647)</f>
        <v/>
      </c>
      <c r="S647" s="12">
        <f>IF(R647="","",R647+IF(O647&lt;&gt;"",O647,IF(H647="",0,H647)))</f>
        <v/>
      </c>
      <c r="T647" s="12">
        <f>IF(R647="","",MAX(Settings!$B$3,Settings!$B$4*IF(O647&lt;&gt;"",O647,IF(H647="",0,H647))))</f>
        <v/>
      </c>
      <c r="U647" s="11">
        <f>IF(AND(C647&lt;&gt;"",M647&lt;&gt;"",OR(H647&lt;&gt;"",O647&lt;&gt;"")),"COMPLETE",IF(OR(C647&lt;&gt;"",M647&lt;&gt;""),"PARTIAL","MISSING"))</f>
        <v/>
      </c>
      <c r="V647" s="11">
        <f>IF(Q647="UNKNOWN","Check fluid description",IF(AND(R647&lt;&gt;"",S647&lt;&gt;""),"Ready for contact screening","Needs TVD + thickness"))</f>
        <v/>
      </c>
    </row>
    <row r="648">
      <c r="A648" s="9" t="n"/>
      <c r="B648" s="9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9" t="n"/>
      <c r="N648" s="9" t="n"/>
      <c r="O648" s="10" t="n"/>
      <c r="P648" s="9" t="n"/>
      <c r="Q648" s="11">
        <f>IF(P648&lt;&gt;"",P648,IF(M648="","UNKNOWN",IF(AND(ISNUMBER(SEARCH("gas",LOWER(M648))),ISNUMBER(SEARCH("water",LOWER(M648)))),"GAS_WATER",IF(AND(ISNUMBER(SEARCH("oil",LOWER(M648))),ISNUMBER(SEARCH("water",LOWER(M648)))),"OIL_WATER",IF(ISNUMBER(SEARCH("gas",LOWER(M648))),"GAS",IF(ISNUMBER(SEARCH("water",LOWER(M648))),"WATER",IF(ISNUMBER(SEARCH("oil",LOWER(M648))),"OIL","UNKNOWN")))))))</f>
        <v/>
      </c>
      <c r="R648" s="12">
        <f>IF(C648="","",C648)</f>
        <v/>
      </c>
      <c r="S648" s="12">
        <f>IF(R648="","",R648+IF(O648&lt;&gt;"",O648,IF(H648="",0,H648)))</f>
        <v/>
      </c>
      <c r="T648" s="12">
        <f>IF(R648="","",MAX(Settings!$B$3,Settings!$B$4*IF(O648&lt;&gt;"",O648,IF(H648="",0,H648))))</f>
        <v/>
      </c>
      <c r="U648" s="11">
        <f>IF(AND(C648&lt;&gt;"",M648&lt;&gt;"",OR(H648&lt;&gt;"",O648&lt;&gt;"")),"COMPLETE",IF(OR(C648&lt;&gt;"",M648&lt;&gt;""),"PARTIAL","MISSING"))</f>
        <v/>
      </c>
      <c r="V648" s="11">
        <f>IF(Q648="UNKNOWN","Check fluid description",IF(AND(R648&lt;&gt;"",S648&lt;&gt;""),"Ready for contact screening","Needs TVD + thickness"))</f>
        <v/>
      </c>
    </row>
    <row r="649">
      <c r="A649" s="9" t="n"/>
      <c r="B649" s="9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9" t="n"/>
      <c r="N649" s="9" t="n"/>
      <c r="O649" s="10" t="n"/>
      <c r="P649" s="9" t="n"/>
      <c r="Q649" s="11">
        <f>IF(P649&lt;&gt;"",P649,IF(M649="","UNKNOWN",IF(AND(ISNUMBER(SEARCH("gas",LOWER(M649))),ISNUMBER(SEARCH("water",LOWER(M649)))),"GAS_WATER",IF(AND(ISNUMBER(SEARCH("oil",LOWER(M649))),ISNUMBER(SEARCH("water",LOWER(M649)))),"OIL_WATER",IF(ISNUMBER(SEARCH("gas",LOWER(M649))),"GAS",IF(ISNUMBER(SEARCH("water",LOWER(M649))),"WATER",IF(ISNUMBER(SEARCH("oil",LOWER(M649))),"OIL","UNKNOWN")))))))</f>
        <v/>
      </c>
      <c r="R649" s="12">
        <f>IF(C649="","",C649)</f>
        <v/>
      </c>
      <c r="S649" s="12">
        <f>IF(R649="","",R649+IF(O649&lt;&gt;"",O649,IF(H649="",0,H649)))</f>
        <v/>
      </c>
      <c r="T649" s="12">
        <f>IF(R649="","",MAX(Settings!$B$3,Settings!$B$4*IF(O649&lt;&gt;"",O649,IF(H649="",0,H649))))</f>
        <v/>
      </c>
      <c r="U649" s="11">
        <f>IF(AND(C649&lt;&gt;"",M649&lt;&gt;"",OR(H649&lt;&gt;"",O649&lt;&gt;"")),"COMPLETE",IF(OR(C649&lt;&gt;"",M649&lt;&gt;""),"PARTIAL","MISSING"))</f>
        <v/>
      </c>
      <c r="V649" s="11">
        <f>IF(Q649="UNKNOWN","Check fluid description",IF(AND(R649&lt;&gt;"",S649&lt;&gt;""),"Ready for contact screening","Needs TVD + thickness"))</f>
        <v/>
      </c>
    </row>
    <row r="650">
      <c r="A650" s="9" t="n"/>
      <c r="B650" s="9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9" t="n"/>
      <c r="N650" s="9" t="n"/>
      <c r="O650" s="10" t="n"/>
      <c r="P650" s="9" t="n"/>
      <c r="Q650" s="11">
        <f>IF(P650&lt;&gt;"",P650,IF(M650="","UNKNOWN",IF(AND(ISNUMBER(SEARCH("gas",LOWER(M650))),ISNUMBER(SEARCH("water",LOWER(M650)))),"GAS_WATER",IF(AND(ISNUMBER(SEARCH("oil",LOWER(M650))),ISNUMBER(SEARCH("water",LOWER(M650)))),"OIL_WATER",IF(ISNUMBER(SEARCH("gas",LOWER(M650))),"GAS",IF(ISNUMBER(SEARCH("water",LOWER(M650))),"WATER",IF(ISNUMBER(SEARCH("oil",LOWER(M650))),"OIL","UNKNOWN")))))))</f>
        <v/>
      </c>
      <c r="R650" s="12">
        <f>IF(C650="","",C650)</f>
        <v/>
      </c>
      <c r="S650" s="12">
        <f>IF(R650="","",R650+IF(O650&lt;&gt;"",O650,IF(H650="",0,H650)))</f>
        <v/>
      </c>
      <c r="T650" s="12">
        <f>IF(R650="","",MAX(Settings!$B$3,Settings!$B$4*IF(O650&lt;&gt;"",O650,IF(H650="",0,H650))))</f>
        <v/>
      </c>
      <c r="U650" s="11">
        <f>IF(AND(C650&lt;&gt;"",M650&lt;&gt;"",OR(H650&lt;&gt;"",O650&lt;&gt;"")),"COMPLETE",IF(OR(C650&lt;&gt;"",M650&lt;&gt;""),"PARTIAL","MISSING"))</f>
        <v/>
      </c>
      <c r="V650" s="11">
        <f>IF(Q650="UNKNOWN","Check fluid description",IF(AND(R650&lt;&gt;"",S650&lt;&gt;""),"Ready for contact screening","Needs TVD + thickness"))</f>
        <v/>
      </c>
    </row>
    <row r="651">
      <c r="A651" s="9" t="n"/>
      <c r="B651" s="9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9" t="n"/>
      <c r="N651" s="9" t="n"/>
      <c r="O651" s="10" t="n"/>
      <c r="P651" s="9" t="n"/>
      <c r="Q651" s="11">
        <f>IF(P651&lt;&gt;"",P651,IF(M651="","UNKNOWN",IF(AND(ISNUMBER(SEARCH("gas",LOWER(M651))),ISNUMBER(SEARCH("water",LOWER(M651)))),"GAS_WATER",IF(AND(ISNUMBER(SEARCH("oil",LOWER(M651))),ISNUMBER(SEARCH("water",LOWER(M651)))),"OIL_WATER",IF(ISNUMBER(SEARCH("gas",LOWER(M651))),"GAS",IF(ISNUMBER(SEARCH("water",LOWER(M651))),"WATER",IF(ISNUMBER(SEARCH("oil",LOWER(M651))),"OIL","UNKNOWN")))))))</f>
        <v/>
      </c>
      <c r="R651" s="12">
        <f>IF(C651="","",C651)</f>
        <v/>
      </c>
      <c r="S651" s="12">
        <f>IF(R651="","",R651+IF(O651&lt;&gt;"",O651,IF(H651="",0,H651)))</f>
        <v/>
      </c>
      <c r="T651" s="12">
        <f>IF(R651="","",MAX(Settings!$B$3,Settings!$B$4*IF(O651&lt;&gt;"",O651,IF(H651="",0,H651))))</f>
        <v/>
      </c>
      <c r="U651" s="11">
        <f>IF(AND(C651&lt;&gt;"",M651&lt;&gt;"",OR(H651&lt;&gt;"",O651&lt;&gt;"")),"COMPLETE",IF(OR(C651&lt;&gt;"",M651&lt;&gt;""),"PARTIAL","MISSING"))</f>
        <v/>
      </c>
      <c r="V651" s="11">
        <f>IF(Q651="UNKNOWN","Check fluid description",IF(AND(R651&lt;&gt;"",S651&lt;&gt;""),"Ready for contact screening","Needs TVD + thickness"))</f>
        <v/>
      </c>
    </row>
    <row r="652">
      <c r="A652" s="9" t="n"/>
      <c r="B652" s="9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9" t="n"/>
      <c r="N652" s="9" t="n"/>
      <c r="O652" s="10" t="n"/>
      <c r="P652" s="9" t="n"/>
      <c r="Q652" s="11">
        <f>IF(P652&lt;&gt;"",P652,IF(M652="","UNKNOWN",IF(AND(ISNUMBER(SEARCH("gas",LOWER(M652))),ISNUMBER(SEARCH("water",LOWER(M652)))),"GAS_WATER",IF(AND(ISNUMBER(SEARCH("oil",LOWER(M652))),ISNUMBER(SEARCH("water",LOWER(M652)))),"OIL_WATER",IF(ISNUMBER(SEARCH("gas",LOWER(M652))),"GAS",IF(ISNUMBER(SEARCH("water",LOWER(M652))),"WATER",IF(ISNUMBER(SEARCH("oil",LOWER(M652))),"OIL","UNKNOWN")))))))</f>
        <v/>
      </c>
      <c r="R652" s="12">
        <f>IF(C652="","",C652)</f>
        <v/>
      </c>
      <c r="S652" s="12">
        <f>IF(R652="","",R652+IF(O652&lt;&gt;"",O652,IF(H652="",0,H652)))</f>
        <v/>
      </c>
      <c r="T652" s="12">
        <f>IF(R652="","",MAX(Settings!$B$3,Settings!$B$4*IF(O652&lt;&gt;"",O652,IF(H652="",0,H652))))</f>
        <v/>
      </c>
      <c r="U652" s="11">
        <f>IF(AND(C652&lt;&gt;"",M652&lt;&gt;"",OR(H652&lt;&gt;"",O652&lt;&gt;"")),"COMPLETE",IF(OR(C652&lt;&gt;"",M652&lt;&gt;""),"PARTIAL","MISSING"))</f>
        <v/>
      </c>
      <c r="V652" s="11">
        <f>IF(Q652="UNKNOWN","Check fluid description",IF(AND(R652&lt;&gt;"",S652&lt;&gt;""),"Ready for contact screening","Needs TVD + thickness"))</f>
        <v/>
      </c>
    </row>
    <row r="653">
      <c r="A653" s="9" t="n"/>
      <c r="B653" s="9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9" t="n"/>
      <c r="N653" s="9" t="n"/>
      <c r="O653" s="10" t="n"/>
      <c r="P653" s="9" t="n"/>
      <c r="Q653" s="11">
        <f>IF(P653&lt;&gt;"",P653,IF(M653="","UNKNOWN",IF(AND(ISNUMBER(SEARCH("gas",LOWER(M653))),ISNUMBER(SEARCH("water",LOWER(M653)))),"GAS_WATER",IF(AND(ISNUMBER(SEARCH("oil",LOWER(M653))),ISNUMBER(SEARCH("water",LOWER(M653)))),"OIL_WATER",IF(ISNUMBER(SEARCH("gas",LOWER(M653))),"GAS",IF(ISNUMBER(SEARCH("water",LOWER(M653))),"WATER",IF(ISNUMBER(SEARCH("oil",LOWER(M653))),"OIL","UNKNOWN")))))))</f>
        <v/>
      </c>
      <c r="R653" s="12">
        <f>IF(C653="","",C653)</f>
        <v/>
      </c>
      <c r="S653" s="12">
        <f>IF(R653="","",R653+IF(O653&lt;&gt;"",O653,IF(H653="",0,H653)))</f>
        <v/>
      </c>
      <c r="T653" s="12">
        <f>IF(R653="","",MAX(Settings!$B$3,Settings!$B$4*IF(O653&lt;&gt;"",O653,IF(H653="",0,H653))))</f>
        <v/>
      </c>
      <c r="U653" s="11">
        <f>IF(AND(C653&lt;&gt;"",M653&lt;&gt;"",OR(H653&lt;&gt;"",O653&lt;&gt;"")),"COMPLETE",IF(OR(C653&lt;&gt;"",M653&lt;&gt;""),"PARTIAL","MISSING"))</f>
        <v/>
      </c>
      <c r="V653" s="11">
        <f>IF(Q653="UNKNOWN","Check fluid description",IF(AND(R653&lt;&gt;"",S653&lt;&gt;""),"Ready for contact screening","Needs TVD + thickness"))</f>
        <v/>
      </c>
    </row>
    <row r="654">
      <c r="A654" s="9" t="n"/>
      <c r="B654" s="9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9" t="n"/>
      <c r="N654" s="9" t="n"/>
      <c r="O654" s="10" t="n"/>
      <c r="P654" s="9" t="n"/>
      <c r="Q654" s="11">
        <f>IF(P654&lt;&gt;"",P654,IF(M654="","UNKNOWN",IF(AND(ISNUMBER(SEARCH("gas",LOWER(M654))),ISNUMBER(SEARCH("water",LOWER(M654)))),"GAS_WATER",IF(AND(ISNUMBER(SEARCH("oil",LOWER(M654))),ISNUMBER(SEARCH("water",LOWER(M654)))),"OIL_WATER",IF(ISNUMBER(SEARCH("gas",LOWER(M654))),"GAS",IF(ISNUMBER(SEARCH("water",LOWER(M654))),"WATER",IF(ISNUMBER(SEARCH("oil",LOWER(M654))),"OIL","UNKNOWN")))))))</f>
        <v/>
      </c>
      <c r="R654" s="12">
        <f>IF(C654="","",C654)</f>
        <v/>
      </c>
      <c r="S654" s="12">
        <f>IF(R654="","",R654+IF(O654&lt;&gt;"",O654,IF(H654="",0,H654)))</f>
        <v/>
      </c>
      <c r="T654" s="12">
        <f>IF(R654="","",MAX(Settings!$B$3,Settings!$B$4*IF(O654&lt;&gt;"",O654,IF(H654="",0,H654))))</f>
        <v/>
      </c>
      <c r="U654" s="11">
        <f>IF(AND(C654&lt;&gt;"",M654&lt;&gt;"",OR(H654&lt;&gt;"",O654&lt;&gt;"")),"COMPLETE",IF(OR(C654&lt;&gt;"",M654&lt;&gt;""),"PARTIAL","MISSING"))</f>
        <v/>
      </c>
      <c r="V654" s="11">
        <f>IF(Q654="UNKNOWN","Check fluid description",IF(AND(R654&lt;&gt;"",S654&lt;&gt;""),"Ready for contact screening","Needs TVD + thickness"))</f>
        <v/>
      </c>
    </row>
    <row r="655">
      <c r="A655" s="9" t="n"/>
      <c r="B655" s="9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9" t="n"/>
      <c r="N655" s="9" t="n"/>
      <c r="O655" s="10" t="n"/>
      <c r="P655" s="9" t="n"/>
      <c r="Q655" s="11">
        <f>IF(P655&lt;&gt;"",P655,IF(M655="","UNKNOWN",IF(AND(ISNUMBER(SEARCH("gas",LOWER(M655))),ISNUMBER(SEARCH("water",LOWER(M655)))),"GAS_WATER",IF(AND(ISNUMBER(SEARCH("oil",LOWER(M655))),ISNUMBER(SEARCH("water",LOWER(M655)))),"OIL_WATER",IF(ISNUMBER(SEARCH("gas",LOWER(M655))),"GAS",IF(ISNUMBER(SEARCH("water",LOWER(M655))),"WATER",IF(ISNUMBER(SEARCH("oil",LOWER(M655))),"OIL","UNKNOWN")))))))</f>
        <v/>
      </c>
      <c r="R655" s="12">
        <f>IF(C655="","",C655)</f>
        <v/>
      </c>
      <c r="S655" s="12">
        <f>IF(R655="","",R655+IF(O655&lt;&gt;"",O655,IF(H655="",0,H655)))</f>
        <v/>
      </c>
      <c r="T655" s="12">
        <f>IF(R655="","",MAX(Settings!$B$3,Settings!$B$4*IF(O655&lt;&gt;"",O655,IF(H655="",0,H655))))</f>
        <v/>
      </c>
      <c r="U655" s="11">
        <f>IF(AND(C655&lt;&gt;"",M655&lt;&gt;"",OR(H655&lt;&gt;"",O655&lt;&gt;"")),"COMPLETE",IF(OR(C655&lt;&gt;"",M655&lt;&gt;""),"PARTIAL","MISSING"))</f>
        <v/>
      </c>
      <c r="V655" s="11">
        <f>IF(Q655="UNKNOWN","Check fluid description",IF(AND(R655&lt;&gt;"",S655&lt;&gt;""),"Ready for contact screening","Needs TVD + thickness"))</f>
        <v/>
      </c>
    </row>
    <row r="656">
      <c r="A656" s="9" t="n"/>
      <c r="B656" s="9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9" t="n"/>
      <c r="N656" s="9" t="n"/>
      <c r="O656" s="10" t="n"/>
      <c r="P656" s="9" t="n"/>
      <c r="Q656" s="11">
        <f>IF(P656&lt;&gt;"",P656,IF(M656="","UNKNOWN",IF(AND(ISNUMBER(SEARCH("gas",LOWER(M656))),ISNUMBER(SEARCH("water",LOWER(M656)))),"GAS_WATER",IF(AND(ISNUMBER(SEARCH("oil",LOWER(M656))),ISNUMBER(SEARCH("water",LOWER(M656)))),"OIL_WATER",IF(ISNUMBER(SEARCH("gas",LOWER(M656))),"GAS",IF(ISNUMBER(SEARCH("water",LOWER(M656))),"WATER",IF(ISNUMBER(SEARCH("oil",LOWER(M656))),"OIL","UNKNOWN")))))))</f>
        <v/>
      </c>
      <c r="R656" s="12">
        <f>IF(C656="","",C656)</f>
        <v/>
      </c>
      <c r="S656" s="12">
        <f>IF(R656="","",R656+IF(O656&lt;&gt;"",O656,IF(H656="",0,H656)))</f>
        <v/>
      </c>
      <c r="T656" s="12">
        <f>IF(R656="","",MAX(Settings!$B$3,Settings!$B$4*IF(O656&lt;&gt;"",O656,IF(H656="",0,H656))))</f>
        <v/>
      </c>
      <c r="U656" s="11">
        <f>IF(AND(C656&lt;&gt;"",M656&lt;&gt;"",OR(H656&lt;&gt;"",O656&lt;&gt;"")),"COMPLETE",IF(OR(C656&lt;&gt;"",M656&lt;&gt;""),"PARTIAL","MISSING"))</f>
        <v/>
      </c>
      <c r="V656" s="11">
        <f>IF(Q656="UNKNOWN","Check fluid description",IF(AND(R656&lt;&gt;"",S656&lt;&gt;""),"Ready for contact screening","Needs TVD + thickness"))</f>
        <v/>
      </c>
    </row>
    <row r="657">
      <c r="A657" s="9" t="n"/>
      <c r="B657" s="9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9" t="n"/>
      <c r="N657" s="9" t="n"/>
      <c r="O657" s="10" t="n"/>
      <c r="P657" s="9" t="n"/>
      <c r="Q657" s="11">
        <f>IF(P657&lt;&gt;"",P657,IF(M657="","UNKNOWN",IF(AND(ISNUMBER(SEARCH("gas",LOWER(M657))),ISNUMBER(SEARCH("water",LOWER(M657)))),"GAS_WATER",IF(AND(ISNUMBER(SEARCH("oil",LOWER(M657))),ISNUMBER(SEARCH("water",LOWER(M657)))),"OIL_WATER",IF(ISNUMBER(SEARCH("gas",LOWER(M657))),"GAS",IF(ISNUMBER(SEARCH("water",LOWER(M657))),"WATER",IF(ISNUMBER(SEARCH("oil",LOWER(M657))),"OIL","UNKNOWN")))))))</f>
        <v/>
      </c>
      <c r="R657" s="12">
        <f>IF(C657="","",C657)</f>
        <v/>
      </c>
      <c r="S657" s="12">
        <f>IF(R657="","",R657+IF(O657&lt;&gt;"",O657,IF(H657="",0,H657)))</f>
        <v/>
      </c>
      <c r="T657" s="12">
        <f>IF(R657="","",MAX(Settings!$B$3,Settings!$B$4*IF(O657&lt;&gt;"",O657,IF(H657="",0,H657))))</f>
        <v/>
      </c>
      <c r="U657" s="11">
        <f>IF(AND(C657&lt;&gt;"",M657&lt;&gt;"",OR(H657&lt;&gt;"",O657&lt;&gt;"")),"COMPLETE",IF(OR(C657&lt;&gt;"",M657&lt;&gt;""),"PARTIAL","MISSING"))</f>
        <v/>
      </c>
      <c r="V657" s="11">
        <f>IF(Q657="UNKNOWN","Check fluid description",IF(AND(R657&lt;&gt;"",S657&lt;&gt;""),"Ready for contact screening","Needs TVD + thickness"))</f>
        <v/>
      </c>
    </row>
    <row r="658">
      <c r="A658" s="9" t="n"/>
      <c r="B658" s="9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9" t="n"/>
      <c r="N658" s="9" t="n"/>
      <c r="O658" s="10" t="n"/>
      <c r="P658" s="9" t="n"/>
      <c r="Q658" s="11">
        <f>IF(P658&lt;&gt;"",P658,IF(M658="","UNKNOWN",IF(AND(ISNUMBER(SEARCH("gas",LOWER(M658))),ISNUMBER(SEARCH("water",LOWER(M658)))),"GAS_WATER",IF(AND(ISNUMBER(SEARCH("oil",LOWER(M658))),ISNUMBER(SEARCH("water",LOWER(M658)))),"OIL_WATER",IF(ISNUMBER(SEARCH("gas",LOWER(M658))),"GAS",IF(ISNUMBER(SEARCH("water",LOWER(M658))),"WATER",IF(ISNUMBER(SEARCH("oil",LOWER(M658))),"OIL","UNKNOWN")))))))</f>
        <v/>
      </c>
      <c r="R658" s="12">
        <f>IF(C658="","",C658)</f>
        <v/>
      </c>
      <c r="S658" s="12">
        <f>IF(R658="","",R658+IF(O658&lt;&gt;"",O658,IF(H658="",0,H658)))</f>
        <v/>
      </c>
      <c r="T658" s="12">
        <f>IF(R658="","",MAX(Settings!$B$3,Settings!$B$4*IF(O658&lt;&gt;"",O658,IF(H658="",0,H658))))</f>
        <v/>
      </c>
      <c r="U658" s="11">
        <f>IF(AND(C658&lt;&gt;"",M658&lt;&gt;"",OR(H658&lt;&gt;"",O658&lt;&gt;"")),"COMPLETE",IF(OR(C658&lt;&gt;"",M658&lt;&gt;""),"PARTIAL","MISSING"))</f>
        <v/>
      </c>
      <c r="V658" s="11">
        <f>IF(Q658="UNKNOWN","Check fluid description",IF(AND(R658&lt;&gt;"",S658&lt;&gt;""),"Ready for contact screening","Needs TVD + thickness"))</f>
        <v/>
      </c>
    </row>
    <row r="659">
      <c r="A659" s="9" t="n"/>
      <c r="B659" s="9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9" t="n"/>
      <c r="N659" s="9" t="n"/>
      <c r="O659" s="10" t="n"/>
      <c r="P659" s="9" t="n"/>
      <c r="Q659" s="11">
        <f>IF(P659&lt;&gt;"",P659,IF(M659="","UNKNOWN",IF(AND(ISNUMBER(SEARCH("gas",LOWER(M659))),ISNUMBER(SEARCH("water",LOWER(M659)))),"GAS_WATER",IF(AND(ISNUMBER(SEARCH("oil",LOWER(M659))),ISNUMBER(SEARCH("water",LOWER(M659)))),"OIL_WATER",IF(ISNUMBER(SEARCH("gas",LOWER(M659))),"GAS",IF(ISNUMBER(SEARCH("water",LOWER(M659))),"WATER",IF(ISNUMBER(SEARCH("oil",LOWER(M659))),"OIL","UNKNOWN")))))))</f>
        <v/>
      </c>
      <c r="R659" s="12">
        <f>IF(C659="","",C659)</f>
        <v/>
      </c>
      <c r="S659" s="12">
        <f>IF(R659="","",R659+IF(O659&lt;&gt;"",O659,IF(H659="",0,H659)))</f>
        <v/>
      </c>
      <c r="T659" s="12">
        <f>IF(R659="","",MAX(Settings!$B$3,Settings!$B$4*IF(O659&lt;&gt;"",O659,IF(H659="",0,H659))))</f>
        <v/>
      </c>
      <c r="U659" s="11">
        <f>IF(AND(C659&lt;&gt;"",M659&lt;&gt;"",OR(H659&lt;&gt;"",O659&lt;&gt;"")),"COMPLETE",IF(OR(C659&lt;&gt;"",M659&lt;&gt;""),"PARTIAL","MISSING"))</f>
        <v/>
      </c>
      <c r="V659" s="11">
        <f>IF(Q659="UNKNOWN","Check fluid description",IF(AND(R659&lt;&gt;"",S659&lt;&gt;""),"Ready for contact screening","Needs TVD + thickness"))</f>
        <v/>
      </c>
    </row>
    <row r="660">
      <c r="A660" s="9" t="n"/>
      <c r="B660" s="9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9" t="n"/>
      <c r="N660" s="9" t="n"/>
      <c r="O660" s="10" t="n"/>
      <c r="P660" s="9" t="n"/>
      <c r="Q660" s="11">
        <f>IF(P660&lt;&gt;"",P660,IF(M660="","UNKNOWN",IF(AND(ISNUMBER(SEARCH("gas",LOWER(M660))),ISNUMBER(SEARCH("water",LOWER(M660)))),"GAS_WATER",IF(AND(ISNUMBER(SEARCH("oil",LOWER(M660))),ISNUMBER(SEARCH("water",LOWER(M660)))),"OIL_WATER",IF(ISNUMBER(SEARCH("gas",LOWER(M660))),"GAS",IF(ISNUMBER(SEARCH("water",LOWER(M660))),"WATER",IF(ISNUMBER(SEARCH("oil",LOWER(M660))),"OIL","UNKNOWN")))))))</f>
        <v/>
      </c>
      <c r="R660" s="12">
        <f>IF(C660="","",C660)</f>
        <v/>
      </c>
      <c r="S660" s="12">
        <f>IF(R660="","",R660+IF(O660&lt;&gt;"",O660,IF(H660="",0,H660)))</f>
        <v/>
      </c>
      <c r="T660" s="12">
        <f>IF(R660="","",MAX(Settings!$B$3,Settings!$B$4*IF(O660&lt;&gt;"",O660,IF(H660="",0,H660))))</f>
        <v/>
      </c>
      <c r="U660" s="11">
        <f>IF(AND(C660&lt;&gt;"",M660&lt;&gt;"",OR(H660&lt;&gt;"",O660&lt;&gt;"")),"COMPLETE",IF(OR(C660&lt;&gt;"",M660&lt;&gt;""),"PARTIAL","MISSING"))</f>
        <v/>
      </c>
      <c r="V660" s="11">
        <f>IF(Q660="UNKNOWN","Check fluid description",IF(AND(R660&lt;&gt;"",S660&lt;&gt;""),"Ready for contact screening","Needs TVD + thickness"))</f>
        <v/>
      </c>
    </row>
    <row r="661">
      <c r="A661" s="9" t="n"/>
      <c r="B661" s="9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9" t="n"/>
      <c r="N661" s="9" t="n"/>
      <c r="O661" s="10" t="n"/>
      <c r="P661" s="9" t="n"/>
      <c r="Q661" s="11">
        <f>IF(P661&lt;&gt;"",P661,IF(M661="","UNKNOWN",IF(AND(ISNUMBER(SEARCH("gas",LOWER(M661))),ISNUMBER(SEARCH("water",LOWER(M661)))),"GAS_WATER",IF(AND(ISNUMBER(SEARCH("oil",LOWER(M661))),ISNUMBER(SEARCH("water",LOWER(M661)))),"OIL_WATER",IF(ISNUMBER(SEARCH("gas",LOWER(M661))),"GAS",IF(ISNUMBER(SEARCH("water",LOWER(M661))),"WATER",IF(ISNUMBER(SEARCH("oil",LOWER(M661))),"OIL","UNKNOWN")))))))</f>
        <v/>
      </c>
      <c r="R661" s="12">
        <f>IF(C661="","",C661)</f>
        <v/>
      </c>
      <c r="S661" s="12">
        <f>IF(R661="","",R661+IF(O661&lt;&gt;"",O661,IF(H661="",0,H661)))</f>
        <v/>
      </c>
      <c r="T661" s="12">
        <f>IF(R661="","",MAX(Settings!$B$3,Settings!$B$4*IF(O661&lt;&gt;"",O661,IF(H661="",0,H661))))</f>
        <v/>
      </c>
      <c r="U661" s="11">
        <f>IF(AND(C661&lt;&gt;"",M661&lt;&gt;"",OR(H661&lt;&gt;"",O661&lt;&gt;"")),"COMPLETE",IF(OR(C661&lt;&gt;"",M661&lt;&gt;""),"PARTIAL","MISSING"))</f>
        <v/>
      </c>
      <c r="V661" s="11">
        <f>IF(Q661="UNKNOWN","Check fluid description",IF(AND(R661&lt;&gt;"",S661&lt;&gt;""),"Ready for contact screening","Needs TVD + thickness"))</f>
        <v/>
      </c>
    </row>
    <row r="662">
      <c r="A662" s="9" t="n"/>
      <c r="B662" s="9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9" t="n"/>
      <c r="N662" s="9" t="n"/>
      <c r="O662" s="10" t="n"/>
      <c r="P662" s="9" t="n"/>
      <c r="Q662" s="11">
        <f>IF(P662&lt;&gt;"",P662,IF(M662="","UNKNOWN",IF(AND(ISNUMBER(SEARCH("gas",LOWER(M662))),ISNUMBER(SEARCH("water",LOWER(M662)))),"GAS_WATER",IF(AND(ISNUMBER(SEARCH("oil",LOWER(M662))),ISNUMBER(SEARCH("water",LOWER(M662)))),"OIL_WATER",IF(ISNUMBER(SEARCH("gas",LOWER(M662))),"GAS",IF(ISNUMBER(SEARCH("water",LOWER(M662))),"WATER",IF(ISNUMBER(SEARCH("oil",LOWER(M662))),"OIL","UNKNOWN")))))))</f>
        <v/>
      </c>
      <c r="R662" s="12">
        <f>IF(C662="","",C662)</f>
        <v/>
      </c>
      <c r="S662" s="12">
        <f>IF(R662="","",R662+IF(O662&lt;&gt;"",O662,IF(H662="",0,H662)))</f>
        <v/>
      </c>
      <c r="T662" s="12">
        <f>IF(R662="","",MAX(Settings!$B$3,Settings!$B$4*IF(O662&lt;&gt;"",O662,IF(H662="",0,H662))))</f>
        <v/>
      </c>
      <c r="U662" s="11">
        <f>IF(AND(C662&lt;&gt;"",M662&lt;&gt;"",OR(H662&lt;&gt;"",O662&lt;&gt;"")),"COMPLETE",IF(OR(C662&lt;&gt;"",M662&lt;&gt;""),"PARTIAL","MISSING"))</f>
        <v/>
      </c>
      <c r="V662" s="11">
        <f>IF(Q662="UNKNOWN","Check fluid description",IF(AND(R662&lt;&gt;"",S662&lt;&gt;""),"Ready for contact screening","Needs TVD + thickness"))</f>
        <v/>
      </c>
    </row>
    <row r="663">
      <c r="A663" s="9" t="n"/>
      <c r="B663" s="9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9" t="n"/>
      <c r="N663" s="9" t="n"/>
      <c r="O663" s="10" t="n"/>
      <c r="P663" s="9" t="n"/>
      <c r="Q663" s="11">
        <f>IF(P663&lt;&gt;"",P663,IF(M663="","UNKNOWN",IF(AND(ISNUMBER(SEARCH("gas",LOWER(M663))),ISNUMBER(SEARCH("water",LOWER(M663)))),"GAS_WATER",IF(AND(ISNUMBER(SEARCH("oil",LOWER(M663))),ISNUMBER(SEARCH("water",LOWER(M663)))),"OIL_WATER",IF(ISNUMBER(SEARCH("gas",LOWER(M663))),"GAS",IF(ISNUMBER(SEARCH("water",LOWER(M663))),"WATER",IF(ISNUMBER(SEARCH("oil",LOWER(M663))),"OIL","UNKNOWN")))))))</f>
        <v/>
      </c>
      <c r="R663" s="12">
        <f>IF(C663="","",C663)</f>
        <v/>
      </c>
      <c r="S663" s="12">
        <f>IF(R663="","",R663+IF(O663&lt;&gt;"",O663,IF(H663="",0,H663)))</f>
        <v/>
      </c>
      <c r="T663" s="12">
        <f>IF(R663="","",MAX(Settings!$B$3,Settings!$B$4*IF(O663&lt;&gt;"",O663,IF(H663="",0,H663))))</f>
        <v/>
      </c>
      <c r="U663" s="11">
        <f>IF(AND(C663&lt;&gt;"",M663&lt;&gt;"",OR(H663&lt;&gt;"",O663&lt;&gt;"")),"COMPLETE",IF(OR(C663&lt;&gt;"",M663&lt;&gt;""),"PARTIAL","MISSING"))</f>
        <v/>
      </c>
      <c r="V663" s="11">
        <f>IF(Q663="UNKNOWN","Check fluid description",IF(AND(R663&lt;&gt;"",S663&lt;&gt;""),"Ready for contact screening","Needs TVD + thickness"))</f>
        <v/>
      </c>
    </row>
    <row r="664">
      <c r="A664" s="9" t="n"/>
      <c r="B664" s="9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9" t="n"/>
      <c r="N664" s="9" t="n"/>
      <c r="O664" s="10" t="n"/>
      <c r="P664" s="9" t="n"/>
      <c r="Q664" s="11">
        <f>IF(P664&lt;&gt;"",P664,IF(M664="","UNKNOWN",IF(AND(ISNUMBER(SEARCH("gas",LOWER(M664))),ISNUMBER(SEARCH("water",LOWER(M664)))),"GAS_WATER",IF(AND(ISNUMBER(SEARCH("oil",LOWER(M664))),ISNUMBER(SEARCH("water",LOWER(M664)))),"OIL_WATER",IF(ISNUMBER(SEARCH("gas",LOWER(M664))),"GAS",IF(ISNUMBER(SEARCH("water",LOWER(M664))),"WATER",IF(ISNUMBER(SEARCH("oil",LOWER(M664))),"OIL","UNKNOWN")))))))</f>
        <v/>
      </c>
      <c r="R664" s="12">
        <f>IF(C664="","",C664)</f>
        <v/>
      </c>
      <c r="S664" s="12">
        <f>IF(R664="","",R664+IF(O664&lt;&gt;"",O664,IF(H664="",0,H664)))</f>
        <v/>
      </c>
      <c r="T664" s="12">
        <f>IF(R664="","",MAX(Settings!$B$3,Settings!$B$4*IF(O664&lt;&gt;"",O664,IF(H664="",0,H664))))</f>
        <v/>
      </c>
      <c r="U664" s="11">
        <f>IF(AND(C664&lt;&gt;"",M664&lt;&gt;"",OR(H664&lt;&gt;"",O664&lt;&gt;"")),"COMPLETE",IF(OR(C664&lt;&gt;"",M664&lt;&gt;""),"PARTIAL","MISSING"))</f>
        <v/>
      </c>
      <c r="V664" s="11">
        <f>IF(Q664="UNKNOWN","Check fluid description",IF(AND(R664&lt;&gt;"",S664&lt;&gt;""),"Ready for contact screening","Needs TVD + thickness"))</f>
        <v/>
      </c>
    </row>
    <row r="665">
      <c r="A665" s="9" t="n"/>
      <c r="B665" s="9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9" t="n"/>
      <c r="N665" s="9" t="n"/>
      <c r="O665" s="10" t="n"/>
      <c r="P665" s="9" t="n"/>
      <c r="Q665" s="11">
        <f>IF(P665&lt;&gt;"",P665,IF(M665="","UNKNOWN",IF(AND(ISNUMBER(SEARCH("gas",LOWER(M665))),ISNUMBER(SEARCH("water",LOWER(M665)))),"GAS_WATER",IF(AND(ISNUMBER(SEARCH("oil",LOWER(M665))),ISNUMBER(SEARCH("water",LOWER(M665)))),"OIL_WATER",IF(ISNUMBER(SEARCH("gas",LOWER(M665))),"GAS",IF(ISNUMBER(SEARCH("water",LOWER(M665))),"WATER",IF(ISNUMBER(SEARCH("oil",LOWER(M665))),"OIL","UNKNOWN")))))))</f>
        <v/>
      </c>
      <c r="R665" s="12">
        <f>IF(C665="","",C665)</f>
        <v/>
      </c>
      <c r="S665" s="12">
        <f>IF(R665="","",R665+IF(O665&lt;&gt;"",O665,IF(H665="",0,H665)))</f>
        <v/>
      </c>
      <c r="T665" s="12">
        <f>IF(R665="","",MAX(Settings!$B$3,Settings!$B$4*IF(O665&lt;&gt;"",O665,IF(H665="",0,H665))))</f>
        <v/>
      </c>
      <c r="U665" s="11">
        <f>IF(AND(C665&lt;&gt;"",M665&lt;&gt;"",OR(H665&lt;&gt;"",O665&lt;&gt;"")),"COMPLETE",IF(OR(C665&lt;&gt;"",M665&lt;&gt;""),"PARTIAL","MISSING"))</f>
        <v/>
      </c>
      <c r="V665" s="11">
        <f>IF(Q665="UNKNOWN","Check fluid description",IF(AND(R665&lt;&gt;"",S665&lt;&gt;""),"Ready for contact screening","Needs TVD + thickness"))</f>
        <v/>
      </c>
    </row>
    <row r="666">
      <c r="A666" s="9" t="n"/>
      <c r="B666" s="9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9" t="n"/>
      <c r="N666" s="9" t="n"/>
      <c r="O666" s="10" t="n"/>
      <c r="P666" s="9" t="n"/>
      <c r="Q666" s="11">
        <f>IF(P666&lt;&gt;"",P666,IF(M666="","UNKNOWN",IF(AND(ISNUMBER(SEARCH("gas",LOWER(M666))),ISNUMBER(SEARCH("water",LOWER(M666)))),"GAS_WATER",IF(AND(ISNUMBER(SEARCH("oil",LOWER(M666))),ISNUMBER(SEARCH("water",LOWER(M666)))),"OIL_WATER",IF(ISNUMBER(SEARCH("gas",LOWER(M666))),"GAS",IF(ISNUMBER(SEARCH("water",LOWER(M666))),"WATER",IF(ISNUMBER(SEARCH("oil",LOWER(M666))),"OIL","UNKNOWN")))))))</f>
        <v/>
      </c>
      <c r="R666" s="12">
        <f>IF(C666="","",C666)</f>
        <v/>
      </c>
      <c r="S666" s="12">
        <f>IF(R666="","",R666+IF(O666&lt;&gt;"",O666,IF(H666="",0,H666)))</f>
        <v/>
      </c>
      <c r="T666" s="12">
        <f>IF(R666="","",MAX(Settings!$B$3,Settings!$B$4*IF(O666&lt;&gt;"",O666,IF(H666="",0,H666))))</f>
        <v/>
      </c>
      <c r="U666" s="11">
        <f>IF(AND(C666&lt;&gt;"",M666&lt;&gt;"",OR(H666&lt;&gt;"",O666&lt;&gt;"")),"COMPLETE",IF(OR(C666&lt;&gt;"",M666&lt;&gt;""),"PARTIAL","MISSING"))</f>
        <v/>
      </c>
      <c r="V666" s="11">
        <f>IF(Q666="UNKNOWN","Check fluid description",IF(AND(R666&lt;&gt;"",S666&lt;&gt;""),"Ready for contact screening","Needs TVD + thickness"))</f>
        <v/>
      </c>
    </row>
    <row r="667">
      <c r="A667" s="9" t="n"/>
      <c r="B667" s="9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9" t="n"/>
      <c r="N667" s="9" t="n"/>
      <c r="O667" s="10" t="n"/>
      <c r="P667" s="9" t="n"/>
      <c r="Q667" s="11">
        <f>IF(P667&lt;&gt;"",P667,IF(M667="","UNKNOWN",IF(AND(ISNUMBER(SEARCH("gas",LOWER(M667))),ISNUMBER(SEARCH("water",LOWER(M667)))),"GAS_WATER",IF(AND(ISNUMBER(SEARCH("oil",LOWER(M667))),ISNUMBER(SEARCH("water",LOWER(M667)))),"OIL_WATER",IF(ISNUMBER(SEARCH("gas",LOWER(M667))),"GAS",IF(ISNUMBER(SEARCH("water",LOWER(M667))),"WATER",IF(ISNUMBER(SEARCH("oil",LOWER(M667))),"OIL","UNKNOWN")))))))</f>
        <v/>
      </c>
      <c r="R667" s="12">
        <f>IF(C667="","",C667)</f>
        <v/>
      </c>
      <c r="S667" s="12">
        <f>IF(R667="","",R667+IF(O667&lt;&gt;"",O667,IF(H667="",0,H667)))</f>
        <v/>
      </c>
      <c r="T667" s="12">
        <f>IF(R667="","",MAX(Settings!$B$3,Settings!$B$4*IF(O667&lt;&gt;"",O667,IF(H667="",0,H667))))</f>
        <v/>
      </c>
      <c r="U667" s="11">
        <f>IF(AND(C667&lt;&gt;"",M667&lt;&gt;"",OR(H667&lt;&gt;"",O667&lt;&gt;"")),"COMPLETE",IF(OR(C667&lt;&gt;"",M667&lt;&gt;""),"PARTIAL","MISSING"))</f>
        <v/>
      </c>
      <c r="V667" s="11">
        <f>IF(Q667="UNKNOWN","Check fluid description",IF(AND(R667&lt;&gt;"",S667&lt;&gt;""),"Ready for contact screening","Needs TVD + thickness"))</f>
        <v/>
      </c>
    </row>
    <row r="668">
      <c r="A668" s="9" t="n"/>
      <c r="B668" s="9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9" t="n"/>
      <c r="N668" s="9" t="n"/>
      <c r="O668" s="10" t="n"/>
      <c r="P668" s="9" t="n"/>
      <c r="Q668" s="11">
        <f>IF(P668&lt;&gt;"",P668,IF(M668="","UNKNOWN",IF(AND(ISNUMBER(SEARCH("gas",LOWER(M668))),ISNUMBER(SEARCH("water",LOWER(M668)))),"GAS_WATER",IF(AND(ISNUMBER(SEARCH("oil",LOWER(M668))),ISNUMBER(SEARCH("water",LOWER(M668)))),"OIL_WATER",IF(ISNUMBER(SEARCH("gas",LOWER(M668))),"GAS",IF(ISNUMBER(SEARCH("water",LOWER(M668))),"WATER",IF(ISNUMBER(SEARCH("oil",LOWER(M668))),"OIL","UNKNOWN")))))))</f>
        <v/>
      </c>
      <c r="R668" s="12">
        <f>IF(C668="","",C668)</f>
        <v/>
      </c>
      <c r="S668" s="12">
        <f>IF(R668="","",R668+IF(O668&lt;&gt;"",O668,IF(H668="",0,H668)))</f>
        <v/>
      </c>
      <c r="T668" s="12">
        <f>IF(R668="","",MAX(Settings!$B$3,Settings!$B$4*IF(O668&lt;&gt;"",O668,IF(H668="",0,H668))))</f>
        <v/>
      </c>
      <c r="U668" s="11">
        <f>IF(AND(C668&lt;&gt;"",M668&lt;&gt;"",OR(H668&lt;&gt;"",O668&lt;&gt;"")),"COMPLETE",IF(OR(C668&lt;&gt;"",M668&lt;&gt;""),"PARTIAL","MISSING"))</f>
        <v/>
      </c>
      <c r="V668" s="11">
        <f>IF(Q668="UNKNOWN","Check fluid description",IF(AND(R668&lt;&gt;"",S668&lt;&gt;""),"Ready for contact screening","Needs TVD + thickness"))</f>
        <v/>
      </c>
    </row>
    <row r="669">
      <c r="A669" s="9" t="n"/>
      <c r="B669" s="9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9" t="n"/>
      <c r="N669" s="9" t="n"/>
      <c r="O669" s="10" t="n"/>
      <c r="P669" s="9" t="n"/>
      <c r="Q669" s="11">
        <f>IF(P669&lt;&gt;"",P669,IF(M669="","UNKNOWN",IF(AND(ISNUMBER(SEARCH("gas",LOWER(M669))),ISNUMBER(SEARCH("water",LOWER(M669)))),"GAS_WATER",IF(AND(ISNUMBER(SEARCH("oil",LOWER(M669))),ISNUMBER(SEARCH("water",LOWER(M669)))),"OIL_WATER",IF(ISNUMBER(SEARCH("gas",LOWER(M669))),"GAS",IF(ISNUMBER(SEARCH("water",LOWER(M669))),"WATER",IF(ISNUMBER(SEARCH("oil",LOWER(M669))),"OIL","UNKNOWN")))))))</f>
        <v/>
      </c>
      <c r="R669" s="12">
        <f>IF(C669="","",C669)</f>
        <v/>
      </c>
      <c r="S669" s="12">
        <f>IF(R669="","",R669+IF(O669&lt;&gt;"",O669,IF(H669="",0,H669)))</f>
        <v/>
      </c>
      <c r="T669" s="12">
        <f>IF(R669="","",MAX(Settings!$B$3,Settings!$B$4*IF(O669&lt;&gt;"",O669,IF(H669="",0,H669))))</f>
        <v/>
      </c>
      <c r="U669" s="11">
        <f>IF(AND(C669&lt;&gt;"",M669&lt;&gt;"",OR(H669&lt;&gt;"",O669&lt;&gt;"")),"COMPLETE",IF(OR(C669&lt;&gt;"",M669&lt;&gt;""),"PARTIAL","MISSING"))</f>
        <v/>
      </c>
      <c r="V669" s="11">
        <f>IF(Q669="UNKNOWN","Check fluid description",IF(AND(R669&lt;&gt;"",S669&lt;&gt;""),"Ready for contact screening","Needs TVD + thickness"))</f>
        <v/>
      </c>
    </row>
    <row r="670">
      <c r="A670" s="9" t="n"/>
      <c r="B670" s="9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9" t="n"/>
      <c r="N670" s="9" t="n"/>
      <c r="O670" s="10" t="n"/>
      <c r="P670" s="9" t="n"/>
      <c r="Q670" s="11">
        <f>IF(P670&lt;&gt;"",P670,IF(M670="","UNKNOWN",IF(AND(ISNUMBER(SEARCH("gas",LOWER(M670))),ISNUMBER(SEARCH("water",LOWER(M670)))),"GAS_WATER",IF(AND(ISNUMBER(SEARCH("oil",LOWER(M670))),ISNUMBER(SEARCH("water",LOWER(M670)))),"OIL_WATER",IF(ISNUMBER(SEARCH("gas",LOWER(M670))),"GAS",IF(ISNUMBER(SEARCH("water",LOWER(M670))),"WATER",IF(ISNUMBER(SEARCH("oil",LOWER(M670))),"OIL","UNKNOWN")))))))</f>
        <v/>
      </c>
      <c r="R670" s="12">
        <f>IF(C670="","",C670)</f>
        <v/>
      </c>
      <c r="S670" s="12">
        <f>IF(R670="","",R670+IF(O670&lt;&gt;"",O670,IF(H670="",0,H670)))</f>
        <v/>
      </c>
      <c r="T670" s="12">
        <f>IF(R670="","",MAX(Settings!$B$3,Settings!$B$4*IF(O670&lt;&gt;"",O670,IF(H670="",0,H670))))</f>
        <v/>
      </c>
      <c r="U670" s="11">
        <f>IF(AND(C670&lt;&gt;"",M670&lt;&gt;"",OR(H670&lt;&gt;"",O670&lt;&gt;"")),"COMPLETE",IF(OR(C670&lt;&gt;"",M670&lt;&gt;""),"PARTIAL","MISSING"))</f>
        <v/>
      </c>
      <c r="V670" s="11">
        <f>IF(Q670="UNKNOWN","Check fluid description",IF(AND(R670&lt;&gt;"",S670&lt;&gt;""),"Ready for contact screening","Needs TVD + thickness"))</f>
        <v/>
      </c>
    </row>
    <row r="671">
      <c r="A671" s="9" t="n"/>
      <c r="B671" s="9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9" t="n"/>
      <c r="N671" s="9" t="n"/>
      <c r="O671" s="10" t="n"/>
      <c r="P671" s="9" t="n"/>
      <c r="Q671" s="11">
        <f>IF(P671&lt;&gt;"",P671,IF(M671="","UNKNOWN",IF(AND(ISNUMBER(SEARCH("gas",LOWER(M671))),ISNUMBER(SEARCH("water",LOWER(M671)))),"GAS_WATER",IF(AND(ISNUMBER(SEARCH("oil",LOWER(M671))),ISNUMBER(SEARCH("water",LOWER(M671)))),"OIL_WATER",IF(ISNUMBER(SEARCH("gas",LOWER(M671))),"GAS",IF(ISNUMBER(SEARCH("water",LOWER(M671))),"WATER",IF(ISNUMBER(SEARCH("oil",LOWER(M671))),"OIL","UNKNOWN")))))))</f>
        <v/>
      </c>
      <c r="R671" s="12">
        <f>IF(C671="","",C671)</f>
        <v/>
      </c>
      <c r="S671" s="12">
        <f>IF(R671="","",R671+IF(O671&lt;&gt;"",O671,IF(H671="",0,H671)))</f>
        <v/>
      </c>
      <c r="T671" s="12">
        <f>IF(R671="","",MAX(Settings!$B$3,Settings!$B$4*IF(O671&lt;&gt;"",O671,IF(H671="",0,H671))))</f>
        <v/>
      </c>
      <c r="U671" s="11">
        <f>IF(AND(C671&lt;&gt;"",M671&lt;&gt;"",OR(H671&lt;&gt;"",O671&lt;&gt;"")),"COMPLETE",IF(OR(C671&lt;&gt;"",M671&lt;&gt;""),"PARTIAL","MISSING"))</f>
        <v/>
      </c>
      <c r="V671" s="11">
        <f>IF(Q671="UNKNOWN","Check fluid description",IF(AND(R671&lt;&gt;"",S671&lt;&gt;""),"Ready for contact screening","Needs TVD + thickness"))</f>
        <v/>
      </c>
    </row>
    <row r="672">
      <c r="A672" s="9" t="n"/>
      <c r="B672" s="9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9" t="n"/>
      <c r="N672" s="9" t="n"/>
      <c r="O672" s="10" t="n"/>
      <c r="P672" s="9" t="n"/>
      <c r="Q672" s="11">
        <f>IF(P672&lt;&gt;"",P672,IF(M672="","UNKNOWN",IF(AND(ISNUMBER(SEARCH("gas",LOWER(M672))),ISNUMBER(SEARCH("water",LOWER(M672)))),"GAS_WATER",IF(AND(ISNUMBER(SEARCH("oil",LOWER(M672))),ISNUMBER(SEARCH("water",LOWER(M672)))),"OIL_WATER",IF(ISNUMBER(SEARCH("gas",LOWER(M672))),"GAS",IF(ISNUMBER(SEARCH("water",LOWER(M672))),"WATER",IF(ISNUMBER(SEARCH("oil",LOWER(M672))),"OIL","UNKNOWN")))))))</f>
        <v/>
      </c>
      <c r="R672" s="12">
        <f>IF(C672="","",C672)</f>
        <v/>
      </c>
      <c r="S672" s="12">
        <f>IF(R672="","",R672+IF(O672&lt;&gt;"",O672,IF(H672="",0,H672)))</f>
        <v/>
      </c>
      <c r="T672" s="12">
        <f>IF(R672="","",MAX(Settings!$B$3,Settings!$B$4*IF(O672&lt;&gt;"",O672,IF(H672="",0,H672))))</f>
        <v/>
      </c>
      <c r="U672" s="11">
        <f>IF(AND(C672&lt;&gt;"",M672&lt;&gt;"",OR(H672&lt;&gt;"",O672&lt;&gt;"")),"COMPLETE",IF(OR(C672&lt;&gt;"",M672&lt;&gt;""),"PARTIAL","MISSING"))</f>
        <v/>
      </c>
      <c r="V672" s="11">
        <f>IF(Q672="UNKNOWN","Check fluid description",IF(AND(R672&lt;&gt;"",S672&lt;&gt;""),"Ready for contact screening","Needs TVD + thickness"))</f>
        <v/>
      </c>
    </row>
    <row r="673">
      <c r="A673" s="9" t="n"/>
      <c r="B673" s="9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9" t="n"/>
      <c r="N673" s="9" t="n"/>
      <c r="O673" s="10" t="n"/>
      <c r="P673" s="9" t="n"/>
      <c r="Q673" s="11">
        <f>IF(P673&lt;&gt;"",P673,IF(M673="","UNKNOWN",IF(AND(ISNUMBER(SEARCH("gas",LOWER(M673))),ISNUMBER(SEARCH("water",LOWER(M673)))),"GAS_WATER",IF(AND(ISNUMBER(SEARCH("oil",LOWER(M673))),ISNUMBER(SEARCH("water",LOWER(M673)))),"OIL_WATER",IF(ISNUMBER(SEARCH("gas",LOWER(M673))),"GAS",IF(ISNUMBER(SEARCH("water",LOWER(M673))),"WATER",IF(ISNUMBER(SEARCH("oil",LOWER(M673))),"OIL","UNKNOWN")))))))</f>
        <v/>
      </c>
      <c r="R673" s="12">
        <f>IF(C673="","",C673)</f>
        <v/>
      </c>
      <c r="S673" s="12">
        <f>IF(R673="","",R673+IF(O673&lt;&gt;"",O673,IF(H673="",0,H673)))</f>
        <v/>
      </c>
      <c r="T673" s="12">
        <f>IF(R673="","",MAX(Settings!$B$3,Settings!$B$4*IF(O673&lt;&gt;"",O673,IF(H673="",0,H673))))</f>
        <v/>
      </c>
      <c r="U673" s="11">
        <f>IF(AND(C673&lt;&gt;"",M673&lt;&gt;"",OR(H673&lt;&gt;"",O673&lt;&gt;"")),"COMPLETE",IF(OR(C673&lt;&gt;"",M673&lt;&gt;""),"PARTIAL","MISSING"))</f>
        <v/>
      </c>
      <c r="V673" s="11">
        <f>IF(Q673="UNKNOWN","Check fluid description",IF(AND(R673&lt;&gt;"",S673&lt;&gt;""),"Ready for contact screening","Needs TVD + thickness"))</f>
        <v/>
      </c>
    </row>
    <row r="674">
      <c r="A674" s="9" t="n"/>
      <c r="B674" s="9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9" t="n"/>
      <c r="N674" s="9" t="n"/>
      <c r="O674" s="10" t="n"/>
      <c r="P674" s="9" t="n"/>
      <c r="Q674" s="11">
        <f>IF(P674&lt;&gt;"",P674,IF(M674="","UNKNOWN",IF(AND(ISNUMBER(SEARCH("gas",LOWER(M674))),ISNUMBER(SEARCH("water",LOWER(M674)))),"GAS_WATER",IF(AND(ISNUMBER(SEARCH("oil",LOWER(M674))),ISNUMBER(SEARCH("water",LOWER(M674)))),"OIL_WATER",IF(ISNUMBER(SEARCH("gas",LOWER(M674))),"GAS",IF(ISNUMBER(SEARCH("water",LOWER(M674))),"WATER",IF(ISNUMBER(SEARCH("oil",LOWER(M674))),"OIL","UNKNOWN")))))))</f>
        <v/>
      </c>
      <c r="R674" s="12">
        <f>IF(C674="","",C674)</f>
        <v/>
      </c>
      <c r="S674" s="12">
        <f>IF(R674="","",R674+IF(O674&lt;&gt;"",O674,IF(H674="",0,H674)))</f>
        <v/>
      </c>
      <c r="T674" s="12">
        <f>IF(R674="","",MAX(Settings!$B$3,Settings!$B$4*IF(O674&lt;&gt;"",O674,IF(H674="",0,H674))))</f>
        <v/>
      </c>
      <c r="U674" s="11">
        <f>IF(AND(C674&lt;&gt;"",M674&lt;&gt;"",OR(H674&lt;&gt;"",O674&lt;&gt;"")),"COMPLETE",IF(OR(C674&lt;&gt;"",M674&lt;&gt;""),"PARTIAL","MISSING"))</f>
        <v/>
      </c>
      <c r="V674" s="11">
        <f>IF(Q674="UNKNOWN","Check fluid description",IF(AND(R674&lt;&gt;"",S674&lt;&gt;""),"Ready for contact screening","Needs TVD + thickness"))</f>
        <v/>
      </c>
    </row>
    <row r="675">
      <c r="A675" s="9" t="n"/>
      <c r="B675" s="9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9" t="n"/>
      <c r="N675" s="9" t="n"/>
      <c r="O675" s="10" t="n"/>
      <c r="P675" s="9" t="n"/>
      <c r="Q675" s="11">
        <f>IF(P675&lt;&gt;"",P675,IF(M675="","UNKNOWN",IF(AND(ISNUMBER(SEARCH("gas",LOWER(M675))),ISNUMBER(SEARCH("water",LOWER(M675)))),"GAS_WATER",IF(AND(ISNUMBER(SEARCH("oil",LOWER(M675))),ISNUMBER(SEARCH("water",LOWER(M675)))),"OIL_WATER",IF(ISNUMBER(SEARCH("gas",LOWER(M675))),"GAS",IF(ISNUMBER(SEARCH("water",LOWER(M675))),"WATER",IF(ISNUMBER(SEARCH("oil",LOWER(M675))),"OIL","UNKNOWN")))))))</f>
        <v/>
      </c>
      <c r="R675" s="12">
        <f>IF(C675="","",C675)</f>
        <v/>
      </c>
      <c r="S675" s="12">
        <f>IF(R675="","",R675+IF(O675&lt;&gt;"",O675,IF(H675="",0,H675)))</f>
        <v/>
      </c>
      <c r="T675" s="12">
        <f>IF(R675="","",MAX(Settings!$B$3,Settings!$B$4*IF(O675&lt;&gt;"",O675,IF(H675="",0,H675))))</f>
        <v/>
      </c>
      <c r="U675" s="11">
        <f>IF(AND(C675&lt;&gt;"",M675&lt;&gt;"",OR(H675&lt;&gt;"",O675&lt;&gt;"")),"COMPLETE",IF(OR(C675&lt;&gt;"",M675&lt;&gt;""),"PARTIAL","MISSING"))</f>
        <v/>
      </c>
      <c r="V675" s="11">
        <f>IF(Q675="UNKNOWN","Check fluid description",IF(AND(R675&lt;&gt;"",S675&lt;&gt;""),"Ready for contact screening","Needs TVD + thickness"))</f>
        <v/>
      </c>
    </row>
    <row r="676">
      <c r="A676" s="9" t="n"/>
      <c r="B676" s="9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9" t="n"/>
      <c r="N676" s="9" t="n"/>
      <c r="O676" s="10" t="n"/>
      <c r="P676" s="9" t="n"/>
      <c r="Q676" s="11">
        <f>IF(P676&lt;&gt;"",P676,IF(M676="","UNKNOWN",IF(AND(ISNUMBER(SEARCH("gas",LOWER(M676))),ISNUMBER(SEARCH("water",LOWER(M676)))),"GAS_WATER",IF(AND(ISNUMBER(SEARCH("oil",LOWER(M676))),ISNUMBER(SEARCH("water",LOWER(M676)))),"OIL_WATER",IF(ISNUMBER(SEARCH("gas",LOWER(M676))),"GAS",IF(ISNUMBER(SEARCH("water",LOWER(M676))),"WATER",IF(ISNUMBER(SEARCH("oil",LOWER(M676))),"OIL","UNKNOWN")))))))</f>
        <v/>
      </c>
      <c r="R676" s="12">
        <f>IF(C676="","",C676)</f>
        <v/>
      </c>
      <c r="S676" s="12">
        <f>IF(R676="","",R676+IF(O676&lt;&gt;"",O676,IF(H676="",0,H676)))</f>
        <v/>
      </c>
      <c r="T676" s="12">
        <f>IF(R676="","",MAX(Settings!$B$3,Settings!$B$4*IF(O676&lt;&gt;"",O676,IF(H676="",0,H676))))</f>
        <v/>
      </c>
      <c r="U676" s="11">
        <f>IF(AND(C676&lt;&gt;"",M676&lt;&gt;"",OR(H676&lt;&gt;"",O676&lt;&gt;"")),"COMPLETE",IF(OR(C676&lt;&gt;"",M676&lt;&gt;""),"PARTIAL","MISSING"))</f>
        <v/>
      </c>
      <c r="V676" s="11">
        <f>IF(Q676="UNKNOWN","Check fluid description",IF(AND(R676&lt;&gt;"",S676&lt;&gt;""),"Ready for contact screening","Needs TVD + thickness"))</f>
        <v/>
      </c>
    </row>
    <row r="677">
      <c r="A677" s="9" t="n"/>
      <c r="B677" s="9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9" t="n"/>
      <c r="N677" s="9" t="n"/>
      <c r="O677" s="10" t="n"/>
      <c r="P677" s="9" t="n"/>
      <c r="Q677" s="11">
        <f>IF(P677&lt;&gt;"",P677,IF(M677="","UNKNOWN",IF(AND(ISNUMBER(SEARCH("gas",LOWER(M677))),ISNUMBER(SEARCH("water",LOWER(M677)))),"GAS_WATER",IF(AND(ISNUMBER(SEARCH("oil",LOWER(M677))),ISNUMBER(SEARCH("water",LOWER(M677)))),"OIL_WATER",IF(ISNUMBER(SEARCH("gas",LOWER(M677))),"GAS",IF(ISNUMBER(SEARCH("water",LOWER(M677))),"WATER",IF(ISNUMBER(SEARCH("oil",LOWER(M677))),"OIL","UNKNOWN")))))))</f>
        <v/>
      </c>
      <c r="R677" s="12">
        <f>IF(C677="","",C677)</f>
        <v/>
      </c>
      <c r="S677" s="12">
        <f>IF(R677="","",R677+IF(O677&lt;&gt;"",O677,IF(H677="",0,H677)))</f>
        <v/>
      </c>
      <c r="T677" s="12">
        <f>IF(R677="","",MAX(Settings!$B$3,Settings!$B$4*IF(O677&lt;&gt;"",O677,IF(H677="",0,H677))))</f>
        <v/>
      </c>
      <c r="U677" s="11">
        <f>IF(AND(C677&lt;&gt;"",M677&lt;&gt;"",OR(H677&lt;&gt;"",O677&lt;&gt;"")),"COMPLETE",IF(OR(C677&lt;&gt;"",M677&lt;&gt;""),"PARTIAL","MISSING"))</f>
        <v/>
      </c>
      <c r="V677" s="11">
        <f>IF(Q677="UNKNOWN","Check fluid description",IF(AND(R677&lt;&gt;"",S677&lt;&gt;""),"Ready for contact screening","Needs TVD + thickness"))</f>
        <v/>
      </c>
    </row>
    <row r="678">
      <c r="A678" s="9" t="n"/>
      <c r="B678" s="9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9" t="n"/>
      <c r="N678" s="9" t="n"/>
      <c r="O678" s="10" t="n"/>
      <c r="P678" s="9" t="n"/>
      <c r="Q678" s="11">
        <f>IF(P678&lt;&gt;"",P678,IF(M678="","UNKNOWN",IF(AND(ISNUMBER(SEARCH("gas",LOWER(M678))),ISNUMBER(SEARCH("water",LOWER(M678)))),"GAS_WATER",IF(AND(ISNUMBER(SEARCH("oil",LOWER(M678))),ISNUMBER(SEARCH("water",LOWER(M678)))),"OIL_WATER",IF(ISNUMBER(SEARCH("gas",LOWER(M678))),"GAS",IF(ISNUMBER(SEARCH("water",LOWER(M678))),"WATER",IF(ISNUMBER(SEARCH("oil",LOWER(M678))),"OIL","UNKNOWN")))))))</f>
        <v/>
      </c>
      <c r="R678" s="12">
        <f>IF(C678="","",C678)</f>
        <v/>
      </c>
      <c r="S678" s="12">
        <f>IF(R678="","",R678+IF(O678&lt;&gt;"",O678,IF(H678="",0,H678)))</f>
        <v/>
      </c>
      <c r="T678" s="12">
        <f>IF(R678="","",MAX(Settings!$B$3,Settings!$B$4*IF(O678&lt;&gt;"",O678,IF(H678="",0,H678))))</f>
        <v/>
      </c>
      <c r="U678" s="11">
        <f>IF(AND(C678&lt;&gt;"",M678&lt;&gt;"",OR(H678&lt;&gt;"",O678&lt;&gt;"")),"COMPLETE",IF(OR(C678&lt;&gt;"",M678&lt;&gt;""),"PARTIAL","MISSING"))</f>
        <v/>
      </c>
      <c r="V678" s="11">
        <f>IF(Q678="UNKNOWN","Check fluid description",IF(AND(R678&lt;&gt;"",S678&lt;&gt;""),"Ready for contact screening","Needs TVD + thickness"))</f>
        <v/>
      </c>
    </row>
    <row r="679">
      <c r="A679" s="9" t="n"/>
      <c r="B679" s="9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9" t="n"/>
      <c r="N679" s="9" t="n"/>
      <c r="O679" s="10" t="n"/>
      <c r="P679" s="9" t="n"/>
      <c r="Q679" s="11">
        <f>IF(P679&lt;&gt;"",P679,IF(M679="","UNKNOWN",IF(AND(ISNUMBER(SEARCH("gas",LOWER(M679))),ISNUMBER(SEARCH("water",LOWER(M679)))),"GAS_WATER",IF(AND(ISNUMBER(SEARCH("oil",LOWER(M679))),ISNUMBER(SEARCH("water",LOWER(M679)))),"OIL_WATER",IF(ISNUMBER(SEARCH("gas",LOWER(M679))),"GAS",IF(ISNUMBER(SEARCH("water",LOWER(M679))),"WATER",IF(ISNUMBER(SEARCH("oil",LOWER(M679))),"OIL","UNKNOWN")))))))</f>
        <v/>
      </c>
      <c r="R679" s="12">
        <f>IF(C679="","",C679)</f>
        <v/>
      </c>
      <c r="S679" s="12">
        <f>IF(R679="","",R679+IF(O679&lt;&gt;"",O679,IF(H679="",0,H679)))</f>
        <v/>
      </c>
      <c r="T679" s="12">
        <f>IF(R679="","",MAX(Settings!$B$3,Settings!$B$4*IF(O679&lt;&gt;"",O679,IF(H679="",0,H679))))</f>
        <v/>
      </c>
      <c r="U679" s="11">
        <f>IF(AND(C679&lt;&gt;"",M679&lt;&gt;"",OR(H679&lt;&gt;"",O679&lt;&gt;"")),"COMPLETE",IF(OR(C679&lt;&gt;"",M679&lt;&gt;""),"PARTIAL","MISSING"))</f>
        <v/>
      </c>
      <c r="V679" s="11">
        <f>IF(Q679="UNKNOWN","Check fluid description",IF(AND(R679&lt;&gt;"",S679&lt;&gt;""),"Ready for contact screening","Needs TVD + thickness"))</f>
        <v/>
      </c>
    </row>
    <row r="680">
      <c r="A680" s="9" t="n"/>
      <c r="B680" s="9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9" t="n"/>
      <c r="N680" s="9" t="n"/>
      <c r="O680" s="10" t="n"/>
      <c r="P680" s="9" t="n"/>
      <c r="Q680" s="11">
        <f>IF(P680&lt;&gt;"",P680,IF(M680="","UNKNOWN",IF(AND(ISNUMBER(SEARCH("gas",LOWER(M680))),ISNUMBER(SEARCH("water",LOWER(M680)))),"GAS_WATER",IF(AND(ISNUMBER(SEARCH("oil",LOWER(M680))),ISNUMBER(SEARCH("water",LOWER(M680)))),"OIL_WATER",IF(ISNUMBER(SEARCH("gas",LOWER(M680))),"GAS",IF(ISNUMBER(SEARCH("water",LOWER(M680))),"WATER",IF(ISNUMBER(SEARCH("oil",LOWER(M680))),"OIL","UNKNOWN")))))))</f>
        <v/>
      </c>
      <c r="R680" s="12">
        <f>IF(C680="","",C680)</f>
        <v/>
      </c>
      <c r="S680" s="12">
        <f>IF(R680="","",R680+IF(O680&lt;&gt;"",O680,IF(H680="",0,H680)))</f>
        <v/>
      </c>
      <c r="T680" s="12">
        <f>IF(R680="","",MAX(Settings!$B$3,Settings!$B$4*IF(O680&lt;&gt;"",O680,IF(H680="",0,H680))))</f>
        <v/>
      </c>
      <c r="U680" s="11">
        <f>IF(AND(C680&lt;&gt;"",M680&lt;&gt;"",OR(H680&lt;&gt;"",O680&lt;&gt;"")),"COMPLETE",IF(OR(C680&lt;&gt;"",M680&lt;&gt;""),"PARTIAL","MISSING"))</f>
        <v/>
      </c>
      <c r="V680" s="11">
        <f>IF(Q680="UNKNOWN","Check fluid description",IF(AND(R680&lt;&gt;"",S680&lt;&gt;""),"Ready for contact screening","Needs TVD + thickness"))</f>
        <v/>
      </c>
    </row>
    <row r="681">
      <c r="A681" s="9" t="n"/>
      <c r="B681" s="9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9" t="n"/>
      <c r="N681" s="9" t="n"/>
      <c r="O681" s="10" t="n"/>
      <c r="P681" s="9" t="n"/>
      <c r="Q681" s="11">
        <f>IF(P681&lt;&gt;"",P681,IF(M681="","UNKNOWN",IF(AND(ISNUMBER(SEARCH("gas",LOWER(M681))),ISNUMBER(SEARCH("water",LOWER(M681)))),"GAS_WATER",IF(AND(ISNUMBER(SEARCH("oil",LOWER(M681))),ISNUMBER(SEARCH("water",LOWER(M681)))),"OIL_WATER",IF(ISNUMBER(SEARCH("gas",LOWER(M681))),"GAS",IF(ISNUMBER(SEARCH("water",LOWER(M681))),"WATER",IF(ISNUMBER(SEARCH("oil",LOWER(M681))),"OIL","UNKNOWN")))))))</f>
        <v/>
      </c>
      <c r="R681" s="12">
        <f>IF(C681="","",C681)</f>
        <v/>
      </c>
      <c r="S681" s="12">
        <f>IF(R681="","",R681+IF(O681&lt;&gt;"",O681,IF(H681="",0,H681)))</f>
        <v/>
      </c>
      <c r="T681" s="12">
        <f>IF(R681="","",MAX(Settings!$B$3,Settings!$B$4*IF(O681&lt;&gt;"",O681,IF(H681="",0,H681))))</f>
        <v/>
      </c>
      <c r="U681" s="11">
        <f>IF(AND(C681&lt;&gt;"",M681&lt;&gt;"",OR(H681&lt;&gt;"",O681&lt;&gt;"")),"COMPLETE",IF(OR(C681&lt;&gt;"",M681&lt;&gt;""),"PARTIAL","MISSING"))</f>
        <v/>
      </c>
      <c r="V681" s="11">
        <f>IF(Q681="UNKNOWN","Check fluid description",IF(AND(R681&lt;&gt;"",S681&lt;&gt;""),"Ready for contact screening","Needs TVD + thickness"))</f>
        <v/>
      </c>
    </row>
    <row r="682">
      <c r="A682" s="9" t="n"/>
      <c r="B682" s="9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9" t="n"/>
      <c r="N682" s="9" t="n"/>
      <c r="O682" s="10" t="n"/>
      <c r="P682" s="9" t="n"/>
      <c r="Q682" s="11">
        <f>IF(P682&lt;&gt;"",P682,IF(M682="","UNKNOWN",IF(AND(ISNUMBER(SEARCH("gas",LOWER(M682))),ISNUMBER(SEARCH("water",LOWER(M682)))),"GAS_WATER",IF(AND(ISNUMBER(SEARCH("oil",LOWER(M682))),ISNUMBER(SEARCH("water",LOWER(M682)))),"OIL_WATER",IF(ISNUMBER(SEARCH("gas",LOWER(M682))),"GAS",IF(ISNUMBER(SEARCH("water",LOWER(M682))),"WATER",IF(ISNUMBER(SEARCH("oil",LOWER(M682))),"OIL","UNKNOWN")))))))</f>
        <v/>
      </c>
      <c r="R682" s="12">
        <f>IF(C682="","",C682)</f>
        <v/>
      </c>
      <c r="S682" s="12">
        <f>IF(R682="","",R682+IF(O682&lt;&gt;"",O682,IF(H682="",0,H682)))</f>
        <v/>
      </c>
      <c r="T682" s="12">
        <f>IF(R682="","",MAX(Settings!$B$3,Settings!$B$4*IF(O682&lt;&gt;"",O682,IF(H682="",0,H682))))</f>
        <v/>
      </c>
      <c r="U682" s="11">
        <f>IF(AND(C682&lt;&gt;"",M682&lt;&gt;"",OR(H682&lt;&gt;"",O682&lt;&gt;"")),"COMPLETE",IF(OR(C682&lt;&gt;"",M682&lt;&gt;""),"PARTIAL","MISSING"))</f>
        <v/>
      </c>
      <c r="V682" s="11">
        <f>IF(Q682="UNKNOWN","Check fluid description",IF(AND(R682&lt;&gt;"",S682&lt;&gt;""),"Ready for contact screening","Needs TVD + thickness"))</f>
        <v/>
      </c>
    </row>
    <row r="683">
      <c r="A683" s="9" t="n"/>
      <c r="B683" s="9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9" t="n"/>
      <c r="N683" s="9" t="n"/>
      <c r="O683" s="10" t="n"/>
      <c r="P683" s="9" t="n"/>
      <c r="Q683" s="11">
        <f>IF(P683&lt;&gt;"",P683,IF(M683="","UNKNOWN",IF(AND(ISNUMBER(SEARCH("gas",LOWER(M683))),ISNUMBER(SEARCH("water",LOWER(M683)))),"GAS_WATER",IF(AND(ISNUMBER(SEARCH("oil",LOWER(M683))),ISNUMBER(SEARCH("water",LOWER(M683)))),"OIL_WATER",IF(ISNUMBER(SEARCH("gas",LOWER(M683))),"GAS",IF(ISNUMBER(SEARCH("water",LOWER(M683))),"WATER",IF(ISNUMBER(SEARCH("oil",LOWER(M683))),"OIL","UNKNOWN")))))))</f>
        <v/>
      </c>
      <c r="R683" s="12">
        <f>IF(C683="","",C683)</f>
        <v/>
      </c>
      <c r="S683" s="12">
        <f>IF(R683="","",R683+IF(O683&lt;&gt;"",O683,IF(H683="",0,H683)))</f>
        <v/>
      </c>
      <c r="T683" s="12">
        <f>IF(R683="","",MAX(Settings!$B$3,Settings!$B$4*IF(O683&lt;&gt;"",O683,IF(H683="",0,H683))))</f>
        <v/>
      </c>
      <c r="U683" s="11">
        <f>IF(AND(C683&lt;&gt;"",M683&lt;&gt;"",OR(H683&lt;&gt;"",O683&lt;&gt;"")),"COMPLETE",IF(OR(C683&lt;&gt;"",M683&lt;&gt;""),"PARTIAL","MISSING"))</f>
        <v/>
      </c>
      <c r="V683" s="11">
        <f>IF(Q683="UNKNOWN","Check fluid description",IF(AND(R683&lt;&gt;"",S683&lt;&gt;""),"Ready for contact screening","Needs TVD + thickness"))</f>
        <v/>
      </c>
    </row>
    <row r="684">
      <c r="A684" s="9" t="n"/>
      <c r="B684" s="9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9" t="n"/>
      <c r="N684" s="9" t="n"/>
      <c r="O684" s="10" t="n"/>
      <c r="P684" s="9" t="n"/>
      <c r="Q684" s="11">
        <f>IF(P684&lt;&gt;"",P684,IF(M684="","UNKNOWN",IF(AND(ISNUMBER(SEARCH("gas",LOWER(M684))),ISNUMBER(SEARCH("water",LOWER(M684)))),"GAS_WATER",IF(AND(ISNUMBER(SEARCH("oil",LOWER(M684))),ISNUMBER(SEARCH("water",LOWER(M684)))),"OIL_WATER",IF(ISNUMBER(SEARCH("gas",LOWER(M684))),"GAS",IF(ISNUMBER(SEARCH("water",LOWER(M684))),"WATER",IF(ISNUMBER(SEARCH("oil",LOWER(M684))),"OIL","UNKNOWN")))))))</f>
        <v/>
      </c>
      <c r="R684" s="12">
        <f>IF(C684="","",C684)</f>
        <v/>
      </c>
      <c r="S684" s="12">
        <f>IF(R684="","",R684+IF(O684&lt;&gt;"",O684,IF(H684="",0,H684)))</f>
        <v/>
      </c>
      <c r="T684" s="12">
        <f>IF(R684="","",MAX(Settings!$B$3,Settings!$B$4*IF(O684&lt;&gt;"",O684,IF(H684="",0,H684))))</f>
        <v/>
      </c>
      <c r="U684" s="11">
        <f>IF(AND(C684&lt;&gt;"",M684&lt;&gt;"",OR(H684&lt;&gt;"",O684&lt;&gt;"")),"COMPLETE",IF(OR(C684&lt;&gt;"",M684&lt;&gt;""),"PARTIAL","MISSING"))</f>
        <v/>
      </c>
      <c r="V684" s="11">
        <f>IF(Q684="UNKNOWN","Check fluid description",IF(AND(R684&lt;&gt;"",S684&lt;&gt;""),"Ready for contact screening","Needs TVD + thickness"))</f>
        <v/>
      </c>
    </row>
    <row r="685">
      <c r="A685" s="9" t="n"/>
      <c r="B685" s="9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9" t="n"/>
      <c r="N685" s="9" t="n"/>
      <c r="O685" s="10" t="n"/>
      <c r="P685" s="9" t="n"/>
      <c r="Q685" s="11">
        <f>IF(P685&lt;&gt;"",P685,IF(M685="","UNKNOWN",IF(AND(ISNUMBER(SEARCH("gas",LOWER(M685))),ISNUMBER(SEARCH("water",LOWER(M685)))),"GAS_WATER",IF(AND(ISNUMBER(SEARCH("oil",LOWER(M685))),ISNUMBER(SEARCH("water",LOWER(M685)))),"OIL_WATER",IF(ISNUMBER(SEARCH("gas",LOWER(M685))),"GAS",IF(ISNUMBER(SEARCH("water",LOWER(M685))),"WATER",IF(ISNUMBER(SEARCH("oil",LOWER(M685))),"OIL","UNKNOWN")))))))</f>
        <v/>
      </c>
      <c r="R685" s="12">
        <f>IF(C685="","",C685)</f>
        <v/>
      </c>
      <c r="S685" s="12">
        <f>IF(R685="","",R685+IF(O685&lt;&gt;"",O685,IF(H685="",0,H685)))</f>
        <v/>
      </c>
      <c r="T685" s="12">
        <f>IF(R685="","",MAX(Settings!$B$3,Settings!$B$4*IF(O685&lt;&gt;"",O685,IF(H685="",0,H685))))</f>
        <v/>
      </c>
      <c r="U685" s="11">
        <f>IF(AND(C685&lt;&gt;"",M685&lt;&gt;"",OR(H685&lt;&gt;"",O685&lt;&gt;"")),"COMPLETE",IF(OR(C685&lt;&gt;"",M685&lt;&gt;""),"PARTIAL","MISSING"))</f>
        <v/>
      </c>
      <c r="V685" s="11">
        <f>IF(Q685="UNKNOWN","Check fluid description",IF(AND(R685&lt;&gt;"",S685&lt;&gt;""),"Ready for contact screening","Needs TVD + thickness"))</f>
        <v/>
      </c>
    </row>
    <row r="686">
      <c r="A686" s="9" t="n"/>
      <c r="B686" s="9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9" t="n"/>
      <c r="N686" s="9" t="n"/>
      <c r="O686" s="10" t="n"/>
      <c r="P686" s="9" t="n"/>
      <c r="Q686" s="11">
        <f>IF(P686&lt;&gt;"",P686,IF(M686="","UNKNOWN",IF(AND(ISNUMBER(SEARCH("gas",LOWER(M686))),ISNUMBER(SEARCH("water",LOWER(M686)))),"GAS_WATER",IF(AND(ISNUMBER(SEARCH("oil",LOWER(M686))),ISNUMBER(SEARCH("water",LOWER(M686)))),"OIL_WATER",IF(ISNUMBER(SEARCH("gas",LOWER(M686))),"GAS",IF(ISNUMBER(SEARCH("water",LOWER(M686))),"WATER",IF(ISNUMBER(SEARCH("oil",LOWER(M686))),"OIL","UNKNOWN")))))))</f>
        <v/>
      </c>
      <c r="R686" s="12">
        <f>IF(C686="","",C686)</f>
        <v/>
      </c>
      <c r="S686" s="12">
        <f>IF(R686="","",R686+IF(O686&lt;&gt;"",O686,IF(H686="",0,H686)))</f>
        <v/>
      </c>
      <c r="T686" s="12">
        <f>IF(R686="","",MAX(Settings!$B$3,Settings!$B$4*IF(O686&lt;&gt;"",O686,IF(H686="",0,H686))))</f>
        <v/>
      </c>
      <c r="U686" s="11">
        <f>IF(AND(C686&lt;&gt;"",M686&lt;&gt;"",OR(H686&lt;&gt;"",O686&lt;&gt;"")),"COMPLETE",IF(OR(C686&lt;&gt;"",M686&lt;&gt;""),"PARTIAL","MISSING"))</f>
        <v/>
      </c>
      <c r="V686" s="11">
        <f>IF(Q686="UNKNOWN","Check fluid description",IF(AND(R686&lt;&gt;"",S686&lt;&gt;""),"Ready for contact screening","Needs TVD + thickness"))</f>
        <v/>
      </c>
    </row>
    <row r="687">
      <c r="A687" s="9" t="n"/>
      <c r="B687" s="9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9" t="n"/>
      <c r="N687" s="9" t="n"/>
      <c r="O687" s="10" t="n"/>
      <c r="P687" s="9" t="n"/>
      <c r="Q687" s="11">
        <f>IF(P687&lt;&gt;"",P687,IF(M687="","UNKNOWN",IF(AND(ISNUMBER(SEARCH("gas",LOWER(M687))),ISNUMBER(SEARCH("water",LOWER(M687)))),"GAS_WATER",IF(AND(ISNUMBER(SEARCH("oil",LOWER(M687))),ISNUMBER(SEARCH("water",LOWER(M687)))),"OIL_WATER",IF(ISNUMBER(SEARCH("gas",LOWER(M687))),"GAS",IF(ISNUMBER(SEARCH("water",LOWER(M687))),"WATER",IF(ISNUMBER(SEARCH("oil",LOWER(M687))),"OIL","UNKNOWN")))))))</f>
        <v/>
      </c>
      <c r="R687" s="12">
        <f>IF(C687="","",C687)</f>
        <v/>
      </c>
      <c r="S687" s="12">
        <f>IF(R687="","",R687+IF(O687&lt;&gt;"",O687,IF(H687="",0,H687)))</f>
        <v/>
      </c>
      <c r="T687" s="12">
        <f>IF(R687="","",MAX(Settings!$B$3,Settings!$B$4*IF(O687&lt;&gt;"",O687,IF(H687="",0,H687))))</f>
        <v/>
      </c>
      <c r="U687" s="11">
        <f>IF(AND(C687&lt;&gt;"",M687&lt;&gt;"",OR(H687&lt;&gt;"",O687&lt;&gt;"")),"COMPLETE",IF(OR(C687&lt;&gt;"",M687&lt;&gt;""),"PARTIAL","MISSING"))</f>
        <v/>
      </c>
      <c r="V687" s="11">
        <f>IF(Q687="UNKNOWN","Check fluid description",IF(AND(R687&lt;&gt;"",S687&lt;&gt;""),"Ready for contact screening","Needs TVD + thickness"))</f>
        <v/>
      </c>
    </row>
    <row r="688">
      <c r="A688" s="9" t="n"/>
      <c r="B688" s="9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9" t="n"/>
      <c r="N688" s="9" t="n"/>
      <c r="O688" s="10" t="n"/>
      <c r="P688" s="9" t="n"/>
      <c r="Q688" s="11">
        <f>IF(P688&lt;&gt;"",P688,IF(M688="","UNKNOWN",IF(AND(ISNUMBER(SEARCH("gas",LOWER(M688))),ISNUMBER(SEARCH("water",LOWER(M688)))),"GAS_WATER",IF(AND(ISNUMBER(SEARCH("oil",LOWER(M688))),ISNUMBER(SEARCH("water",LOWER(M688)))),"OIL_WATER",IF(ISNUMBER(SEARCH("gas",LOWER(M688))),"GAS",IF(ISNUMBER(SEARCH("water",LOWER(M688))),"WATER",IF(ISNUMBER(SEARCH("oil",LOWER(M688))),"OIL","UNKNOWN")))))))</f>
        <v/>
      </c>
      <c r="R688" s="12">
        <f>IF(C688="","",C688)</f>
        <v/>
      </c>
      <c r="S688" s="12">
        <f>IF(R688="","",R688+IF(O688&lt;&gt;"",O688,IF(H688="",0,H688)))</f>
        <v/>
      </c>
      <c r="T688" s="12">
        <f>IF(R688="","",MAX(Settings!$B$3,Settings!$B$4*IF(O688&lt;&gt;"",O688,IF(H688="",0,H688))))</f>
        <v/>
      </c>
      <c r="U688" s="11">
        <f>IF(AND(C688&lt;&gt;"",M688&lt;&gt;"",OR(H688&lt;&gt;"",O688&lt;&gt;"")),"COMPLETE",IF(OR(C688&lt;&gt;"",M688&lt;&gt;""),"PARTIAL","MISSING"))</f>
        <v/>
      </c>
      <c r="V688" s="11">
        <f>IF(Q688="UNKNOWN","Check fluid description",IF(AND(R688&lt;&gt;"",S688&lt;&gt;""),"Ready for contact screening","Needs TVD + thickness"))</f>
        <v/>
      </c>
    </row>
    <row r="689">
      <c r="A689" s="9" t="n"/>
      <c r="B689" s="9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9" t="n"/>
      <c r="N689" s="9" t="n"/>
      <c r="O689" s="10" t="n"/>
      <c r="P689" s="9" t="n"/>
      <c r="Q689" s="11">
        <f>IF(P689&lt;&gt;"",P689,IF(M689="","UNKNOWN",IF(AND(ISNUMBER(SEARCH("gas",LOWER(M689))),ISNUMBER(SEARCH("water",LOWER(M689)))),"GAS_WATER",IF(AND(ISNUMBER(SEARCH("oil",LOWER(M689))),ISNUMBER(SEARCH("water",LOWER(M689)))),"OIL_WATER",IF(ISNUMBER(SEARCH("gas",LOWER(M689))),"GAS",IF(ISNUMBER(SEARCH("water",LOWER(M689))),"WATER",IF(ISNUMBER(SEARCH("oil",LOWER(M689))),"OIL","UNKNOWN")))))))</f>
        <v/>
      </c>
      <c r="R689" s="12">
        <f>IF(C689="","",C689)</f>
        <v/>
      </c>
      <c r="S689" s="12">
        <f>IF(R689="","",R689+IF(O689&lt;&gt;"",O689,IF(H689="",0,H689)))</f>
        <v/>
      </c>
      <c r="T689" s="12">
        <f>IF(R689="","",MAX(Settings!$B$3,Settings!$B$4*IF(O689&lt;&gt;"",O689,IF(H689="",0,H689))))</f>
        <v/>
      </c>
      <c r="U689" s="11">
        <f>IF(AND(C689&lt;&gt;"",M689&lt;&gt;"",OR(H689&lt;&gt;"",O689&lt;&gt;"")),"COMPLETE",IF(OR(C689&lt;&gt;"",M689&lt;&gt;""),"PARTIAL","MISSING"))</f>
        <v/>
      </c>
      <c r="V689" s="11">
        <f>IF(Q689="UNKNOWN","Check fluid description",IF(AND(R689&lt;&gt;"",S689&lt;&gt;""),"Ready for contact screening","Needs TVD + thickness"))</f>
        <v/>
      </c>
    </row>
    <row r="690">
      <c r="A690" s="9" t="n"/>
      <c r="B690" s="9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9" t="n"/>
      <c r="N690" s="9" t="n"/>
      <c r="O690" s="10" t="n"/>
      <c r="P690" s="9" t="n"/>
      <c r="Q690" s="11">
        <f>IF(P690&lt;&gt;"",P690,IF(M690="","UNKNOWN",IF(AND(ISNUMBER(SEARCH("gas",LOWER(M690))),ISNUMBER(SEARCH("water",LOWER(M690)))),"GAS_WATER",IF(AND(ISNUMBER(SEARCH("oil",LOWER(M690))),ISNUMBER(SEARCH("water",LOWER(M690)))),"OIL_WATER",IF(ISNUMBER(SEARCH("gas",LOWER(M690))),"GAS",IF(ISNUMBER(SEARCH("water",LOWER(M690))),"WATER",IF(ISNUMBER(SEARCH("oil",LOWER(M690))),"OIL","UNKNOWN")))))))</f>
        <v/>
      </c>
      <c r="R690" s="12">
        <f>IF(C690="","",C690)</f>
        <v/>
      </c>
      <c r="S690" s="12">
        <f>IF(R690="","",R690+IF(O690&lt;&gt;"",O690,IF(H690="",0,H690)))</f>
        <v/>
      </c>
      <c r="T690" s="12">
        <f>IF(R690="","",MAX(Settings!$B$3,Settings!$B$4*IF(O690&lt;&gt;"",O690,IF(H690="",0,H690))))</f>
        <v/>
      </c>
      <c r="U690" s="11">
        <f>IF(AND(C690&lt;&gt;"",M690&lt;&gt;"",OR(H690&lt;&gt;"",O690&lt;&gt;"")),"COMPLETE",IF(OR(C690&lt;&gt;"",M690&lt;&gt;""),"PARTIAL","MISSING"))</f>
        <v/>
      </c>
      <c r="V690" s="11">
        <f>IF(Q690="UNKNOWN","Check fluid description",IF(AND(R690&lt;&gt;"",S690&lt;&gt;""),"Ready for contact screening","Needs TVD + thickness"))</f>
        <v/>
      </c>
    </row>
    <row r="691">
      <c r="A691" s="9" t="n"/>
      <c r="B691" s="9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9" t="n"/>
      <c r="N691" s="9" t="n"/>
      <c r="O691" s="10" t="n"/>
      <c r="P691" s="9" t="n"/>
      <c r="Q691" s="11">
        <f>IF(P691&lt;&gt;"",P691,IF(M691="","UNKNOWN",IF(AND(ISNUMBER(SEARCH("gas",LOWER(M691))),ISNUMBER(SEARCH("water",LOWER(M691)))),"GAS_WATER",IF(AND(ISNUMBER(SEARCH("oil",LOWER(M691))),ISNUMBER(SEARCH("water",LOWER(M691)))),"OIL_WATER",IF(ISNUMBER(SEARCH("gas",LOWER(M691))),"GAS",IF(ISNUMBER(SEARCH("water",LOWER(M691))),"WATER",IF(ISNUMBER(SEARCH("oil",LOWER(M691))),"OIL","UNKNOWN")))))))</f>
        <v/>
      </c>
      <c r="R691" s="12">
        <f>IF(C691="","",C691)</f>
        <v/>
      </c>
      <c r="S691" s="12">
        <f>IF(R691="","",R691+IF(O691&lt;&gt;"",O691,IF(H691="",0,H691)))</f>
        <v/>
      </c>
      <c r="T691" s="12">
        <f>IF(R691="","",MAX(Settings!$B$3,Settings!$B$4*IF(O691&lt;&gt;"",O691,IF(H691="",0,H691))))</f>
        <v/>
      </c>
      <c r="U691" s="11">
        <f>IF(AND(C691&lt;&gt;"",M691&lt;&gt;"",OR(H691&lt;&gt;"",O691&lt;&gt;"")),"COMPLETE",IF(OR(C691&lt;&gt;"",M691&lt;&gt;""),"PARTIAL","MISSING"))</f>
        <v/>
      </c>
      <c r="V691" s="11">
        <f>IF(Q691="UNKNOWN","Check fluid description",IF(AND(R691&lt;&gt;"",S691&lt;&gt;""),"Ready for contact screening","Needs TVD + thickness"))</f>
        <v/>
      </c>
    </row>
    <row r="692">
      <c r="A692" s="9" t="n"/>
      <c r="B692" s="9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9" t="n"/>
      <c r="N692" s="9" t="n"/>
      <c r="O692" s="10" t="n"/>
      <c r="P692" s="9" t="n"/>
      <c r="Q692" s="11">
        <f>IF(P692&lt;&gt;"",P692,IF(M692="","UNKNOWN",IF(AND(ISNUMBER(SEARCH("gas",LOWER(M692))),ISNUMBER(SEARCH("water",LOWER(M692)))),"GAS_WATER",IF(AND(ISNUMBER(SEARCH("oil",LOWER(M692))),ISNUMBER(SEARCH("water",LOWER(M692)))),"OIL_WATER",IF(ISNUMBER(SEARCH("gas",LOWER(M692))),"GAS",IF(ISNUMBER(SEARCH("water",LOWER(M692))),"WATER",IF(ISNUMBER(SEARCH("oil",LOWER(M692))),"OIL","UNKNOWN")))))))</f>
        <v/>
      </c>
      <c r="R692" s="12">
        <f>IF(C692="","",C692)</f>
        <v/>
      </c>
      <c r="S692" s="12">
        <f>IF(R692="","",R692+IF(O692&lt;&gt;"",O692,IF(H692="",0,H692)))</f>
        <v/>
      </c>
      <c r="T692" s="12">
        <f>IF(R692="","",MAX(Settings!$B$3,Settings!$B$4*IF(O692&lt;&gt;"",O692,IF(H692="",0,H692))))</f>
        <v/>
      </c>
      <c r="U692" s="11">
        <f>IF(AND(C692&lt;&gt;"",M692&lt;&gt;"",OR(H692&lt;&gt;"",O692&lt;&gt;"")),"COMPLETE",IF(OR(C692&lt;&gt;"",M692&lt;&gt;""),"PARTIAL","MISSING"))</f>
        <v/>
      </c>
      <c r="V692" s="11">
        <f>IF(Q692="UNKNOWN","Check fluid description",IF(AND(R692&lt;&gt;"",S692&lt;&gt;""),"Ready for contact screening","Needs TVD + thickness"))</f>
        <v/>
      </c>
    </row>
    <row r="693">
      <c r="A693" s="9" t="n"/>
      <c r="B693" s="9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9" t="n"/>
      <c r="N693" s="9" t="n"/>
      <c r="O693" s="10" t="n"/>
      <c r="P693" s="9" t="n"/>
      <c r="Q693" s="11">
        <f>IF(P693&lt;&gt;"",P693,IF(M693="","UNKNOWN",IF(AND(ISNUMBER(SEARCH("gas",LOWER(M693))),ISNUMBER(SEARCH("water",LOWER(M693)))),"GAS_WATER",IF(AND(ISNUMBER(SEARCH("oil",LOWER(M693))),ISNUMBER(SEARCH("water",LOWER(M693)))),"OIL_WATER",IF(ISNUMBER(SEARCH("gas",LOWER(M693))),"GAS",IF(ISNUMBER(SEARCH("water",LOWER(M693))),"WATER",IF(ISNUMBER(SEARCH("oil",LOWER(M693))),"OIL","UNKNOWN")))))))</f>
        <v/>
      </c>
      <c r="R693" s="12">
        <f>IF(C693="","",C693)</f>
        <v/>
      </c>
      <c r="S693" s="12">
        <f>IF(R693="","",R693+IF(O693&lt;&gt;"",O693,IF(H693="",0,H693)))</f>
        <v/>
      </c>
      <c r="T693" s="12">
        <f>IF(R693="","",MAX(Settings!$B$3,Settings!$B$4*IF(O693&lt;&gt;"",O693,IF(H693="",0,H693))))</f>
        <v/>
      </c>
      <c r="U693" s="11">
        <f>IF(AND(C693&lt;&gt;"",M693&lt;&gt;"",OR(H693&lt;&gt;"",O693&lt;&gt;"")),"COMPLETE",IF(OR(C693&lt;&gt;"",M693&lt;&gt;""),"PARTIAL","MISSING"))</f>
        <v/>
      </c>
      <c r="V693" s="11">
        <f>IF(Q693="UNKNOWN","Check fluid description",IF(AND(R693&lt;&gt;"",S693&lt;&gt;""),"Ready for contact screening","Needs TVD + thickness"))</f>
        <v/>
      </c>
    </row>
    <row r="694">
      <c r="A694" s="9" t="n"/>
      <c r="B694" s="9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9" t="n"/>
      <c r="N694" s="9" t="n"/>
      <c r="O694" s="10" t="n"/>
      <c r="P694" s="9" t="n"/>
      <c r="Q694" s="11">
        <f>IF(P694&lt;&gt;"",P694,IF(M694="","UNKNOWN",IF(AND(ISNUMBER(SEARCH("gas",LOWER(M694))),ISNUMBER(SEARCH("water",LOWER(M694)))),"GAS_WATER",IF(AND(ISNUMBER(SEARCH("oil",LOWER(M694))),ISNUMBER(SEARCH("water",LOWER(M694)))),"OIL_WATER",IF(ISNUMBER(SEARCH("gas",LOWER(M694))),"GAS",IF(ISNUMBER(SEARCH("water",LOWER(M694))),"WATER",IF(ISNUMBER(SEARCH("oil",LOWER(M694))),"OIL","UNKNOWN")))))))</f>
        <v/>
      </c>
      <c r="R694" s="12">
        <f>IF(C694="","",C694)</f>
        <v/>
      </c>
      <c r="S694" s="12">
        <f>IF(R694="","",R694+IF(O694&lt;&gt;"",O694,IF(H694="",0,H694)))</f>
        <v/>
      </c>
      <c r="T694" s="12">
        <f>IF(R694="","",MAX(Settings!$B$3,Settings!$B$4*IF(O694&lt;&gt;"",O694,IF(H694="",0,H694))))</f>
        <v/>
      </c>
      <c r="U694" s="11">
        <f>IF(AND(C694&lt;&gt;"",M694&lt;&gt;"",OR(H694&lt;&gt;"",O694&lt;&gt;"")),"COMPLETE",IF(OR(C694&lt;&gt;"",M694&lt;&gt;""),"PARTIAL","MISSING"))</f>
        <v/>
      </c>
      <c r="V694" s="11">
        <f>IF(Q694="UNKNOWN","Check fluid description",IF(AND(R694&lt;&gt;"",S694&lt;&gt;""),"Ready for contact screening","Needs TVD + thickness"))</f>
        <v/>
      </c>
    </row>
    <row r="695">
      <c r="A695" s="9" t="n"/>
      <c r="B695" s="9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9" t="n"/>
      <c r="N695" s="9" t="n"/>
      <c r="O695" s="10" t="n"/>
      <c r="P695" s="9" t="n"/>
      <c r="Q695" s="11">
        <f>IF(P695&lt;&gt;"",P695,IF(M695="","UNKNOWN",IF(AND(ISNUMBER(SEARCH("gas",LOWER(M695))),ISNUMBER(SEARCH("water",LOWER(M695)))),"GAS_WATER",IF(AND(ISNUMBER(SEARCH("oil",LOWER(M695))),ISNUMBER(SEARCH("water",LOWER(M695)))),"OIL_WATER",IF(ISNUMBER(SEARCH("gas",LOWER(M695))),"GAS",IF(ISNUMBER(SEARCH("water",LOWER(M695))),"WATER",IF(ISNUMBER(SEARCH("oil",LOWER(M695))),"OIL","UNKNOWN")))))))</f>
        <v/>
      </c>
      <c r="R695" s="12">
        <f>IF(C695="","",C695)</f>
        <v/>
      </c>
      <c r="S695" s="12">
        <f>IF(R695="","",R695+IF(O695&lt;&gt;"",O695,IF(H695="",0,H695)))</f>
        <v/>
      </c>
      <c r="T695" s="12">
        <f>IF(R695="","",MAX(Settings!$B$3,Settings!$B$4*IF(O695&lt;&gt;"",O695,IF(H695="",0,H695))))</f>
        <v/>
      </c>
      <c r="U695" s="11">
        <f>IF(AND(C695&lt;&gt;"",M695&lt;&gt;"",OR(H695&lt;&gt;"",O695&lt;&gt;"")),"COMPLETE",IF(OR(C695&lt;&gt;"",M695&lt;&gt;""),"PARTIAL","MISSING"))</f>
        <v/>
      </c>
      <c r="V695" s="11">
        <f>IF(Q695="UNKNOWN","Check fluid description",IF(AND(R695&lt;&gt;"",S695&lt;&gt;""),"Ready for contact screening","Needs TVD + thickness"))</f>
        <v/>
      </c>
    </row>
    <row r="696">
      <c r="A696" s="9" t="n"/>
      <c r="B696" s="9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9" t="n"/>
      <c r="N696" s="9" t="n"/>
      <c r="O696" s="10" t="n"/>
      <c r="P696" s="9" t="n"/>
      <c r="Q696" s="11">
        <f>IF(P696&lt;&gt;"",P696,IF(M696="","UNKNOWN",IF(AND(ISNUMBER(SEARCH("gas",LOWER(M696))),ISNUMBER(SEARCH("water",LOWER(M696)))),"GAS_WATER",IF(AND(ISNUMBER(SEARCH("oil",LOWER(M696))),ISNUMBER(SEARCH("water",LOWER(M696)))),"OIL_WATER",IF(ISNUMBER(SEARCH("gas",LOWER(M696))),"GAS",IF(ISNUMBER(SEARCH("water",LOWER(M696))),"WATER",IF(ISNUMBER(SEARCH("oil",LOWER(M696))),"OIL","UNKNOWN")))))))</f>
        <v/>
      </c>
      <c r="R696" s="12">
        <f>IF(C696="","",C696)</f>
        <v/>
      </c>
      <c r="S696" s="12">
        <f>IF(R696="","",R696+IF(O696&lt;&gt;"",O696,IF(H696="",0,H696)))</f>
        <v/>
      </c>
      <c r="T696" s="12">
        <f>IF(R696="","",MAX(Settings!$B$3,Settings!$B$4*IF(O696&lt;&gt;"",O696,IF(H696="",0,H696))))</f>
        <v/>
      </c>
      <c r="U696" s="11">
        <f>IF(AND(C696&lt;&gt;"",M696&lt;&gt;"",OR(H696&lt;&gt;"",O696&lt;&gt;"")),"COMPLETE",IF(OR(C696&lt;&gt;"",M696&lt;&gt;""),"PARTIAL","MISSING"))</f>
        <v/>
      </c>
      <c r="V696" s="11">
        <f>IF(Q696="UNKNOWN","Check fluid description",IF(AND(R696&lt;&gt;"",S696&lt;&gt;""),"Ready for contact screening","Needs TVD + thickness"))</f>
        <v/>
      </c>
    </row>
    <row r="697">
      <c r="A697" s="9" t="n"/>
      <c r="B697" s="9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9" t="n"/>
      <c r="N697" s="9" t="n"/>
      <c r="O697" s="10" t="n"/>
      <c r="P697" s="9" t="n"/>
      <c r="Q697" s="11">
        <f>IF(P697&lt;&gt;"",P697,IF(M697="","UNKNOWN",IF(AND(ISNUMBER(SEARCH("gas",LOWER(M697))),ISNUMBER(SEARCH("water",LOWER(M697)))),"GAS_WATER",IF(AND(ISNUMBER(SEARCH("oil",LOWER(M697))),ISNUMBER(SEARCH("water",LOWER(M697)))),"OIL_WATER",IF(ISNUMBER(SEARCH("gas",LOWER(M697))),"GAS",IF(ISNUMBER(SEARCH("water",LOWER(M697))),"WATER",IF(ISNUMBER(SEARCH("oil",LOWER(M697))),"OIL","UNKNOWN")))))))</f>
        <v/>
      </c>
      <c r="R697" s="12">
        <f>IF(C697="","",C697)</f>
        <v/>
      </c>
      <c r="S697" s="12">
        <f>IF(R697="","",R697+IF(O697&lt;&gt;"",O697,IF(H697="",0,H697)))</f>
        <v/>
      </c>
      <c r="T697" s="12">
        <f>IF(R697="","",MAX(Settings!$B$3,Settings!$B$4*IF(O697&lt;&gt;"",O697,IF(H697="",0,H697))))</f>
        <v/>
      </c>
      <c r="U697" s="11">
        <f>IF(AND(C697&lt;&gt;"",M697&lt;&gt;"",OR(H697&lt;&gt;"",O697&lt;&gt;"")),"COMPLETE",IF(OR(C697&lt;&gt;"",M697&lt;&gt;""),"PARTIAL","MISSING"))</f>
        <v/>
      </c>
      <c r="V697" s="11">
        <f>IF(Q697="UNKNOWN","Check fluid description",IF(AND(R697&lt;&gt;"",S697&lt;&gt;""),"Ready for contact screening","Needs TVD + thickness"))</f>
        <v/>
      </c>
    </row>
    <row r="698">
      <c r="A698" s="9" t="n"/>
      <c r="B698" s="9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9" t="n"/>
      <c r="N698" s="9" t="n"/>
      <c r="O698" s="10" t="n"/>
      <c r="P698" s="9" t="n"/>
      <c r="Q698" s="11">
        <f>IF(P698&lt;&gt;"",P698,IF(M698="","UNKNOWN",IF(AND(ISNUMBER(SEARCH("gas",LOWER(M698))),ISNUMBER(SEARCH("water",LOWER(M698)))),"GAS_WATER",IF(AND(ISNUMBER(SEARCH("oil",LOWER(M698))),ISNUMBER(SEARCH("water",LOWER(M698)))),"OIL_WATER",IF(ISNUMBER(SEARCH("gas",LOWER(M698))),"GAS",IF(ISNUMBER(SEARCH("water",LOWER(M698))),"WATER",IF(ISNUMBER(SEARCH("oil",LOWER(M698))),"OIL","UNKNOWN")))))))</f>
        <v/>
      </c>
      <c r="R698" s="12">
        <f>IF(C698="","",C698)</f>
        <v/>
      </c>
      <c r="S698" s="12">
        <f>IF(R698="","",R698+IF(O698&lt;&gt;"",O698,IF(H698="",0,H698)))</f>
        <v/>
      </c>
      <c r="T698" s="12">
        <f>IF(R698="","",MAX(Settings!$B$3,Settings!$B$4*IF(O698&lt;&gt;"",O698,IF(H698="",0,H698))))</f>
        <v/>
      </c>
      <c r="U698" s="11">
        <f>IF(AND(C698&lt;&gt;"",M698&lt;&gt;"",OR(H698&lt;&gt;"",O698&lt;&gt;"")),"COMPLETE",IF(OR(C698&lt;&gt;"",M698&lt;&gt;""),"PARTIAL","MISSING"))</f>
        <v/>
      </c>
      <c r="V698" s="11">
        <f>IF(Q698="UNKNOWN","Check fluid description",IF(AND(R698&lt;&gt;"",S698&lt;&gt;""),"Ready for contact screening","Needs TVD + thickness"))</f>
        <v/>
      </c>
    </row>
    <row r="699">
      <c r="A699" s="9" t="n"/>
      <c r="B699" s="9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9" t="n"/>
      <c r="N699" s="9" t="n"/>
      <c r="O699" s="10" t="n"/>
      <c r="P699" s="9" t="n"/>
      <c r="Q699" s="11">
        <f>IF(P699&lt;&gt;"",P699,IF(M699="","UNKNOWN",IF(AND(ISNUMBER(SEARCH("gas",LOWER(M699))),ISNUMBER(SEARCH("water",LOWER(M699)))),"GAS_WATER",IF(AND(ISNUMBER(SEARCH("oil",LOWER(M699))),ISNUMBER(SEARCH("water",LOWER(M699)))),"OIL_WATER",IF(ISNUMBER(SEARCH("gas",LOWER(M699))),"GAS",IF(ISNUMBER(SEARCH("water",LOWER(M699))),"WATER",IF(ISNUMBER(SEARCH("oil",LOWER(M699))),"OIL","UNKNOWN")))))))</f>
        <v/>
      </c>
      <c r="R699" s="12">
        <f>IF(C699="","",C699)</f>
        <v/>
      </c>
      <c r="S699" s="12">
        <f>IF(R699="","",R699+IF(O699&lt;&gt;"",O699,IF(H699="",0,H699)))</f>
        <v/>
      </c>
      <c r="T699" s="12">
        <f>IF(R699="","",MAX(Settings!$B$3,Settings!$B$4*IF(O699&lt;&gt;"",O699,IF(H699="",0,H699))))</f>
        <v/>
      </c>
      <c r="U699" s="11">
        <f>IF(AND(C699&lt;&gt;"",M699&lt;&gt;"",OR(H699&lt;&gt;"",O699&lt;&gt;"")),"COMPLETE",IF(OR(C699&lt;&gt;"",M699&lt;&gt;""),"PARTIAL","MISSING"))</f>
        <v/>
      </c>
      <c r="V699" s="11">
        <f>IF(Q699="UNKNOWN","Check fluid description",IF(AND(R699&lt;&gt;"",S699&lt;&gt;""),"Ready for contact screening","Needs TVD + thickness"))</f>
        <v/>
      </c>
    </row>
    <row r="700">
      <c r="A700" s="9" t="n"/>
      <c r="B700" s="9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9" t="n"/>
      <c r="N700" s="9" t="n"/>
      <c r="O700" s="10" t="n"/>
      <c r="P700" s="9" t="n"/>
      <c r="Q700" s="11">
        <f>IF(P700&lt;&gt;"",P700,IF(M700="","UNKNOWN",IF(AND(ISNUMBER(SEARCH("gas",LOWER(M700))),ISNUMBER(SEARCH("water",LOWER(M700)))),"GAS_WATER",IF(AND(ISNUMBER(SEARCH("oil",LOWER(M700))),ISNUMBER(SEARCH("water",LOWER(M700)))),"OIL_WATER",IF(ISNUMBER(SEARCH("gas",LOWER(M700))),"GAS",IF(ISNUMBER(SEARCH("water",LOWER(M700))),"WATER",IF(ISNUMBER(SEARCH("oil",LOWER(M700))),"OIL","UNKNOWN")))))))</f>
        <v/>
      </c>
      <c r="R700" s="12">
        <f>IF(C700="","",C700)</f>
        <v/>
      </c>
      <c r="S700" s="12">
        <f>IF(R700="","",R700+IF(O700&lt;&gt;"",O700,IF(H700="",0,H700)))</f>
        <v/>
      </c>
      <c r="T700" s="12">
        <f>IF(R700="","",MAX(Settings!$B$3,Settings!$B$4*IF(O700&lt;&gt;"",O700,IF(H700="",0,H700))))</f>
        <v/>
      </c>
      <c r="U700" s="11">
        <f>IF(AND(C700&lt;&gt;"",M700&lt;&gt;"",OR(H700&lt;&gt;"",O700&lt;&gt;"")),"COMPLETE",IF(OR(C700&lt;&gt;"",M700&lt;&gt;""),"PARTIAL","MISSING"))</f>
        <v/>
      </c>
      <c r="V700" s="11">
        <f>IF(Q700="UNKNOWN","Check fluid description",IF(AND(R700&lt;&gt;"",S700&lt;&gt;""),"Ready for contact screening","Needs TVD + thickness"))</f>
        <v/>
      </c>
    </row>
    <row r="701">
      <c r="A701" s="9" t="n"/>
      <c r="B701" s="9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9" t="n"/>
      <c r="N701" s="9" t="n"/>
      <c r="O701" s="10" t="n"/>
      <c r="P701" s="9" t="n"/>
      <c r="Q701" s="11">
        <f>IF(P701&lt;&gt;"",P701,IF(M701="","UNKNOWN",IF(AND(ISNUMBER(SEARCH("gas",LOWER(M701))),ISNUMBER(SEARCH("water",LOWER(M701)))),"GAS_WATER",IF(AND(ISNUMBER(SEARCH("oil",LOWER(M701))),ISNUMBER(SEARCH("water",LOWER(M701)))),"OIL_WATER",IF(ISNUMBER(SEARCH("gas",LOWER(M701))),"GAS",IF(ISNUMBER(SEARCH("water",LOWER(M701))),"WATER",IF(ISNUMBER(SEARCH("oil",LOWER(M701))),"OIL","UNKNOWN")))))))</f>
        <v/>
      </c>
      <c r="R701" s="12">
        <f>IF(C701="","",C701)</f>
        <v/>
      </c>
      <c r="S701" s="12">
        <f>IF(R701="","",R701+IF(O701&lt;&gt;"",O701,IF(H701="",0,H701)))</f>
        <v/>
      </c>
      <c r="T701" s="12">
        <f>IF(R701="","",MAX(Settings!$B$3,Settings!$B$4*IF(O701&lt;&gt;"",O701,IF(H701="",0,H701))))</f>
        <v/>
      </c>
      <c r="U701" s="11">
        <f>IF(AND(C701&lt;&gt;"",M701&lt;&gt;"",OR(H701&lt;&gt;"",O701&lt;&gt;"")),"COMPLETE",IF(OR(C701&lt;&gt;"",M701&lt;&gt;""),"PARTIAL","MISSING"))</f>
        <v/>
      </c>
      <c r="V701" s="11">
        <f>IF(Q701="UNKNOWN","Check fluid description",IF(AND(R701&lt;&gt;"",S701&lt;&gt;""),"Ready for contact screening","Needs TVD + thickness"))</f>
        <v/>
      </c>
    </row>
    <row r="702">
      <c r="A702" s="9" t="n"/>
      <c r="B702" s="9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9" t="n"/>
      <c r="N702" s="9" t="n"/>
      <c r="O702" s="10" t="n"/>
      <c r="P702" s="9" t="n"/>
      <c r="Q702" s="11">
        <f>IF(P702&lt;&gt;"",P702,IF(M702="","UNKNOWN",IF(AND(ISNUMBER(SEARCH("gas",LOWER(M702))),ISNUMBER(SEARCH("water",LOWER(M702)))),"GAS_WATER",IF(AND(ISNUMBER(SEARCH("oil",LOWER(M702))),ISNUMBER(SEARCH("water",LOWER(M702)))),"OIL_WATER",IF(ISNUMBER(SEARCH("gas",LOWER(M702))),"GAS",IF(ISNUMBER(SEARCH("water",LOWER(M702))),"WATER",IF(ISNUMBER(SEARCH("oil",LOWER(M702))),"OIL","UNKNOWN")))))))</f>
        <v/>
      </c>
      <c r="R702" s="12">
        <f>IF(C702="","",C702)</f>
        <v/>
      </c>
      <c r="S702" s="12">
        <f>IF(R702="","",R702+IF(O702&lt;&gt;"",O702,IF(H702="",0,H702)))</f>
        <v/>
      </c>
      <c r="T702" s="12">
        <f>IF(R702="","",MAX(Settings!$B$3,Settings!$B$4*IF(O702&lt;&gt;"",O702,IF(H702="",0,H702))))</f>
        <v/>
      </c>
      <c r="U702" s="11">
        <f>IF(AND(C702&lt;&gt;"",M702&lt;&gt;"",OR(H702&lt;&gt;"",O702&lt;&gt;"")),"COMPLETE",IF(OR(C702&lt;&gt;"",M702&lt;&gt;""),"PARTIAL","MISSING"))</f>
        <v/>
      </c>
      <c r="V702" s="11">
        <f>IF(Q702="UNKNOWN","Check fluid description",IF(AND(R702&lt;&gt;"",S702&lt;&gt;""),"Ready for contact screening","Needs TVD + thickness"))</f>
        <v/>
      </c>
    </row>
    <row r="703">
      <c r="A703" s="9" t="n"/>
      <c r="B703" s="9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9" t="n"/>
      <c r="N703" s="9" t="n"/>
      <c r="O703" s="10" t="n"/>
      <c r="P703" s="9" t="n"/>
      <c r="Q703" s="11">
        <f>IF(P703&lt;&gt;"",P703,IF(M703="","UNKNOWN",IF(AND(ISNUMBER(SEARCH("gas",LOWER(M703))),ISNUMBER(SEARCH("water",LOWER(M703)))),"GAS_WATER",IF(AND(ISNUMBER(SEARCH("oil",LOWER(M703))),ISNUMBER(SEARCH("water",LOWER(M703)))),"OIL_WATER",IF(ISNUMBER(SEARCH("gas",LOWER(M703))),"GAS",IF(ISNUMBER(SEARCH("water",LOWER(M703))),"WATER",IF(ISNUMBER(SEARCH("oil",LOWER(M703))),"OIL","UNKNOWN")))))))</f>
        <v/>
      </c>
      <c r="R703" s="12">
        <f>IF(C703="","",C703)</f>
        <v/>
      </c>
      <c r="S703" s="12">
        <f>IF(R703="","",R703+IF(O703&lt;&gt;"",O703,IF(H703="",0,H703)))</f>
        <v/>
      </c>
      <c r="T703" s="12">
        <f>IF(R703="","",MAX(Settings!$B$3,Settings!$B$4*IF(O703&lt;&gt;"",O703,IF(H703="",0,H703))))</f>
        <v/>
      </c>
      <c r="U703" s="11">
        <f>IF(AND(C703&lt;&gt;"",M703&lt;&gt;"",OR(H703&lt;&gt;"",O703&lt;&gt;"")),"COMPLETE",IF(OR(C703&lt;&gt;"",M703&lt;&gt;""),"PARTIAL","MISSING"))</f>
        <v/>
      </c>
      <c r="V703" s="11">
        <f>IF(Q703="UNKNOWN","Check fluid description",IF(AND(R703&lt;&gt;"",S703&lt;&gt;""),"Ready for contact screening","Needs TVD + thickness"))</f>
        <v/>
      </c>
    </row>
    <row r="704">
      <c r="A704" s="9" t="n"/>
      <c r="B704" s="9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9" t="n"/>
      <c r="N704" s="9" t="n"/>
      <c r="O704" s="10" t="n"/>
      <c r="P704" s="9" t="n"/>
      <c r="Q704" s="11">
        <f>IF(P704&lt;&gt;"",P704,IF(M704="","UNKNOWN",IF(AND(ISNUMBER(SEARCH("gas",LOWER(M704))),ISNUMBER(SEARCH("water",LOWER(M704)))),"GAS_WATER",IF(AND(ISNUMBER(SEARCH("oil",LOWER(M704))),ISNUMBER(SEARCH("water",LOWER(M704)))),"OIL_WATER",IF(ISNUMBER(SEARCH("gas",LOWER(M704))),"GAS",IF(ISNUMBER(SEARCH("water",LOWER(M704))),"WATER",IF(ISNUMBER(SEARCH("oil",LOWER(M704))),"OIL","UNKNOWN")))))))</f>
        <v/>
      </c>
      <c r="R704" s="12">
        <f>IF(C704="","",C704)</f>
        <v/>
      </c>
      <c r="S704" s="12">
        <f>IF(R704="","",R704+IF(O704&lt;&gt;"",O704,IF(H704="",0,H704)))</f>
        <v/>
      </c>
      <c r="T704" s="12">
        <f>IF(R704="","",MAX(Settings!$B$3,Settings!$B$4*IF(O704&lt;&gt;"",O704,IF(H704="",0,H704))))</f>
        <v/>
      </c>
      <c r="U704" s="11">
        <f>IF(AND(C704&lt;&gt;"",M704&lt;&gt;"",OR(H704&lt;&gt;"",O704&lt;&gt;"")),"COMPLETE",IF(OR(C704&lt;&gt;"",M704&lt;&gt;""),"PARTIAL","MISSING"))</f>
        <v/>
      </c>
      <c r="V704" s="11">
        <f>IF(Q704="UNKNOWN","Check fluid description",IF(AND(R704&lt;&gt;"",S704&lt;&gt;""),"Ready for contact screening","Needs TVD + thickness"))</f>
        <v/>
      </c>
    </row>
    <row r="705">
      <c r="A705" s="9" t="n"/>
      <c r="B705" s="9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9" t="n"/>
      <c r="N705" s="9" t="n"/>
      <c r="O705" s="10" t="n"/>
      <c r="P705" s="9" t="n"/>
      <c r="Q705" s="11">
        <f>IF(P705&lt;&gt;"",P705,IF(M705="","UNKNOWN",IF(AND(ISNUMBER(SEARCH("gas",LOWER(M705))),ISNUMBER(SEARCH("water",LOWER(M705)))),"GAS_WATER",IF(AND(ISNUMBER(SEARCH("oil",LOWER(M705))),ISNUMBER(SEARCH("water",LOWER(M705)))),"OIL_WATER",IF(ISNUMBER(SEARCH("gas",LOWER(M705))),"GAS",IF(ISNUMBER(SEARCH("water",LOWER(M705))),"WATER",IF(ISNUMBER(SEARCH("oil",LOWER(M705))),"OIL","UNKNOWN")))))))</f>
        <v/>
      </c>
      <c r="R705" s="12">
        <f>IF(C705="","",C705)</f>
        <v/>
      </c>
      <c r="S705" s="12">
        <f>IF(R705="","",R705+IF(O705&lt;&gt;"",O705,IF(H705="",0,H705)))</f>
        <v/>
      </c>
      <c r="T705" s="12">
        <f>IF(R705="","",MAX(Settings!$B$3,Settings!$B$4*IF(O705&lt;&gt;"",O705,IF(H705="",0,H705))))</f>
        <v/>
      </c>
      <c r="U705" s="11">
        <f>IF(AND(C705&lt;&gt;"",M705&lt;&gt;"",OR(H705&lt;&gt;"",O705&lt;&gt;"")),"COMPLETE",IF(OR(C705&lt;&gt;"",M705&lt;&gt;""),"PARTIAL","MISSING"))</f>
        <v/>
      </c>
      <c r="V705" s="11">
        <f>IF(Q705="UNKNOWN","Check fluid description",IF(AND(R705&lt;&gt;"",S705&lt;&gt;""),"Ready for contact screening","Needs TVD + thickness"))</f>
        <v/>
      </c>
    </row>
    <row r="706">
      <c r="A706" s="9" t="n"/>
      <c r="B706" s="9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9" t="n"/>
      <c r="N706" s="9" t="n"/>
      <c r="O706" s="10" t="n"/>
      <c r="P706" s="9" t="n"/>
      <c r="Q706" s="11">
        <f>IF(P706&lt;&gt;"",P706,IF(M706="","UNKNOWN",IF(AND(ISNUMBER(SEARCH("gas",LOWER(M706))),ISNUMBER(SEARCH("water",LOWER(M706)))),"GAS_WATER",IF(AND(ISNUMBER(SEARCH("oil",LOWER(M706))),ISNUMBER(SEARCH("water",LOWER(M706)))),"OIL_WATER",IF(ISNUMBER(SEARCH("gas",LOWER(M706))),"GAS",IF(ISNUMBER(SEARCH("water",LOWER(M706))),"WATER",IF(ISNUMBER(SEARCH("oil",LOWER(M706))),"OIL","UNKNOWN")))))))</f>
        <v/>
      </c>
      <c r="R706" s="12">
        <f>IF(C706="","",C706)</f>
        <v/>
      </c>
      <c r="S706" s="12">
        <f>IF(R706="","",R706+IF(O706&lt;&gt;"",O706,IF(H706="",0,H706)))</f>
        <v/>
      </c>
      <c r="T706" s="12">
        <f>IF(R706="","",MAX(Settings!$B$3,Settings!$B$4*IF(O706&lt;&gt;"",O706,IF(H706="",0,H706))))</f>
        <v/>
      </c>
      <c r="U706" s="11">
        <f>IF(AND(C706&lt;&gt;"",M706&lt;&gt;"",OR(H706&lt;&gt;"",O706&lt;&gt;"")),"COMPLETE",IF(OR(C706&lt;&gt;"",M706&lt;&gt;""),"PARTIAL","MISSING"))</f>
        <v/>
      </c>
      <c r="V706" s="11">
        <f>IF(Q706="UNKNOWN","Check fluid description",IF(AND(R706&lt;&gt;"",S706&lt;&gt;""),"Ready for contact screening","Needs TVD + thickness"))</f>
        <v/>
      </c>
    </row>
    <row r="707">
      <c r="A707" s="9" t="n"/>
      <c r="B707" s="9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9" t="n"/>
      <c r="N707" s="9" t="n"/>
      <c r="O707" s="10" t="n"/>
      <c r="P707" s="9" t="n"/>
      <c r="Q707" s="11">
        <f>IF(P707&lt;&gt;"",P707,IF(M707="","UNKNOWN",IF(AND(ISNUMBER(SEARCH("gas",LOWER(M707))),ISNUMBER(SEARCH("water",LOWER(M707)))),"GAS_WATER",IF(AND(ISNUMBER(SEARCH("oil",LOWER(M707))),ISNUMBER(SEARCH("water",LOWER(M707)))),"OIL_WATER",IF(ISNUMBER(SEARCH("gas",LOWER(M707))),"GAS",IF(ISNUMBER(SEARCH("water",LOWER(M707))),"WATER",IF(ISNUMBER(SEARCH("oil",LOWER(M707))),"OIL","UNKNOWN")))))))</f>
        <v/>
      </c>
      <c r="R707" s="12">
        <f>IF(C707="","",C707)</f>
        <v/>
      </c>
      <c r="S707" s="12">
        <f>IF(R707="","",R707+IF(O707&lt;&gt;"",O707,IF(H707="",0,H707)))</f>
        <v/>
      </c>
      <c r="T707" s="12">
        <f>IF(R707="","",MAX(Settings!$B$3,Settings!$B$4*IF(O707&lt;&gt;"",O707,IF(H707="",0,H707))))</f>
        <v/>
      </c>
      <c r="U707" s="11">
        <f>IF(AND(C707&lt;&gt;"",M707&lt;&gt;"",OR(H707&lt;&gt;"",O707&lt;&gt;"")),"COMPLETE",IF(OR(C707&lt;&gt;"",M707&lt;&gt;""),"PARTIAL","MISSING"))</f>
        <v/>
      </c>
      <c r="V707" s="11">
        <f>IF(Q707="UNKNOWN","Check fluid description",IF(AND(R707&lt;&gt;"",S707&lt;&gt;""),"Ready for contact screening","Needs TVD + thickness"))</f>
        <v/>
      </c>
    </row>
    <row r="708">
      <c r="A708" s="9" t="n"/>
      <c r="B708" s="9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9" t="n"/>
      <c r="N708" s="9" t="n"/>
      <c r="O708" s="10" t="n"/>
      <c r="P708" s="9" t="n"/>
      <c r="Q708" s="11">
        <f>IF(P708&lt;&gt;"",P708,IF(M708="","UNKNOWN",IF(AND(ISNUMBER(SEARCH("gas",LOWER(M708))),ISNUMBER(SEARCH("water",LOWER(M708)))),"GAS_WATER",IF(AND(ISNUMBER(SEARCH("oil",LOWER(M708))),ISNUMBER(SEARCH("water",LOWER(M708)))),"OIL_WATER",IF(ISNUMBER(SEARCH("gas",LOWER(M708))),"GAS",IF(ISNUMBER(SEARCH("water",LOWER(M708))),"WATER",IF(ISNUMBER(SEARCH("oil",LOWER(M708))),"OIL","UNKNOWN")))))))</f>
        <v/>
      </c>
      <c r="R708" s="12">
        <f>IF(C708="","",C708)</f>
        <v/>
      </c>
      <c r="S708" s="12">
        <f>IF(R708="","",R708+IF(O708&lt;&gt;"",O708,IF(H708="",0,H708)))</f>
        <v/>
      </c>
      <c r="T708" s="12">
        <f>IF(R708="","",MAX(Settings!$B$3,Settings!$B$4*IF(O708&lt;&gt;"",O708,IF(H708="",0,H708))))</f>
        <v/>
      </c>
      <c r="U708" s="11">
        <f>IF(AND(C708&lt;&gt;"",M708&lt;&gt;"",OR(H708&lt;&gt;"",O708&lt;&gt;"")),"COMPLETE",IF(OR(C708&lt;&gt;"",M708&lt;&gt;""),"PARTIAL","MISSING"))</f>
        <v/>
      </c>
      <c r="V708" s="11">
        <f>IF(Q708="UNKNOWN","Check fluid description",IF(AND(R708&lt;&gt;"",S708&lt;&gt;""),"Ready for contact screening","Needs TVD + thickness"))</f>
        <v/>
      </c>
    </row>
    <row r="709">
      <c r="A709" s="9" t="n"/>
      <c r="B709" s="9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9" t="n"/>
      <c r="N709" s="9" t="n"/>
      <c r="O709" s="10" t="n"/>
      <c r="P709" s="9" t="n"/>
      <c r="Q709" s="11">
        <f>IF(P709&lt;&gt;"",P709,IF(M709="","UNKNOWN",IF(AND(ISNUMBER(SEARCH("gas",LOWER(M709))),ISNUMBER(SEARCH("water",LOWER(M709)))),"GAS_WATER",IF(AND(ISNUMBER(SEARCH("oil",LOWER(M709))),ISNUMBER(SEARCH("water",LOWER(M709)))),"OIL_WATER",IF(ISNUMBER(SEARCH("gas",LOWER(M709))),"GAS",IF(ISNUMBER(SEARCH("water",LOWER(M709))),"WATER",IF(ISNUMBER(SEARCH("oil",LOWER(M709))),"OIL","UNKNOWN")))))))</f>
        <v/>
      </c>
      <c r="R709" s="12">
        <f>IF(C709="","",C709)</f>
        <v/>
      </c>
      <c r="S709" s="12">
        <f>IF(R709="","",R709+IF(O709&lt;&gt;"",O709,IF(H709="",0,H709)))</f>
        <v/>
      </c>
      <c r="T709" s="12">
        <f>IF(R709="","",MAX(Settings!$B$3,Settings!$B$4*IF(O709&lt;&gt;"",O709,IF(H709="",0,H709))))</f>
        <v/>
      </c>
      <c r="U709" s="11">
        <f>IF(AND(C709&lt;&gt;"",M709&lt;&gt;"",OR(H709&lt;&gt;"",O709&lt;&gt;"")),"COMPLETE",IF(OR(C709&lt;&gt;"",M709&lt;&gt;""),"PARTIAL","MISSING"))</f>
        <v/>
      </c>
      <c r="V709" s="11">
        <f>IF(Q709="UNKNOWN","Check fluid description",IF(AND(R709&lt;&gt;"",S709&lt;&gt;""),"Ready for contact screening","Needs TVD + thickness"))</f>
        <v/>
      </c>
    </row>
    <row r="710">
      <c r="A710" s="9" t="n"/>
      <c r="B710" s="9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9" t="n"/>
      <c r="N710" s="9" t="n"/>
      <c r="O710" s="10" t="n"/>
      <c r="P710" s="9" t="n"/>
      <c r="Q710" s="11">
        <f>IF(P710&lt;&gt;"",P710,IF(M710="","UNKNOWN",IF(AND(ISNUMBER(SEARCH("gas",LOWER(M710))),ISNUMBER(SEARCH("water",LOWER(M710)))),"GAS_WATER",IF(AND(ISNUMBER(SEARCH("oil",LOWER(M710))),ISNUMBER(SEARCH("water",LOWER(M710)))),"OIL_WATER",IF(ISNUMBER(SEARCH("gas",LOWER(M710))),"GAS",IF(ISNUMBER(SEARCH("water",LOWER(M710))),"WATER",IF(ISNUMBER(SEARCH("oil",LOWER(M710))),"OIL","UNKNOWN")))))))</f>
        <v/>
      </c>
      <c r="R710" s="12">
        <f>IF(C710="","",C710)</f>
        <v/>
      </c>
      <c r="S710" s="12">
        <f>IF(R710="","",R710+IF(O710&lt;&gt;"",O710,IF(H710="",0,H710)))</f>
        <v/>
      </c>
      <c r="T710" s="12">
        <f>IF(R710="","",MAX(Settings!$B$3,Settings!$B$4*IF(O710&lt;&gt;"",O710,IF(H710="",0,H710))))</f>
        <v/>
      </c>
      <c r="U710" s="11">
        <f>IF(AND(C710&lt;&gt;"",M710&lt;&gt;"",OR(H710&lt;&gt;"",O710&lt;&gt;"")),"COMPLETE",IF(OR(C710&lt;&gt;"",M710&lt;&gt;""),"PARTIAL","MISSING"))</f>
        <v/>
      </c>
      <c r="V710" s="11">
        <f>IF(Q710="UNKNOWN","Check fluid description",IF(AND(R710&lt;&gt;"",S710&lt;&gt;""),"Ready for contact screening","Needs TVD + thickness"))</f>
        <v/>
      </c>
    </row>
    <row r="711">
      <c r="A711" s="9" t="n"/>
      <c r="B711" s="9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9" t="n"/>
      <c r="N711" s="9" t="n"/>
      <c r="O711" s="10" t="n"/>
      <c r="P711" s="9" t="n"/>
      <c r="Q711" s="11">
        <f>IF(P711&lt;&gt;"",P711,IF(M711="","UNKNOWN",IF(AND(ISNUMBER(SEARCH("gas",LOWER(M711))),ISNUMBER(SEARCH("water",LOWER(M711)))),"GAS_WATER",IF(AND(ISNUMBER(SEARCH("oil",LOWER(M711))),ISNUMBER(SEARCH("water",LOWER(M711)))),"OIL_WATER",IF(ISNUMBER(SEARCH("gas",LOWER(M711))),"GAS",IF(ISNUMBER(SEARCH("water",LOWER(M711))),"WATER",IF(ISNUMBER(SEARCH("oil",LOWER(M711))),"OIL","UNKNOWN")))))))</f>
        <v/>
      </c>
      <c r="R711" s="12">
        <f>IF(C711="","",C711)</f>
        <v/>
      </c>
      <c r="S711" s="12">
        <f>IF(R711="","",R711+IF(O711&lt;&gt;"",O711,IF(H711="",0,H711)))</f>
        <v/>
      </c>
      <c r="T711" s="12">
        <f>IF(R711="","",MAX(Settings!$B$3,Settings!$B$4*IF(O711&lt;&gt;"",O711,IF(H711="",0,H711))))</f>
        <v/>
      </c>
      <c r="U711" s="11">
        <f>IF(AND(C711&lt;&gt;"",M711&lt;&gt;"",OR(H711&lt;&gt;"",O711&lt;&gt;"")),"COMPLETE",IF(OR(C711&lt;&gt;"",M711&lt;&gt;""),"PARTIAL","MISSING"))</f>
        <v/>
      </c>
      <c r="V711" s="11">
        <f>IF(Q711="UNKNOWN","Check fluid description",IF(AND(R711&lt;&gt;"",S711&lt;&gt;""),"Ready for contact screening","Needs TVD + thickness"))</f>
        <v/>
      </c>
    </row>
    <row r="712">
      <c r="A712" s="9" t="n"/>
      <c r="B712" s="9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9" t="n"/>
      <c r="N712" s="9" t="n"/>
      <c r="O712" s="10" t="n"/>
      <c r="P712" s="9" t="n"/>
      <c r="Q712" s="11">
        <f>IF(P712&lt;&gt;"",P712,IF(M712="","UNKNOWN",IF(AND(ISNUMBER(SEARCH("gas",LOWER(M712))),ISNUMBER(SEARCH("water",LOWER(M712)))),"GAS_WATER",IF(AND(ISNUMBER(SEARCH("oil",LOWER(M712))),ISNUMBER(SEARCH("water",LOWER(M712)))),"OIL_WATER",IF(ISNUMBER(SEARCH("gas",LOWER(M712))),"GAS",IF(ISNUMBER(SEARCH("water",LOWER(M712))),"WATER",IF(ISNUMBER(SEARCH("oil",LOWER(M712))),"OIL","UNKNOWN")))))))</f>
        <v/>
      </c>
      <c r="R712" s="12">
        <f>IF(C712="","",C712)</f>
        <v/>
      </c>
      <c r="S712" s="12">
        <f>IF(R712="","",R712+IF(O712&lt;&gt;"",O712,IF(H712="",0,H712)))</f>
        <v/>
      </c>
      <c r="T712" s="12">
        <f>IF(R712="","",MAX(Settings!$B$3,Settings!$B$4*IF(O712&lt;&gt;"",O712,IF(H712="",0,H712))))</f>
        <v/>
      </c>
      <c r="U712" s="11">
        <f>IF(AND(C712&lt;&gt;"",M712&lt;&gt;"",OR(H712&lt;&gt;"",O712&lt;&gt;"")),"COMPLETE",IF(OR(C712&lt;&gt;"",M712&lt;&gt;""),"PARTIAL","MISSING"))</f>
        <v/>
      </c>
      <c r="V712" s="11">
        <f>IF(Q712="UNKNOWN","Check fluid description",IF(AND(R712&lt;&gt;"",S712&lt;&gt;""),"Ready for contact screening","Needs TVD + thickness"))</f>
        <v/>
      </c>
    </row>
    <row r="713">
      <c r="A713" s="9" t="n"/>
      <c r="B713" s="9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9" t="n"/>
      <c r="N713" s="9" t="n"/>
      <c r="O713" s="10" t="n"/>
      <c r="P713" s="9" t="n"/>
      <c r="Q713" s="11">
        <f>IF(P713&lt;&gt;"",P713,IF(M713="","UNKNOWN",IF(AND(ISNUMBER(SEARCH("gas",LOWER(M713))),ISNUMBER(SEARCH("water",LOWER(M713)))),"GAS_WATER",IF(AND(ISNUMBER(SEARCH("oil",LOWER(M713))),ISNUMBER(SEARCH("water",LOWER(M713)))),"OIL_WATER",IF(ISNUMBER(SEARCH("gas",LOWER(M713))),"GAS",IF(ISNUMBER(SEARCH("water",LOWER(M713))),"WATER",IF(ISNUMBER(SEARCH("oil",LOWER(M713))),"OIL","UNKNOWN")))))))</f>
        <v/>
      </c>
      <c r="R713" s="12">
        <f>IF(C713="","",C713)</f>
        <v/>
      </c>
      <c r="S713" s="12">
        <f>IF(R713="","",R713+IF(O713&lt;&gt;"",O713,IF(H713="",0,H713)))</f>
        <v/>
      </c>
      <c r="T713" s="12">
        <f>IF(R713="","",MAX(Settings!$B$3,Settings!$B$4*IF(O713&lt;&gt;"",O713,IF(H713="",0,H713))))</f>
        <v/>
      </c>
      <c r="U713" s="11">
        <f>IF(AND(C713&lt;&gt;"",M713&lt;&gt;"",OR(H713&lt;&gt;"",O713&lt;&gt;"")),"COMPLETE",IF(OR(C713&lt;&gt;"",M713&lt;&gt;""),"PARTIAL","MISSING"))</f>
        <v/>
      </c>
      <c r="V713" s="11">
        <f>IF(Q713="UNKNOWN","Check fluid description",IF(AND(R713&lt;&gt;"",S713&lt;&gt;""),"Ready for contact screening","Needs TVD + thickness"))</f>
        <v/>
      </c>
    </row>
    <row r="714">
      <c r="A714" s="9" t="n"/>
      <c r="B714" s="9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9" t="n"/>
      <c r="N714" s="9" t="n"/>
      <c r="O714" s="10" t="n"/>
      <c r="P714" s="9" t="n"/>
      <c r="Q714" s="11">
        <f>IF(P714&lt;&gt;"",P714,IF(M714="","UNKNOWN",IF(AND(ISNUMBER(SEARCH("gas",LOWER(M714))),ISNUMBER(SEARCH("water",LOWER(M714)))),"GAS_WATER",IF(AND(ISNUMBER(SEARCH("oil",LOWER(M714))),ISNUMBER(SEARCH("water",LOWER(M714)))),"OIL_WATER",IF(ISNUMBER(SEARCH("gas",LOWER(M714))),"GAS",IF(ISNUMBER(SEARCH("water",LOWER(M714))),"WATER",IF(ISNUMBER(SEARCH("oil",LOWER(M714))),"OIL","UNKNOWN")))))))</f>
        <v/>
      </c>
      <c r="R714" s="12">
        <f>IF(C714="","",C714)</f>
        <v/>
      </c>
      <c r="S714" s="12">
        <f>IF(R714="","",R714+IF(O714&lt;&gt;"",O714,IF(H714="",0,H714)))</f>
        <v/>
      </c>
      <c r="T714" s="12">
        <f>IF(R714="","",MAX(Settings!$B$3,Settings!$B$4*IF(O714&lt;&gt;"",O714,IF(H714="",0,H714))))</f>
        <v/>
      </c>
      <c r="U714" s="11">
        <f>IF(AND(C714&lt;&gt;"",M714&lt;&gt;"",OR(H714&lt;&gt;"",O714&lt;&gt;"")),"COMPLETE",IF(OR(C714&lt;&gt;"",M714&lt;&gt;""),"PARTIAL","MISSING"))</f>
        <v/>
      </c>
      <c r="V714" s="11">
        <f>IF(Q714="UNKNOWN","Check fluid description",IF(AND(R714&lt;&gt;"",S714&lt;&gt;""),"Ready for contact screening","Needs TVD + thickness"))</f>
        <v/>
      </c>
    </row>
    <row r="715">
      <c r="A715" s="9" t="n"/>
      <c r="B715" s="9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9" t="n"/>
      <c r="N715" s="9" t="n"/>
      <c r="O715" s="10" t="n"/>
      <c r="P715" s="9" t="n"/>
      <c r="Q715" s="11">
        <f>IF(P715&lt;&gt;"",P715,IF(M715="","UNKNOWN",IF(AND(ISNUMBER(SEARCH("gas",LOWER(M715))),ISNUMBER(SEARCH("water",LOWER(M715)))),"GAS_WATER",IF(AND(ISNUMBER(SEARCH("oil",LOWER(M715))),ISNUMBER(SEARCH("water",LOWER(M715)))),"OIL_WATER",IF(ISNUMBER(SEARCH("gas",LOWER(M715))),"GAS",IF(ISNUMBER(SEARCH("water",LOWER(M715))),"WATER",IF(ISNUMBER(SEARCH("oil",LOWER(M715))),"OIL","UNKNOWN")))))))</f>
        <v/>
      </c>
      <c r="R715" s="12">
        <f>IF(C715="","",C715)</f>
        <v/>
      </c>
      <c r="S715" s="12">
        <f>IF(R715="","",R715+IF(O715&lt;&gt;"",O715,IF(H715="",0,H715)))</f>
        <v/>
      </c>
      <c r="T715" s="12">
        <f>IF(R715="","",MAX(Settings!$B$3,Settings!$B$4*IF(O715&lt;&gt;"",O715,IF(H715="",0,H715))))</f>
        <v/>
      </c>
      <c r="U715" s="11">
        <f>IF(AND(C715&lt;&gt;"",M715&lt;&gt;"",OR(H715&lt;&gt;"",O715&lt;&gt;"")),"COMPLETE",IF(OR(C715&lt;&gt;"",M715&lt;&gt;""),"PARTIAL","MISSING"))</f>
        <v/>
      </c>
      <c r="V715" s="11">
        <f>IF(Q715="UNKNOWN","Check fluid description",IF(AND(R715&lt;&gt;"",S715&lt;&gt;""),"Ready for contact screening","Needs TVD + thickness"))</f>
        <v/>
      </c>
    </row>
    <row r="716">
      <c r="A716" s="9" t="n"/>
      <c r="B716" s="9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9" t="n"/>
      <c r="N716" s="9" t="n"/>
      <c r="O716" s="10" t="n"/>
      <c r="P716" s="9" t="n"/>
      <c r="Q716" s="11">
        <f>IF(P716&lt;&gt;"",P716,IF(M716="","UNKNOWN",IF(AND(ISNUMBER(SEARCH("gas",LOWER(M716))),ISNUMBER(SEARCH("water",LOWER(M716)))),"GAS_WATER",IF(AND(ISNUMBER(SEARCH("oil",LOWER(M716))),ISNUMBER(SEARCH("water",LOWER(M716)))),"OIL_WATER",IF(ISNUMBER(SEARCH("gas",LOWER(M716))),"GAS",IF(ISNUMBER(SEARCH("water",LOWER(M716))),"WATER",IF(ISNUMBER(SEARCH("oil",LOWER(M716))),"OIL","UNKNOWN")))))))</f>
        <v/>
      </c>
      <c r="R716" s="12">
        <f>IF(C716="","",C716)</f>
        <v/>
      </c>
      <c r="S716" s="12">
        <f>IF(R716="","",R716+IF(O716&lt;&gt;"",O716,IF(H716="",0,H716)))</f>
        <v/>
      </c>
      <c r="T716" s="12">
        <f>IF(R716="","",MAX(Settings!$B$3,Settings!$B$4*IF(O716&lt;&gt;"",O716,IF(H716="",0,H716))))</f>
        <v/>
      </c>
      <c r="U716" s="11">
        <f>IF(AND(C716&lt;&gt;"",M716&lt;&gt;"",OR(H716&lt;&gt;"",O716&lt;&gt;"")),"COMPLETE",IF(OR(C716&lt;&gt;"",M716&lt;&gt;""),"PARTIAL","MISSING"))</f>
        <v/>
      </c>
      <c r="V716" s="11">
        <f>IF(Q716="UNKNOWN","Check fluid description",IF(AND(R716&lt;&gt;"",S716&lt;&gt;""),"Ready for contact screening","Needs TVD + thickness"))</f>
        <v/>
      </c>
    </row>
    <row r="717">
      <c r="A717" s="9" t="n"/>
      <c r="B717" s="9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9" t="n"/>
      <c r="N717" s="9" t="n"/>
      <c r="O717" s="10" t="n"/>
      <c r="P717" s="9" t="n"/>
      <c r="Q717" s="11">
        <f>IF(P717&lt;&gt;"",P717,IF(M717="","UNKNOWN",IF(AND(ISNUMBER(SEARCH("gas",LOWER(M717))),ISNUMBER(SEARCH("water",LOWER(M717)))),"GAS_WATER",IF(AND(ISNUMBER(SEARCH("oil",LOWER(M717))),ISNUMBER(SEARCH("water",LOWER(M717)))),"OIL_WATER",IF(ISNUMBER(SEARCH("gas",LOWER(M717))),"GAS",IF(ISNUMBER(SEARCH("water",LOWER(M717))),"WATER",IF(ISNUMBER(SEARCH("oil",LOWER(M717))),"OIL","UNKNOWN")))))))</f>
        <v/>
      </c>
      <c r="R717" s="12">
        <f>IF(C717="","",C717)</f>
        <v/>
      </c>
      <c r="S717" s="12">
        <f>IF(R717="","",R717+IF(O717&lt;&gt;"",O717,IF(H717="",0,H717)))</f>
        <v/>
      </c>
      <c r="T717" s="12">
        <f>IF(R717="","",MAX(Settings!$B$3,Settings!$B$4*IF(O717&lt;&gt;"",O717,IF(H717="",0,H717))))</f>
        <v/>
      </c>
      <c r="U717" s="11">
        <f>IF(AND(C717&lt;&gt;"",M717&lt;&gt;"",OR(H717&lt;&gt;"",O717&lt;&gt;"")),"COMPLETE",IF(OR(C717&lt;&gt;"",M717&lt;&gt;""),"PARTIAL","MISSING"))</f>
        <v/>
      </c>
      <c r="V717" s="11">
        <f>IF(Q717="UNKNOWN","Check fluid description",IF(AND(R717&lt;&gt;"",S717&lt;&gt;""),"Ready for contact screening","Needs TVD + thickness"))</f>
        <v/>
      </c>
    </row>
    <row r="718">
      <c r="A718" s="9" t="n"/>
      <c r="B718" s="9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9" t="n"/>
      <c r="N718" s="9" t="n"/>
      <c r="O718" s="10" t="n"/>
      <c r="P718" s="9" t="n"/>
      <c r="Q718" s="11">
        <f>IF(P718&lt;&gt;"",P718,IF(M718="","UNKNOWN",IF(AND(ISNUMBER(SEARCH("gas",LOWER(M718))),ISNUMBER(SEARCH("water",LOWER(M718)))),"GAS_WATER",IF(AND(ISNUMBER(SEARCH("oil",LOWER(M718))),ISNUMBER(SEARCH("water",LOWER(M718)))),"OIL_WATER",IF(ISNUMBER(SEARCH("gas",LOWER(M718))),"GAS",IF(ISNUMBER(SEARCH("water",LOWER(M718))),"WATER",IF(ISNUMBER(SEARCH("oil",LOWER(M718))),"OIL","UNKNOWN")))))))</f>
        <v/>
      </c>
      <c r="R718" s="12">
        <f>IF(C718="","",C718)</f>
        <v/>
      </c>
      <c r="S718" s="12">
        <f>IF(R718="","",R718+IF(O718&lt;&gt;"",O718,IF(H718="",0,H718)))</f>
        <v/>
      </c>
      <c r="T718" s="12">
        <f>IF(R718="","",MAX(Settings!$B$3,Settings!$B$4*IF(O718&lt;&gt;"",O718,IF(H718="",0,H718))))</f>
        <v/>
      </c>
      <c r="U718" s="11">
        <f>IF(AND(C718&lt;&gt;"",M718&lt;&gt;"",OR(H718&lt;&gt;"",O718&lt;&gt;"")),"COMPLETE",IF(OR(C718&lt;&gt;"",M718&lt;&gt;""),"PARTIAL","MISSING"))</f>
        <v/>
      </c>
      <c r="V718" s="11">
        <f>IF(Q718="UNKNOWN","Check fluid description",IF(AND(R718&lt;&gt;"",S718&lt;&gt;""),"Ready for contact screening","Needs TVD + thickness"))</f>
        <v/>
      </c>
    </row>
    <row r="719">
      <c r="A719" s="9" t="n"/>
      <c r="B719" s="9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9" t="n"/>
      <c r="N719" s="9" t="n"/>
      <c r="O719" s="10" t="n"/>
      <c r="P719" s="9" t="n"/>
      <c r="Q719" s="11">
        <f>IF(P719&lt;&gt;"",P719,IF(M719="","UNKNOWN",IF(AND(ISNUMBER(SEARCH("gas",LOWER(M719))),ISNUMBER(SEARCH("water",LOWER(M719)))),"GAS_WATER",IF(AND(ISNUMBER(SEARCH("oil",LOWER(M719))),ISNUMBER(SEARCH("water",LOWER(M719)))),"OIL_WATER",IF(ISNUMBER(SEARCH("gas",LOWER(M719))),"GAS",IF(ISNUMBER(SEARCH("water",LOWER(M719))),"WATER",IF(ISNUMBER(SEARCH("oil",LOWER(M719))),"OIL","UNKNOWN")))))))</f>
        <v/>
      </c>
      <c r="R719" s="12">
        <f>IF(C719="","",C719)</f>
        <v/>
      </c>
      <c r="S719" s="12">
        <f>IF(R719="","",R719+IF(O719&lt;&gt;"",O719,IF(H719="",0,H719)))</f>
        <v/>
      </c>
      <c r="T719" s="12">
        <f>IF(R719="","",MAX(Settings!$B$3,Settings!$B$4*IF(O719&lt;&gt;"",O719,IF(H719="",0,H719))))</f>
        <v/>
      </c>
      <c r="U719" s="11">
        <f>IF(AND(C719&lt;&gt;"",M719&lt;&gt;"",OR(H719&lt;&gt;"",O719&lt;&gt;"")),"COMPLETE",IF(OR(C719&lt;&gt;"",M719&lt;&gt;""),"PARTIAL","MISSING"))</f>
        <v/>
      </c>
      <c r="V719" s="11">
        <f>IF(Q719="UNKNOWN","Check fluid description",IF(AND(R719&lt;&gt;"",S719&lt;&gt;""),"Ready for contact screening","Needs TVD + thickness"))</f>
        <v/>
      </c>
    </row>
    <row r="720">
      <c r="A720" s="9" t="n"/>
      <c r="B720" s="9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9" t="n"/>
      <c r="N720" s="9" t="n"/>
      <c r="O720" s="10" t="n"/>
      <c r="P720" s="9" t="n"/>
      <c r="Q720" s="11">
        <f>IF(P720&lt;&gt;"",P720,IF(M720="","UNKNOWN",IF(AND(ISNUMBER(SEARCH("gas",LOWER(M720))),ISNUMBER(SEARCH("water",LOWER(M720)))),"GAS_WATER",IF(AND(ISNUMBER(SEARCH("oil",LOWER(M720))),ISNUMBER(SEARCH("water",LOWER(M720)))),"OIL_WATER",IF(ISNUMBER(SEARCH("gas",LOWER(M720))),"GAS",IF(ISNUMBER(SEARCH("water",LOWER(M720))),"WATER",IF(ISNUMBER(SEARCH("oil",LOWER(M720))),"OIL","UNKNOWN")))))))</f>
        <v/>
      </c>
      <c r="R720" s="12">
        <f>IF(C720="","",C720)</f>
        <v/>
      </c>
      <c r="S720" s="12">
        <f>IF(R720="","",R720+IF(O720&lt;&gt;"",O720,IF(H720="",0,H720)))</f>
        <v/>
      </c>
      <c r="T720" s="12">
        <f>IF(R720="","",MAX(Settings!$B$3,Settings!$B$4*IF(O720&lt;&gt;"",O720,IF(H720="",0,H720))))</f>
        <v/>
      </c>
      <c r="U720" s="11">
        <f>IF(AND(C720&lt;&gt;"",M720&lt;&gt;"",OR(H720&lt;&gt;"",O720&lt;&gt;"")),"COMPLETE",IF(OR(C720&lt;&gt;"",M720&lt;&gt;""),"PARTIAL","MISSING"))</f>
        <v/>
      </c>
      <c r="V720" s="11">
        <f>IF(Q720="UNKNOWN","Check fluid description",IF(AND(R720&lt;&gt;"",S720&lt;&gt;""),"Ready for contact screening","Needs TVD + thickness"))</f>
        <v/>
      </c>
    </row>
    <row r="721">
      <c r="A721" s="9" t="n"/>
      <c r="B721" s="9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9" t="n"/>
      <c r="N721" s="9" t="n"/>
      <c r="O721" s="10" t="n"/>
      <c r="P721" s="9" t="n"/>
      <c r="Q721" s="11">
        <f>IF(P721&lt;&gt;"",P721,IF(M721="","UNKNOWN",IF(AND(ISNUMBER(SEARCH("gas",LOWER(M721))),ISNUMBER(SEARCH("water",LOWER(M721)))),"GAS_WATER",IF(AND(ISNUMBER(SEARCH("oil",LOWER(M721))),ISNUMBER(SEARCH("water",LOWER(M721)))),"OIL_WATER",IF(ISNUMBER(SEARCH("gas",LOWER(M721))),"GAS",IF(ISNUMBER(SEARCH("water",LOWER(M721))),"WATER",IF(ISNUMBER(SEARCH("oil",LOWER(M721))),"OIL","UNKNOWN")))))))</f>
        <v/>
      </c>
      <c r="R721" s="12">
        <f>IF(C721="","",C721)</f>
        <v/>
      </c>
      <c r="S721" s="12">
        <f>IF(R721="","",R721+IF(O721&lt;&gt;"",O721,IF(H721="",0,H721)))</f>
        <v/>
      </c>
      <c r="T721" s="12">
        <f>IF(R721="","",MAX(Settings!$B$3,Settings!$B$4*IF(O721&lt;&gt;"",O721,IF(H721="",0,H721))))</f>
        <v/>
      </c>
      <c r="U721" s="11">
        <f>IF(AND(C721&lt;&gt;"",M721&lt;&gt;"",OR(H721&lt;&gt;"",O721&lt;&gt;"")),"COMPLETE",IF(OR(C721&lt;&gt;"",M721&lt;&gt;""),"PARTIAL","MISSING"))</f>
        <v/>
      </c>
      <c r="V721" s="11">
        <f>IF(Q721="UNKNOWN","Check fluid description",IF(AND(R721&lt;&gt;"",S721&lt;&gt;""),"Ready for contact screening","Needs TVD + thickness"))</f>
        <v/>
      </c>
    </row>
    <row r="722">
      <c r="A722" s="9" t="n"/>
      <c r="B722" s="9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9" t="n"/>
      <c r="N722" s="9" t="n"/>
      <c r="O722" s="10" t="n"/>
      <c r="P722" s="9" t="n"/>
      <c r="Q722" s="11">
        <f>IF(P722&lt;&gt;"",P722,IF(M722="","UNKNOWN",IF(AND(ISNUMBER(SEARCH("gas",LOWER(M722))),ISNUMBER(SEARCH("water",LOWER(M722)))),"GAS_WATER",IF(AND(ISNUMBER(SEARCH("oil",LOWER(M722))),ISNUMBER(SEARCH("water",LOWER(M722)))),"OIL_WATER",IF(ISNUMBER(SEARCH("gas",LOWER(M722))),"GAS",IF(ISNUMBER(SEARCH("water",LOWER(M722))),"WATER",IF(ISNUMBER(SEARCH("oil",LOWER(M722))),"OIL","UNKNOWN")))))))</f>
        <v/>
      </c>
      <c r="R722" s="12">
        <f>IF(C722="","",C722)</f>
        <v/>
      </c>
      <c r="S722" s="12">
        <f>IF(R722="","",R722+IF(O722&lt;&gt;"",O722,IF(H722="",0,H722)))</f>
        <v/>
      </c>
      <c r="T722" s="12">
        <f>IF(R722="","",MAX(Settings!$B$3,Settings!$B$4*IF(O722&lt;&gt;"",O722,IF(H722="",0,H722))))</f>
        <v/>
      </c>
      <c r="U722" s="11">
        <f>IF(AND(C722&lt;&gt;"",M722&lt;&gt;"",OR(H722&lt;&gt;"",O722&lt;&gt;"")),"COMPLETE",IF(OR(C722&lt;&gt;"",M722&lt;&gt;""),"PARTIAL","MISSING"))</f>
        <v/>
      </c>
      <c r="V722" s="11">
        <f>IF(Q722="UNKNOWN","Check fluid description",IF(AND(R722&lt;&gt;"",S722&lt;&gt;""),"Ready for contact screening","Needs TVD + thickness"))</f>
        <v/>
      </c>
    </row>
    <row r="723">
      <c r="A723" s="9" t="n"/>
      <c r="B723" s="9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9" t="n"/>
      <c r="N723" s="9" t="n"/>
      <c r="O723" s="10" t="n"/>
      <c r="P723" s="9" t="n"/>
      <c r="Q723" s="11">
        <f>IF(P723&lt;&gt;"",P723,IF(M723="","UNKNOWN",IF(AND(ISNUMBER(SEARCH("gas",LOWER(M723))),ISNUMBER(SEARCH("water",LOWER(M723)))),"GAS_WATER",IF(AND(ISNUMBER(SEARCH("oil",LOWER(M723))),ISNUMBER(SEARCH("water",LOWER(M723)))),"OIL_WATER",IF(ISNUMBER(SEARCH("gas",LOWER(M723))),"GAS",IF(ISNUMBER(SEARCH("water",LOWER(M723))),"WATER",IF(ISNUMBER(SEARCH("oil",LOWER(M723))),"OIL","UNKNOWN")))))))</f>
        <v/>
      </c>
      <c r="R723" s="12">
        <f>IF(C723="","",C723)</f>
        <v/>
      </c>
      <c r="S723" s="12">
        <f>IF(R723="","",R723+IF(O723&lt;&gt;"",O723,IF(H723="",0,H723)))</f>
        <v/>
      </c>
      <c r="T723" s="12">
        <f>IF(R723="","",MAX(Settings!$B$3,Settings!$B$4*IF(O723&lt;&gt;"",O723,IF(H723="",0,H723))))</f>
        <v/>
      </c>
      <c r="U723" s="11">
        <f>IF(AND(C723&lt;&gt;"",M723&lt;&gt;"",OR(H723&lt;&gt;"",O723&lt;&gt;"")),"COMPLETE",IF(OR(C723&lt;&gt;"",M723&lt;&gt;""),"PARTIAL","MISSING"))</f>
        <v/>
      </c>
      <c r="V723" s="11">
        <f>IF(Q723="UNKNOWN","Check fluid description",IF(AND(R723&lt;&gt;"",S723&lt;&gt;""),"Ready for contact screening","Needs TVD + thickness"))</f>
        <v/>
      </c>
    </row>
    <row r="724">
      <c r="A724" s="9" t="n"/>
      <c r="B724" s="9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9" t="n"/>
      <c r="N724" s="9" t="n"/>
      <c r="O724" s="10" t="n"/>
      <c r="P724" s="9" t="n"/>
      <c r="Q724" s="11">
        <f>IF(P724&lt;&gt;"",P724,IF(M724="","UNKNOWN",IF(AND(ISNUMBER(SEARCH("gas",LOWER(M724))),ISNUMBER(SEARCH("water",LOWER(M724)))),"GAS_WATER",IF(AND(ISNUMBER(SEARCH("oil",LOWER(M724))),ISNUMBER(SEARCH("water",LOWER(M724)))),"OIL_WATER",IF(ISNUMBER(SEARCH("gas",LOWER(M724))),"GAS",IF(ISNUMBER(SEARCH("water",LOWER(M724))),"WATER",IF(ISNUMBER(SEARCH("oil",LOWER(M724))),"OIL","UNKNOWN")))))))</f>
        <v/>
      </c>
      <c r="R724" s="12">
        <f>IF(C724="","",C724)</f>
        <v/>
      </c>
      <c r="S724" s="12">
        <f>IF(R724="","",R724+IF(O724&lt;&gt;"",O724,IF(H724="",0,H724)))</f>
        <v/>
      </c>
      <c r="T724" s="12">
        <f>IF(R724="","",MAX(Settings!$B$3,Settings!$B$4*IF(O724&lt;&gt;"",O724,IF(H724="",0,H724))))</f>
        <v/>
      </c>
      <c r="U724" s="11">
        <f>IF(AND(C724&lt;&gt;"",M724&lt;&gt;"",OR(H724&lt;&gt;"",O724&lt;&gt;"")),"COMPLETE",IF(OR(C724&lt;&gt;"",M724&lt;&gt;""),"PARTIAL","MISSING"))</f>
        <v/>
      </c>
      <c r="V724" s="11">
        <f>IF(Q724="UNKNOWN","Check fluid description",IF(AND(R724&lt;&gt;"",S724&lt;&gt;""),"Ready for contact screening","Needs TVD + thickness"))</f>
        <v/>
      </c>
    </row>
    <row r="725">
      <c r="A725" s="9" t="n"/>
      <c r="B725" s="9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9" t="n"/>
      <c r="N725" s="9" t="n"/>
      <c r="O725" s="10" t="n"/>
      <c r="P725" s="9" t="n"/>
      <c r="Q725" s="11">
        <f>IF(P725&lt;&gt;"",P725,IF(M725="","UNKNOWN",IF(AND(ISNUMBER(SEARCH("gas",LOWER(M725))),ISNUMBER(SEARCH("water",LOWER(M725)))),"GAS_WATER",IF(AND(ISNUMBER(SEARCH("oil",LOWER(M725))),ISNUMBER(SEARCH("water",LOWER(M725)))),"OIL_WATER",IF(ISNUMBER(SEARCH("gas",LOWER(M725))),"GAS",IF(ISNUMBER(SEARCH("water",LOWER(M725))),"WATER",IF(ISNUMBER(SEARCH("oil",LOWER(M725))),"OIL","UNKNOWN")))))))</f>
        <v/>
      </c>
      <c r="R725" s="12">
        <f>IF(C725="","",C725)</f>
        <v/>
      </c>
      <c r="S725" s="12">
        <f>IF(R725="","",R725+IF(O725&lt;&gt;"",O725,IF(H725="",0,H725)))</f>
        <v/>
      </c>
      <c r="T725" s="12">
        <f>IF(R725="","",MAX(Settings!$B$3,Settings!$B$4*IF(O725&lt;&gt;"",O725,IF(H725="",0,H725))))</f>
        <v/>
      </c>
      <c r="U725" s="11">
        <f>IF(AND(C725&lt;&gt;"",M725&lt;&gt;"",OR(H725&lt;&gt;"",O725&lt;&gt;"")),"COMPLETE",IF(OR(C725&lt;&gt;"",M725&lt;&gt;""),"PARTIAL","MISSING"))</f>
        <v/>
      </c>
      <c r="V725" s="11">
        <f>IF(Q725="UNKNOWN","Check fluid description",IF(AND(R725&lt;&gt;"",S725&lt;&gt;""),"Ready for contact screening","Needs TVD + thickness"))</f>
        <v/>
      </c>
    </row>
    <row r="726">
      <c r="A726" s="9" t="n"/>
      <c r="B726" s="9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9" t="n"/>
      <c r="N726" s="9" t="n"/>
      <c r="O726" s="10" t="n"/>
      <c r="P726" s="9" t="n"/>
      <c r="Q726" s="11">
        <f>IF(P726&lt;&gt;"",P726,IF(M726="","UNKNOWN",IF(AND(ISNUMBER(SEARCH("gas",LOWER(M726))),ISNUMBER(SEARCH("water",LOWER(M726)))),"GAS_WATER",IF(AND(ISNUMBER(SEARCH("oil",LOWER(M726))),ISNUMBER(SEARCH("water",LOWER(M726)))),"OIL_WATER",IF(ISNUMBER(SEARCH("gas",LOWER(M726))),"GAS",IF(ISNUMBER(SEARCH("water",LOWER(M726))),"WATER",IF(ISNUMBER(SEARCH("oil",LOWER(M726))),"OIL","UNKNOWN")))))))</f>
        <v/>
      </c>
      <c r="R726" s="12">
        <f>IF(C726="","",C726)</f>
        <v/>
      </c>
      <c r="S726" s="12">
        <f>IF(R726="","",R726+IF(O726&lt;&gt;"",O726,IF(H726="",0,H726)))</f>
        <v/>
      </c>
      <c r="T726" s="12">
        <f>IF(R726="","",MAX(Settings!$B$3,Settings!$B$4*IF(O726&lt;&gt;"",O726,IF(H726="",0,H726))))</f>
        <v/>
      </c>
      <c r="U726" s="11">
        <f>IF(AND(C726&lt;&gt;"",M726&lt;&gt;"",OR(H726&lt;&gt;"",O726&lt;&gt;"")),"COMPLETE",IF(OR(C726&lt;&gt;"",M726&lt;&gt;""),"PARTIAL","MISSING"))</f>
        <v/>
      </c>
      <c r="V726" s="11">
        <f>IF(Q726="UNKNOWN","Check fluid description",IF(AND(R726&lt;&gt;"",S726&lt;&gt;""),"Ready for contact screening","Needs TVD + thickness"))</f>
        <v/>
      </c>
    </row>
    <row r="727">
      <c r="A727" s="9" t="n"/>
      <c r="B727" s="9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9" t="n"/>
      <c r="N727" s="9" t="n"/>
      <c r="O727" s="10" t="n"/>
      <c r="P727" s="9" t="n"/>
      <c r="Q727" s="11">
        <f>IF(P727&lt;&gt;"",P727,IF(M727="","UNKNOWN",IF(AND(ISNUMBER(SEARCH("gas",LOWER(M727))),ISNUMBER(SEARCH("water",LOWER(M727)))),"GAS_WATER",IF(AND(ISNUMBER(SEARCH("oil",LOWER(M727))),ISNUMBER(SEARCH("water",LOWER(M727)))),"OIL_WATER",IF(ISNUMBER(SEARCH("gas",LOWER(M727))),"GAS",IF(ISNUMBER(SEARCH("water",LOWER(M727))),"WATER",IF(ISNUMBER(SEARCH("oil",LOWER(M727))),"OIL","UNKNOWN")))))))</f>
        <v/>
      </c>
      <c r="R727" s="12">
        <f>IF(C727="","",C727)</f>
        <v/>
      </c>
      <c r="S727" s="12">
        <f>IF(R727="","",R727+IF(O727&lt;&gt;"",O727,IF(H727="",0,H727)))</f>
        <v/>
      </c>
      <c r="T727" s="12">
        <f>IF(R727="","",MAX(Settings!$B$3,Settings!$B$4*IF(O727&lt;&gt;"",O727,IF(H727="",0,H727))))</f>
        <v/>
      </c>
      <c r="U727" s="11">
        <f>IF(AND(C727&lt;&gt;"",M727&lt;&gt;"",OR(H727&lt;&gt;"",O727&lt;&gt;"")),"COMPLETE",IF(OR(C727&lt;&gt;"",M727&lt;&gt;""),"PARTIAL","MISSING"))</f>
        <v/>
      </c>
      <c r="V727" s="11">
        <f>IF(Q727="UNKNOWN","Check fluid description",IF(AND(R727&lt;&gt;"",S727&lt;&gt;""),"Ready for contact screening","Needs TVD + thickness"))</f>
        <v/>
      </c>
    </row>
    <row r="728">
      <c r="A728" s="9" t="n"/>
      <c r="B728" s="9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9" t="n"/>
      <c r="N728" s="9" t="n"/>
      <c r="O728" s="10" t="n"/>
      <c r="P728" s="9" t="n"/>
      <c r="Q728" s="11">
        <f>IF(P728&lt;&gt;"",P728,IF(M728="","UNKNOWN",IF(AND(ISNUMBER(SEARCH("gas",LOWER(M728))),ISNUMBER(SEARCH("water",LOWER(M728)))),"GAS_WATER",IF(AND(ISNUMBER(SEARCH("oil",LOWER(M728))),ISNUMBER(SEARCH("water",LOWER(M728)))),"OIL_WATER",IF(ISNUMBER(SEARCH("gas",LOWER(M728))),"GAS",IF(ISNUMBER(SEARCH("water",LOWER(M728))),"WATER",IF(ISNUMBER(SEARCH("oil",LOWER(M728))),"OIL","UNKNOWN")))))))</f>
        <v/>
      </c>
      <c r="R728" s="12">
        <f>IF(C728="","",C728)</f>
        <v/>
      </c>
      <c r="S728" s="12">
        <f>IF(R728="","",R728+IF(O728&lt;&gt;"",O728,IF(H728="",0,H728)))</f>
        <v/>
      </c>
      <c r="T728" s="12">
        <f>IF(R728="","",MAX(Settings!$B$3,Settings!$B$4*IF(O728&lt;&gt;"",O728,IF(H728="",0,H728))))</f>
        <v/>
      </c>
      <c r="U728" s="11">
        <f>IF(AND(C728&lt;&gt;"",M728&lt;&gt;"",OR(H728&lt;&gt;"",O728&lt;&gt;"")),"COMPLETE",IF(OR(C728&lt;&gt;"",M728&lt;&gt;""),"PARTIAL","MISSING"))</f>
        <v/>
      </c>
      <c r="V728" s="11">
        <f>IF(Q728="UNKNOWN","Check fluid description",IF(AND(R728&lt;&gt;"",S728&lt;&gt;""),"Ready for contact screening","Needs TVD + thickness"))</f>
        <v/>
      </c>
    </row>
    <row r="729">
      <c r="A729" s="9" t="n"/>
      <c r="B729" s="9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9" t="n"/>
      <c r="N729" s="9" t="n"/>
      <c r="O729" s="10" t="n"/>
      <c r="P729" s="9" t="n"/>
      <c r="Q729" s="11">
        <f>IF(P729&lt;&gt;"",P729,IF(M729="","UNKNOWN",IF(AND(ISNUMBER(SEARCH("gas",LOWER(M729))),ISNUMBER(SEARCH("water",LOWER(M729)))),"GAS_WATER",IF(AND(ISNUMBER(SEARCH("oil",LOWER(M729))),ISNUMBER(SEARCH("water",LOWER(M729)))),"OIL_WATER",IF(ISNUMBER(SEARCH("gas",LOWER(M729))),"GAS",IF(ISNUMBER(SEARCH("water",LOWER(M729))),"WATER",IF(ISNUMBER(SEARCH("oil",LOWER(M729))),"OIL","UNKNOWN")))))))</f>
        <v/>
      </c>
      <c r="R729" s="12">
        <f>IF(C729="","",C729)</f>
        <v/>
      </c>
      <c r="S729" s="12">
        <f>IF(R729="","",R729+IF(O729&lt;&gt;"",O729,IF(H729="",0,H729)))</f>
        <v/>
      </c>
      <c r="T729" s="12">
        <f>IF(R729="","",MAX(Settings!$B$3,Settings!$B$4*IF(O729&lt;&gt;"",O729,IF(H729="",0,H729))))</f>
        <v/>
      </c>
      <c r="U729" s="11">
        <f>IF(AND(C729&lt;&gt;"",M729&lt;&gt;"",OR(H729&lt;&gt;"",O729&lt;&gt;"")),"COMPLETE",IF(OR(C729&lt;&gt;"",M729&lt;&gt;""),"PARTIAL","MISSING"))</f>
        <v/>
      </c>
      <c r="V729" s="11">
        <f>IF(Q729="UNKNOWN","Check fluid description",IF(AND(R729&lt;&gt;"",S729&lt;&gt;""),"Ready for contact screening","Needs TVD + thickness"))</f>
        <v/>
      </c>
    </row>
    <row r="730">
      <c r="A730" s="9" t="n"/>
      <c r="B730" s="9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9" t="n"/>
      <c r="N730" s="9" t="n"/>
      <c r="O730" s="10" t="n"/>
      <c r="P730" s="9" t="n"/>
      <c r="Q730" s="11">
        <f>IF(P730&lt;&gt;"",P730,IF(M730="","UNKNOWN",IF(AND(ISNUMBER(SEARCH("gas",LOWER(M730))),ISNUMBER(SEARCH("water",LOWER(M730)))),"GAS_WATER",IF(AND(ISNUMBER(SEARCH("oil",LOWER(M730))),ISNUMBER(SEARCH("water",LOWER(M730)))),"OIL_WATER",IF(ISNUMBER(SEARCH("gas",LOWER(M730))),"GAS",IF(ISNUMBER(SEARCH("water",LOWER(M730))),"WATER",IF(ISNUMBER(SEARCH("oil",LOWER(M730))),"OIL","UNKNOWN")))))))</f>
        <v/>
      </c>
      <c r="R730" s="12">
        <f>IF(C730="","",C730)</f>
        <v/>
      </c>
      <c r="S730" s="12">
        <f>IF(R730="","",R730+IF(O730&lt;&gt;"",O730,IF(H730="",0,H730)))</f>
        <v/>
      </c>
      <c r="T730" s="12">
        <f>IF(R730="","",MAX(Settings!$B$3,Settings!$B$4*IF(O730&lt;&gt;"",O730,IF(H730="",0,H730))))</f>
        <v/>
      </c>
      <c r="U730" s="11">
        <f>IF(AND(C730&lt;&gt;"",M730&lt;&gt;"",OR(H730&lt;&gt;"",O730&lt;&gt;"")),"COMPLETE",IF(OR(C730&lt;&gt;"",M730&lt;&gt;""),"PARTIAL","MISSING"))</f>
        <v/>
      </c>
      <c r="V730" s="11">
        <f>IF(Q730="UNKNOWN","Check fluid description",IF(AND(R730&lt;&gt;"",S730&lt;&gt;""),"Ready for contact screening","Needs TVD + thickness"))</f>
        <v/>
      </c>
    </row>
    <row r="731">
      <c r="A731" s="9" t="n"/>
      <c r="B731" s="9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9" t="n"/>
      <c r="N731" s="9" t="n"/>
      <c r="O731" s="10" t="n"/>
      <c r="P731" s="9" t="n"/>
      <c r="Q731" s="11">
        <f>IF(P731&lt;&gt;"",P731,IF(M731="","UNKNOWN",IF(AND(ISNUMBER(SEARCH("gas",LOWER(M731))),ISNUMBER(SEARCH("water",LOWER(M731)))),"GAS_WATER",IF(AND(ISNUMBER(SEARCH("oil",LOWER(M731))),ISNUMBER(SEARCH("water",LOWER(M731)))),"OIL_WATER",IF(ISNUMBER(SEARCH("gas",LOWER(M731))),"GAS",IF(ISNUMBER(SEARCH("water",LOWER(M731))),"WATER",IF(ISNUMBER(SEARCH("oil",LOWER(M731))),"OIL","UNKNOWN")))))))</f>
        <v/>
      </c>
      <c r="R731" s="12">
        <f>IF(C731="","",C731)</f>
        <v/>
      </c>
      <c r="S731" s="12">
        <f>IF(R731="","",R731+IF(O731&lt;&gt;"",O731,IF(H731="",0,H731)))</f>
        <v/>
      </c>
      <c r="T731" s="12">
        <f>IF(R731="","",MAX(Settings!$B$3,Settings!$B$4*IF(O731&lt;&gt;"",O731,IF(H731="",0,H731))))</f>
        <v/>
      </c>
      <c r="U731" s="11">
        <f>IF(AND(C731&lt;&gt;"",M731&lt;&gt;"",OR(H731&lt;&gt;"",O731&lt;&gt;"")),"COMPLETE",IF(OR(C731&lt;&gt;"",M731&lt;&gt;""),"PARTIAL","MISSING"))</f>
        <v/>
      </c>
      <c r="V731" s="11">
        <f>IF(Q731="UNKNOWN","Check fluid description",IF(AND(R731&lt;&gt;"",S731&lt;&gt;""),"Ready for contact screening","Needs TVD + thickness"))</f>
        <v/>
      </c>
    </row>
    <row r="732">
      <c r="A732" s="9" t="n"/>
      <c r="B732" s="9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9" t="n"/>
      <c r="N732" s="9" t="n"/>
      <c r="O732" s="10" t="n"/>
      <c r="P732" s="9" t="n"/>
      <c r="Q732" s="11">
        <f>IF(P732&lt;&gt;"",P732,IF(M732="","UNKNOWN",IF(AND(ISNUMBER(SEARCH("gas",LOWER(M732))),ISNUMBER(SEARCH("water",LOWER(M732)))),"GAS_WATER",IF(AND(ISNUMBER(SEARCH("oil",LOWER(M732))),ISNUMBER(SEARCH("water",LOWER(M732)))),"OIL_WATER",IF(ISNUMBER(SEARCH("gas",LOWER(M732))),"GAS",IF(ISNUMBER(SEARCH("water",LOWER(M732))),"WATER",IF(ISNUMBER(SEARCH("oil",LOWER(M732))),"OIL","UNKNOWN")))))))</f>
        <v/>
      </c>
      <c r="R732" s="12">
        <f>IF(C732="","",C732)</f>
        <v/>
      </c>
      <c r="S732" s="12">
        <f>IF(R732="","",R732+IF(O732&lt;&gt;"",O732,IF(H732="",0,H732)))</f>
        <v/>
      </c>
      <c r="T732" s="12">
        <f>IF(R732="","",MAX(Settings!$B$3,Settings!$B$4*IF(O732&lt;&gt;"",O732,IF(H732="",0,H732))))</f>
        <v/>
      </c>
      <c r="U732" s="11">
        <f>IF(AND(C732&lt;&gt;"",M732&lt;&gt;"",OR(H732&lt;&gt;"",O732&lt;&gt;"")),"COMPLETE",IF(OR(C732&lt;&gt;"",M732&lt;&gt;""),"PARTIAL","MISSING"))</f>
        <v/>
      </c>
      <c r="V732" s="11">
        <f>IF(Q732="UNKNOWN","Check fluid description",IF(AND(R732&lt;&gt;"",S732&lt;&gt;""),"Ready for contact screening","Needs TVD + thickness"))</f>
        <v/>
      </c>
    </row>
    <row r="733">
      <c r="A733" s="9" t="n"/>
      <c r="B733" s="9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9" t="n"/>
      <c r="N733" s="9" t="n"/>
      <c r="O733" s="10" t="n"/>
      <c r="P733" s="9" t="n"/>
      <c r="Q733" s="11">
        <f>IF(P733&lt;&gt;"",P733,IF(M733="","UNKNOWN",IF(AND(ISNUMBER(SEARCH("gas",LOWER(M733))),ISNUMBER(SEARCH("water",LOWER(M733)))),"GAS_WATER",IF(AND(ISNUMBER(SEARCH("oil",LOWER(M733))),ISNUMBER(SEARCH("water",LOWER(M733)))),"OIL_WATER",IF(ISNUMBER(SEARCH("gas",LOWER(M733))),"GAS",IF(ISNUMBER(SEARCH("water",LOWER(M733))),"WATER",IF(ISNUMBER(SEARCH("oil",LOWER(M733))),"OIL","UNKNOWN")))))))</f>
        <v/>
      </c>
      <c r="R733" s="12">
        <f>IF(C733="","",C733)</f>
        <v/>
      </c>
      <c r="S733" s="12">
        <f>IF(R733="","",R733+IF(O733&lt;&gt;"",O733,IF(H733="",0,H733)))</f>
        <v/>
      </c>
      <c r="T733" s="12">
        <f>IF(R733="","",MAX(Settings!$B$3,Settings!$B$4*IF(O733&lt;&gt;"",O733,IF(H733="",0,H733))))</f>
        <v/>
      </c>
      <c r="U733" s="11">
        <f>IF(AND(C733&lt;&gt;"",M733&lt;&gt;"",OR(H733&lt;&gt;"",O733&lt;&gt;"")),"COMPLETE",IF(OR(C733&lt;&gt;"",M733&lt;&gt;""),"PARTIAL","MISSING"))</f>
        <v/>
      </c>
      <c r="V733" s="11">
        <f>IF(Q733="UNKNOWN","Check fluid description",IF(AND(R733&lt;&gt;"",S733&lt;&gt;""),"Ready for contact screening","Needs TVD + thickness"))</f>
        <v/>
      </c>
    </row>
    <row r="734">
      <c r="A734" s="9" t="n"/>
      <c r="B734" s="9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9" t="n"/>
      <c r="N734" s="9" t="n"/>
      <c r="O734" s="10" t="n"/>
      <c r="P734" s="9" t="n"/>
      <c r="Q734" s="11">
        <f>IF(P734&lt;&gt;"",P734,IF(M734="","UNKNOWN",IF(AND(ISNUMBER(SEARCH("gas",LOWER(M734))),ISNUMBER(SEARCH("water",LOWER(M734)))),"GAS_WATER",IF(AND(ISNUMBER(SEARCH("oil",LOWER(M734))),ISNUMBER(SEARCH("water",LOWER(M734)))),"OIL_WATER",IF(ISNUMBER(SEARCH("gas",LOWER(M734))),"GAS",IF(ISNUMBER(SEARCH("water",LOWER(M734))),"WATER",IF(ISNUMBER(SEARCH("oil",LOWER(M734))),"OIL","UNKNOWN")))))))</f>
        <v/>
      </c>
      <c r="R734" s="12">
        <f>IF(C734="","",C734)</f>
        <v/>
      </c>
      <c r="S734" s="12">
        <f>IF(R734="","",R734+IF(O734&lt;&gt;"",O734,IF(H734="",0,H734)))</f>
        <v/>
      </c>
      <c r="T734" s="12">
        <f>IF(R734="","",MAX(Settings!$B$3,Settings!$B$4*IF(O734&lt;&gt;"",O734,IF(H734="",0,H734))))</f>
        <v/>
      </c>
      <c r="U734" s="11">
        <f>IF(AND(C734&lt;&gt;"",M734&lt;&gt;"",OR(H734&lt;&gt;"",O734&lt;&gt;"")),"COMPLETE",IF(OR(C734&lt;&gt;"",M734&lt;&gt;""),"PARTIAL","MISSING"))</f>
        <v/>
      </c>
      <c r="V734" s="11">
        <f>IF(Q734="UNKNOWN","Check fluid description",IF(AND(R734&lt;&gt;"",S734&lt;&gt;""),"Ready for contact screening","Needs TVD + thickness"))</f>
        <v/>
      </c>
    </row>
    <row r="735">
      <c r="A735" s="9" t="n"/>
      <c r="B735" s="9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9" t="n"/>
      <c r="N735" s="9" t="n"/>
      <c r="O735" s="10" t="n"/>
      <c r="P735" s="9" t="n"/>
      <c r="Q735" s="11">
        <f>IF(P735&lt;&gt;"",P735,IF(M735="","UNKNOWN",IF(AND(ISNUMBER(SEARCH("gas",LOWER(M735))),ISNUMBER(SEARCH("water",LOWER(M735)))),"GAS_WATER",IF(AND(ISNUMBER(SEARCH("oil",LOWER(M735))),ISNUMBER(SEARCH("water",LOWER(M735)))),"OIL_WATER",IF(ISNUMBER(SEARCH("gas",LOWER(M735))),"GAS",IF(ISNUMBER(SEARCH("water",LOWER(M735))),"WATER",IF(ISNUMBER(SEARCH("oil",LOWER(M735))),"OIL","UNKNOWN")))))))</f>
        <v/>
      </c>
      <c r="R735" s="12">
        <f>IF(C735="","",C735)</f>
        <v/>
      </c>
      <c r="S735" s="12">
        <f>IF(R735="","",R735+IF(O735&lt;&gt;"",O735,IF(H735="",0,H735)))</f>
        <v/>
      </c>
      <c r="T735" s="12">
        <f>IF(R735="","",MAX(Settings!$B$3,Settings!$B$4*IF(O735&lt;&gt;"",O735,IF(H735="",0,H735))))</f>
        <v/>
      </c>
      <c r="U735" s="11">
        <f>IF(AND(C735&lt;&gt;"",M735&lt;&gt;"",OR(H735&lt;&gt;"",O735&lt;&gt;"")),"COMPLETE",IF(OR(C735&lt;&gt;"",M735&lt;&gt;""),"PARTIAL","MISSING"))</f>
        <v/>
      </c>
      <c r="V735" s="11">
        <f>IF(Q735="UNKNOWN","Check fluid description",IF(AND(R735&lt;&gt;"",S735&lt;&gt;""),"Ready for contact screening","Needs TVD + thickness"))</f>
        <v/>
      </c>
    </row>
    <row r="736">
      <c r="A736" s="9" t="n"/>
      <c r="B736" s="9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9" t="n"/>
      <c r="N736" s="9" t="n"/>
      <c r="O736" s="10" t="n"/>
      <c r="P736" s="9" t="n"/>
      <c r="Q736" s="11">
        <f>IF(P736&lt;&gt;"",P736,IF(M736="","UNKNOWN",IF(AND(ISNUMBER(SEARCH("gas",LOWER(M736))),ISNUMBER(SEARCH("water",LOWER(M736)))),"GAS_WATER",IF(AND(ISNUMBER(SEARCH("oil",LOWER(M736))),ISNUMBER(SEARCH("water",LOWER(M736)))),"OIL_WATER",IF(ISNUMBER(SEARCH("gas",LOWER(M736))),"GAS",IF(ISNUMBER(SEARCH("water",LOWER(M736))),"WATER",IF(ISNUMBER(SEARCH("oil",LOWER(M736))),"OIL","UNKNOWN")))))))</f>
        <v/>
      </c>
      <c r="R736" s="12">
        <f>IF(C736="","",C736)</f>
        <v/>
      </c>
      <c r="S736" s="12">
        <f>IF(R736="","",R736+IF(O736&lt;&gt;"",O736,IF(H736="",0,H736)))</f>
        <v/>
      </c>
      <c r="T736" s="12">
        <f>IF(R736="","",MAX(Settings!$B$3,Settings!$B$4*IF(O736&lt;&gt;"",O736,IF(H736="",0,H736))))</f>
        <v/>
      </c>
      <c r="U736" s="11">
        <f>IF(AND(C736&lt;&gt;"",M736&lt;&gt;"",OR(H736&lt;&gt;"",O736&lt;&gt;"")),"COMPLETE",IF(OR(C736&lt;&gt;"",M736&lt;&gt;""),"PARTIAL","MISSING"))</f>
        <v/>
      </c>
      <c r="V736" s="11">
        <f>IF(Q736="UNKNOWN","Check fluid description",IF(AND(R736&lt;&gt;"",S736&lt;&gt;""),"Ready for contact screening","Needs TVD + thickness"))</f>
        <v/>
      </c>
    </row>
    <row r="737">
      <c r="A737" s="9" t="n"/>
      <c r="B737" s="9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9" t="n"/>
      <c r="N737" s="9" t="n"/>
      <c r="O737" s="10" t="n"/>
      <c r="P737" s="9" t="n"/>
      <c r="Q737" s="11">
        <f>IF(P737&lt;&gt;"",P737,IF(M737="","UNKNOWN",IF(AND(ISNUMBER(SEARCH("gas",LOWER(M737))),ISNUMBER(SEARCH("water",LOWER(M737)))),"GAS_WATER",IF(AND(ISNUMBER(SEARCH("oil",LOWER(M737))),ISNUMBER(SEARCH("water",LOWER(M737)))),"OIL_WATER",IF(ISNUMBER(SEARCH("gas",LOWER(M737))),"GAS",IF(ISNUMBER(SEARCH("water",LOWER(M737))),"WATER",IF(ISNUMBER(SEARCH("oil",LOWER(M737))),"OIL","UNKNOWN")))))))</f>
        <v/>
      </c>
      <c r="R737" s="12">
        <f>IF(C737="","",C737)</f>
        <v/>
      </c>
      <c r="S737" s="12">
        <f>IF(R737="","",R737+IF(O737&lt;&gt;"",O737,IF(H737="",0,H737)))</f>
        <v/>
      </c>
      <c r="T737" s="12">
        <f>IF(R737="","",MAX(Settings!$B$3,Settings!$B$4*IF(O737&lt;&gt;"",O737,IF(H737="",0,H737))))</f>
        <v/>
      </c>
      <c r="U737" s="11">
        <f>IF(AND(C737&lt;&gt;"",M737&lt;&gt;"",OR(H737&lt;&gt;"",O737&lt;&gt;"")),"COMPLETE",IF(OR(C737&lt;&gt;"",M737&lt;&gt;""),"PARTIAL","MISSING"))</f>
        <v/>
      </c>
      <c r="V737" s="11">
        <f>IF(Q737="UNKNOWN","Check fluid description",IF(AND(R737&lt;&gt;"",S737&lt;&gt;""),"Ready for contact screening","Needs TVD + thickness"))</f>
        <v/>
      </c>
    </row>
    <row r="738">
      <c r="A738" s="9" t="n"/>
      <c r="B738" s="9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9" t="n"/>
      <c r="N738" s="9" t="n"/>
      <c r="O738" s="10" t="n"/>
      <c r="P738" s="9" t="n"/>
      <c r="Q738" s="11">
        <f>IF(P738&lt;&gt;"",P738,IF(M738="","UNKNOWN",IF(AND(ISNUMBER(SEARCH("gas",LOWER(M738))),ISNUMBER(SEARCH("water",LOWER(M738)))),"GAS_WATER",IF(AND(ISNUMBER(SEARCH("oil",LOWER(M738))),ISNUMBER(SEARCH("water",LOWER(M738)))),"OIL_WATER",IF(ISNUMBER(SEARCH("gas",LOWER(M738))),"GAS",IF(ISNUMBER(SEARCH("water",LOWER(M738))),"WATER",IF(ISNUMBER(SEARCH("oil",LOWER(M738))),"OIL","UNKNOWN")))))))</f>
        <v/>
      </c>
      <c r="R738" s="12">
        <f>IF(C738="","",C738)</f>
        <v/>
      </c>
      <c r="S738" s="12">
        <f>IF(R738="","",R738+IF(O738&lt;&gt;"",O738,IF(H738="",0,H738)))</f>
        <v/>
      </c>
      <c r="T738" s="12">
        <f>IF(R738="","",MAX(Settings!$B$3,Settings!$B$4*IF(O738&lt;&gt;"",O738,IF(H738="",0,H738))))</f>
        <v/>
      </c>
      <c r="U738" s="11">
        <f>IF(AND(C738&lt;&gt;"",M738&lt;&gt;"",OR(H738&lt;&gt;"",O738&lt;&gt;"")),"COMPLETE",IF(OR(C738&lt;&gt;"",M738&lt;&gt;""),"PARTIAL","MISSING"))</f>
        <v/>
      </c>
      <c r="V738" s="11">
        <f>IF(Q738="UNKNOWN","Check fluid description",IF(AND(R738&lt;&gt;"",S738&lt;&gt;""),"Ready for contact screening","Needs TVD + thickness"))</f>
        <v/>
      </c>
    </row>
    <row r="739">
      <c r="A739" s="9" t="n"/>
      <c r="B739" s="9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9" t="n"/>
      <c r="N739" s="9" t="n"/>
      <c r="O739" s="10" t="n"/>
      <c r="P739" s="9" t="n"/>
      <c r="Q739" s="11">
        <f>IF(P739&lt;&gt;"",P739,IF(M739="","UNKNOWN",IF(AND(ISNUMBER(SEARCH("gas",LOWER(M739))),ISNUMBER(SEARCH("water",LOWER(M739)))),"GAS_WATER",IF(AND(ISNUMBER(SEARCH("oil",LOWER(M739))),ISNUMBER(SEARCH("water",LOWER(M739)))),"OIL_WATER",IF(ISNUMBER(SEARCH("gas",LOWER(M739))),"GAS",IF(ISNUMBER(SEARCH("water",LOWER(M739))),"WATER",IF(ISNUMBER(SEARCH("oil",LOWER(M739))),"OIL","UNKNOWN")))))))</f>
        <v/>
      </c>
      <c r="R739" s="12">
        <f>IF(C739="","",C739)</f>
        <v/>
      </c>
      <c r="S739" s="12">
        <f>IF(R739="","",R739+IF(O739&lt;&gt;"",O739,IF(H739="",0,H739)))</f>
        <v/>
      </c>
      <c r="T739" s="12">
        <f>IF(R739="","",MAX(Settings!$B$3,Settings!$B$4*IF(O739&lt;&gt;"",O739,IF(H739="",0,H739))))</f>
        <v/>
      </c>
      <c r="U739" s="11">
        <f>IF(AND(C739&lt;&gt;"",M739&lt;&gt;"",OR(H739&lt;&gt;"",O739&lt;&gt;"")),"COMPLETE",IF(OR(C739&lt;&gt;"",M739&lt;&gt;""),"PARTIAL","MISSING"))</f>
        <v/>
      </c>
      <c r="V739" s="11">
        <f>IF(Q739="UNKNOWN","Check fluid description",IF(AND(R739&lt;&gt;"",S739&lt;&gt;""),"Ready for contact screening","Needs TVD + thickness"))</f>
        <v/>
      </c>
    </row>
    <row r="740">
      <c r="A740" s="9" t="n"/>
      <c r="B740" s="9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9" t="n"/>
      <c r="N740" s="9" t="n"/>
      <c r="O740" s="10" t="n"/>
      <c r="P740" s="9" t="n"/>
      <c r="Q740" s="11">
        <f>IF(P740&lt;&gt;"",P740,IF(M740="","UNKNOWN",IF(AND(ISNUMBER(SEARCH("gas",LOWER(M740))),ISNUMBER(SEARCH("water",LOWER(M740)))),"GAS_WATER",IF(AND(ISNUMBER(SEARCH("oil",LOWER(M740))),ISNUMBER(SEARCH("water",LOWER(M740)))),"OIL_WATER",IF(ISNUMBER(SEARCH("gas",LOWER(M740))),"GAS",IF(ISNUMBER(SEARCH("water",LOWER(M740))),"WATER",IF(ISNUMBER(SEARCH("oil",LOWER(M740))),"OIL","UNKNOWN")))))))</f>
        <v/>
      </c>
      <c r="R740" s="12">
        <f>IF(C740="","",C740)</f>
        <v/>
      </c>
      <c r="S740" s="12">
        <f>IF(R740="","",R740+IF(O740&lt;&gt;"",O740,IF(H740="",0,H740)))</f>
        <v/>
      </c>
      <c r="T740" s="12">
        <f>IF(R740="","",MAX(Settings!$B$3,Settings!$B$4*IF(O740&lt;&gt;"",O740,IF(H740="",0,H740))))</f>
        <v/>
      </c>
      <c r="U740" s="11">
        <f>IF(AND(C740&lt;&gt;"",M740&lt;&gt;"",OR(H740&lt;&gt;"",O740&lt;&gt;"")),"COMPLETE",IF(OR(C740&lt;&gt;"",M740&lt;&gt;""),"PARTIAL","MISSING"))</f>
        <v/>
      </c>
      <c r="V740" s="11">
        <f>IF(Q740="UNKNOWN","Check fluid description",IF(AND(R740&lt;&gt;"",S740&lt;&gt;""),"Ready for contact screening","Needs TVD + thickness"))</f>
        <v/>
      </c>
    </row>
    <row r="741">
      <c r="A741" s="9" t="n"/>
      <c r="B741" s="9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9" t="n"/>
      <c r="N741" s="9" t="n"/>
      <c r="O741" s="10" t="n"/>
      <c r="P741" s="9" t="n"/>
      <c r="Q741" s="11">
        <f>IF(P741&lt;&gt;"",P741,IF(M741="","UNKNOWN",IF(AND(ISNUMBER(SEARCH("gas",LOWER(M741))),ISNUMBER(SEARCH("water",LOWER(M741)))),"GAS_WATER",IF(AND(ISNUMBER(SEARCH("oil",LOWER(M741))),ISNUMBER(SEARCH("water",LOWER(M741)))),"OIL_WATER",IF(ISNUMBER(SEARCH("gas",LOWER(M741))),"GAS",IF(ISNUMBER(SEARCH("water",LOWER(M741))),"WATER",IF(ISNUMBER(SEARCH("oil",LOWER(M741))),"OIL","UNKNOWN")))))))</f>
        <v/>
      </c>
      <c r="R741" s="12">
        <f>IF(C741="","",C741)</f>
        <v/>
      </c>
      <c r="S741" s="12">
        <f>IF(R741="","",R741+IF(O741&lt;&gt;"",O741,IF(H741="",0,H741)))</f>
        <v/>
      </c>
      <c r="T741" s="12">
        <f>IF(R741="","",MAX(Settings!$B$3,Settings!$B$4*IF(O741&lt;&gt;"",O741,IF(H741="",0,H741))))</f>
        <v/>
      </c>
      <c r="U741" s="11">
        <f>IF(AND(C741&lt;&gt;"",M741&lt;&gt;"",OR(H741&lt;&gt;"",O741&lt;&gt;"")),"COMPLETE",IF(OR(C741&lt;&gt;"",M741&lt;&gt;""),"PARTIAL","MISSING"))</f>
        <v/>
      </c>
      <c r="V741" s="11">
        <f>IF(Q741="UNKNOWN","Check fluid description",IF(AND(R741&lt;&gt;"",S741&lt;&gt;""),"Ready for contact screening","Needs TVD + thickness"))</f>
        <v/>
      </c>
    </row>
    <row r="742">
      <c r="A742" s="9" t="n"/>
      <c r="B742" s="9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9" t="n"/>
      <c r="N742" s="9" t="n"/>
      <c r="O742" s="10" t="n"/>
      <c r="P742" s="9" t="n"/>
      <c r="Q742" s="11">
        <f>IF(P742&lt;&gt;"",P742,IF(M742="","UNKNOWN",IF(AND(ISNUMBER(SEARCH("gas",LOWER(M742))),ISNUMBER(SEARCH("water",LOWER(M742)))),"GAS_WATER",IF(AND(ISNUMBER(SEARCH("oil",LOWER(M742))),ISNUMBER(SEARCH("water",LOWER(M742)))),"OIL_WATER",IF(ISNUMBER(SEARCH("gas",LOWER(M742))),"GAS",IF(ISNUMBER(SEARCH("water",LOWER(M742))),"WATER",IF(ISNUMBER(SEARCH("oil",LOWER(M742))),"OIL","UNKNOWN")))))))</f>
        <v/>
      </c>
      <c r="R742" s="12">
        <f>IF(C742="","",C742)</f>
        <v/>
      </c>
      <c r="S742" s="12">
        <f>IF(R742="","",R742+IF(O742&lt;&gt;"",O742,IF(H742="",0,H742)))</f>
        <v/>
      </c>
      <c r="T742" s="12">
        <f>IF(R742="","",MAX(Settings!$B$3,Settings!$B$4*IF(O742&lt;&gt;"",O742,IF(H742="",0,H742))))</f>
        <v/>
      </c>
      <c r="U742" s="11">
        <f>IF(AND(C742&lt;&gt;"",M742&lt;&gt;"",OR(H742&lt;&gt;"",O742&lt;&gt;"")),"COMPLETE",IF(OR(C742&lt;&gt;"",M742&lt;&gt;""),"PARTIAL","MISSING"))</f>
        <v/>
      </c>
      <c r="V742" s="11">
        <f>IF(Q742="UNKNOWN","Check fluid description",IF(AND(R742&lt;&gt;"",S742&lt;&gt;""),"Ready for contact screening","Needs TVD + thickness"))</f>
        <v/>
      </c>
    </row>
    <row r="743">
      <c r="A743" s="9" t="n"/>
      <c r="B743" s="9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9" t="n"/>
      <c r="N743" s="9" t="n"/>
      <c r="O743" s="10" t="n"/>
      <c r="P743" s="9" t="n"/>
      <c r="Q743" s="11">
        <f>IF(P743&lt;&gt;"",P743,IF(M743="","UNKNOWN",IF(AND(ISNUMBER(SEARCH("gas",LOWER(M743))),ISNUMBER(SEARCH("water",LOWER(M743)))),"GAS_WATER",IF(AND(ISNUMBER(SEARCH("oil",LOWER(M743))),ISNUMBER(SEARCH("water",LOWER(M743)))),"OIL_WATER",IF(ISNUMBER(SEARCH("gas",LOWER(M743))),"GAS",IF(ISNUMBER(SEARCH("water",LOWER(M743))),"WATER",IF(ISNUMBER(SEARCH("oil",LOWER(M743))),"OIL","UNKNOWN")))))))</f>
        <v/>
      </c>
      <c r="R743" s="12">
        <f>IF(C743="","",C743)</f>
        <v/>
      </c>
      <c r="S743" s="12">
        <f>IF(R743="","",R743+IF(O743&lt;&gt;"",O743,IF(H743="",0,H743)))</f>
        <v/>
      </c>
      <c r="T743" s="12">
        <f>IF(R743="","",MAX(Settings!$B$3,Settings!$B$4*IF(O743&lt;&gt;"",O743,IF(H743="",0,H743))))</f>
        <v/>
      </c>
      <c r="U743" s="11">
        <f>IF(AND(C743&lt;&gt;"",M743&lt;&gt;"",OR(H743&lt;&gt;"",O743&lt;&gt;"")),"COMPLETE",IF(OR(C743&lt;&gt;"",M743&lt;&gt;""),"PARTIAL","MISSING"))</f>
        <v/>
      </c>
      <c r="V743" s="11">
        <f>IF(Q743="UNKNOWN","Check fluid description",IF(AND(R743&lt;&gt;"",S743&lt;&gt;""),"Ready for contact screening","Needs TVD + thickness"))</f>
        <v/>
      </c>
    </row>
    <row r="744">
      <c r="A744" s="9" t="n"/>
      <c r="B744" s="9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9" t="n"/>
      <c r="N744" s="9" t="n"/>
      <c r="O744" s="10" t="n"/>
      <c r="P744" s="9" t="n"/>
      <c r="Q744" s="11">
        <f>IF(P744&lt;&gt;"",P744,IF(M744="","UNKNOWN",IF(AND(ISNUMBER(SEARCH("gas",LOWER(M744))),ISNUMBER(SEARCH("water",LOWER(M744)))),"GAS_WATER",IF(AND(ISNUMBER(SEARCH("oil",LOWER(M744))),ISNUMBER(SEARCH("water",LOWER(M744)))),"OIL_WATER",IF(ISNUMBER(SEARCH("gas",LOWER(M744))),"GAS",IF(ISNUMBER(SEARCH("water",LOWER(M744))),"WATER",IF(ISNUMBER(SEARCH("oil",LOWER(M744))),"OIL","UNKNOWN")))))))</f>
        <v/>
      </c>
      <c r="R744" s="12">
        <f>IF(C744="","",C744)</f>
        <v/>
      </c>
      <c r="S744" s="12">
        <f>IF(R744="","",R744+IF(O744&lt;&gt;"",O744,IF(H744="",0,H744)))</f>
        <v/>
      </c>
      <c r="T744" s="12">
        <f>IF(R744="","",MAX(Settings!$B$3,Settings!$B$4*IF(O744&lt;&gt;"",O744,IF(H744="",0,H744))))</f>
        <v/>
      </c>
      <c r="U744" s="11">
        <f>IF(AND(C744&lt;&gt;"",M744&lt;&gt;"",OR(H744&lt;&gt;"",O744&lt;&gt;"")),"COMPLETE",IF(OR(C744&lt;&gt;"",M744&lt;&gt;""),"PARTIAL","MISSING"))</f>
        <v/>
      </c>
      <c r="V744" s="11">
        <f>IF(Q744="UNKNOWN","Check fluid description",IF(AND(R744&lt;&gt;"",S744&lt;&gt;""),"Ready for contact screening","Needs TVD + thickness"))</f>
        <v/>
      </c>
    </row>
    <row r="745">
      <c r="A745" s="9" t="n"/>
      <c r="B745" s="9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9" t="n"/>
      <c r="N745" s="9" t="n"/>
      <c r="O745" s="10" t="n"/>
      <c r="P745" s="9" t="n"/>
      <c r="Q745" s="11">
        <f>IF(P745&lt;&gt;"",P745,IF(M745="","UNKNOWN",IF(AND(ISNUMBER(SEARCH("gas",LOWER(M745))),ISNUMBER(SEARCH("water",LOWER(M745)))),"GAS_WATER",IF(AND(ISNUMBER(SEARCH("oil",LOWER(M745))),ISNUMBER(SEARCH("water",LOWER(M745)))),"OIL_WATER",IF(ISNUMBER(SEARCH("gas",LOWER(M745))),"GAS",IF(ISNUMBER(SEARCH("water",LOWER(M745))),"WATER",IF(ISNUMBER(SEARCH("oil",LOWER(M745))),"OIL","UNKNOWN")))))))</f>
        <v/>
      </c>
      <c r="R745" s="12">
        <f>IF(C745="","",C745)</f>
        <v/>
      </c>
      <c r="S745" s="12">
        <f>IF(R745="","",R745+IF(O745&lt;&gt;"",O745,IF(H745="",0,H745)))</f>
        <v/>
      </c>
      <c r="T745" s="12">
        <f>IF(R745="","",MAX(Settings!$B$3,Settings!$B$4*IF(O745&lt;&gt;"",O745,IF(H745="",0,H745))))</f>
        <v/>
      </c>
      <c r="U745" s="11">
        <f>IF(AND(C745&lt;&gt;"",M745&lt;&gt;"",OR(H745&lt;&gt;"",O745&lt;&gt;"")),"COMPLETE",IF(OR(C745&lt;&gt;"",M745&lt;&gt;""),"PARTIAL","MISSING"))</f>
        <v/>
      </c>
      <c r="V745" s="11">
        <f>IF(Q745="UNKNOWN","Check fluid description",IF(AND(R745&lt;&gt;"",S745&lt;&gt;""),"Ready for contact screening","Needs TVD + thickness"))</f>
        <v/>
      </c>
    </row>
    <row r="746">
      <c r="A746" s="9" t="n"/>
      <c r="B746" s="9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9" t="n"/>
      <c r="N746" s="9" t="n"/>
      <c r="O746" s="10" t="n"/>
      <c r="P746" s="9" t="n"/>
      <c r="Q746" s="11">
        <f>IF(P746&lt;&gt;"",P746,IF(M746="","UNKNOWN",IF(AND(ISNUMBER(SEARCH("gas",LOWER(M746))),ISNUMBER(SEARCH("water",LOWER(M746)))),"GAS_WATER",IF(AND(ISNUMBER(SEARCH("oil",LOWER(M746))),ISNUMBER(SEARCH("water",LOWER(M746)))),"OIL_WATER",IF(ISNUMBER(SEARCH("gas",LOWER(M746))),"GAS",IF(ISNUMBER(SEARCH("water",LOWER(M746))),"WATER",IF(ISNUMBER(SEARCH("oil",LOWER(M746))),"OIL","UNKNOWN")))))))</f>
        <v/>
      </c>
      <c r="R746" s="12">
        <f>IF(C746="","",C746)</f>
        <v/>
      </c>
      <c r="S746" s="12">
        <f>IF(R746="","",R746+IF(O746&lt;&gt;"",O746,IF(H746="",0,H746)))</f>
        <v/>
      </c>
      <c r="T746" s="12">
        <f>IF(R746="","",MAX(Settings!$B$3,Settings!$B$4*IF(O746&lt;&gt;"",O746,IF(H746="",0,H746))))</f>
        <v/>
      </c>
      <c r="U746" s="11">
        <f>IF(AND(C746&lt;&gt;"",M746&lt;&gt;"",OR(H746&lt;&gt;"",O746&lt;&gt;"")),"COMPLETE",IF(OR(C746&lt;&gt;"",M746&lt;&gt;""),"PARTIAL","MISSING"))</f>
        <v/>
      </c>
      <c r="V746" s="11">
        <f>IF(Q746="UNKNOWN","Check fluid description",IF(AND(R746&lt;&gt;"",S746&lt;&gt;""),"Ready for contact screening","Needs TVD + thickness"))</f>
        <v/>
      </c>
    </row>
    <row r="747">
      <c r="A747" s="9" t="n"/>
      <c r="B747" s="9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9" t="n"/>
      <c r="N747" s="9" t="n"/>
      <c r="O747" s="10" t="n"/>
      <c r="P747" s="9" t="n"/>
      <c r="Q747" s="11">
        <f>IF(P747&lt;&gt;"",P747,IF(M747="","UNKNOWN",IF(AND(ISNUMBER(SEARCH("gas",LOWER(M747))),ISNUMBER(SEARCH("water",LOWER(M747)))),"GAS_WATER",IF(AND(ISNUMBER(SEARCH("oil",LOWER(M747))),ISNUMBER(SEARCH("water",LOWER(M747)))),"OIL_WATER",IF(ISNUMBER(SEARCH("gas",LOWER(M747))),"GAS",IF(ISNUMBER(SEARCH("water",LOWER(M747))),"WATER",IF(ISNUMBER(SEARCH("oil",LOWER(M747))),"OIL","UNKNOWN")))))))</f>
        <v/>
      </c>
      <c r="R747" s="12">
        <f>IF(C747="","",C747)</f>
        <v/>
      </c>
      <c r="S747" s="12">
        <f>IF(R747="","",R747+IF(O747&lt;&gt;"",O747,IF(H747="",0,H747)))</f>
        <v/>
      </c>
      <c r="T747" s="12">
        <f>IF(R747="","",MAX(Settings!$B$3,Settings!$B$4*IF(O747&lt;&gt;"",O747,IF(H747="",0,H747))))</f>
        <v/>
      </c>
      <c r="U747" s="11">
        <f>IF(AND(C747&lt;&gt;"",M747&lt;&gt;"",OR(H747&lt;&gt;"",O747&lt;&gt;"")),"COMPLETE",IF(OR(C747&lt;&gt;"",M747&lt;&gt;""),"PARTIAL","MISSING"))</f>
        <v/>
      </c>
      <c r="V747" s="11">
        <f>IF(Q747="UNKNOWN","Check fluid description",IF(AND(R747&lt;&gt;"",S747&lt;&gt;""),"Ready for contact screening","Needs TVD + thickness"))</f>
        <v/>
      </c>
    </row>
    <row r="748">
      <c r="A748" s="9" t="n"/>
      <c r="B748" s="9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9" t="n"/>
      <c r="N748" s="9" t="n"/>
      <c r="O748" s="10" t="n"/>
      <c r="P748" s="9" t="n"/>
      <c r="Q748" s="11">
        <f>IF(P748&lt;&gt;"",P748,IF(M748="","UNKNOWN",IF(AND(ISNUMBER(SEARCH("gas",LOWER(M748))),ISNUMBER(SEARCH("water",LOWER(M748)))),"GAS_WATER",IF(AND(ISNUMBER(SEARCH("oil",LOWER(M748))),ISNUMBER(SEARCH("water",LOWER(M748)))),"OIL_WATER",IF(ISNUMBER(SEARCH("gas",LOWER(M748))),"GAS",IF(ISNUMBER(SEARCH("water",LOWER(M748))),"WATER",IF(ISNUMBER(SEARCH("oil",LOWER(M748))),"OIL","UNKNOWN")))))))</f>
        <v/>
      </c>
      <c r="R748" s="12">
        <f>IF(C748="","",C748)</f>
        <v/>
      </c>
      <c r="S748" s="12">
        <f>IF(R748="","",R748+IF(O748&lt;&gt;"",O748,IF(H748="",0,H748)))</f>
        <v/>
      </c>
      <c r="T748" s="12">
        <f>IF(R748="","",MAX(Settings!$B$3,Settings!$B$4*IF(O748&lt;&gt;"",O748,IF(H748="",0,H748))))</f>
        <v/>
      </c>
      <c r="U748" s="11">
        <f>IF(AND(C748&lt;&gt;"",M748&lt;&gt;"",OR(H748&lt;&gt;"",O748&lt;&gt;"")),"COMPLETE",IF(OR(C748&lt;&gt;"",M748&lt;&gt;""),"PARTIAL","MISSING"))</f>
        <v/>
      </c>
      <c r="V748" s="11">
        <f>IF(Q748="UNKNOWN","Check fluid description",IF(AND(R748&lt;&gt;"",S748&lt;&gt;""),"Ready for contact screening","Needs TVD + thickness"))</f>
        <v/>
      </c>
    </row>
    <row r="749">
      <c r="A749" s="9" t="n"/>
      <c r="B749" s="9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9" t="n"/>
      <c r="N749" s="9" t="n"/>
      <c r="O749" s="10" t="n"/>
      <c r="P749" s="9" t="n"/>
      <c r="Q749" s="11">
        <f>IF(P749&lt;&gt;"",P749,IF(M749="","UNKNOWN",IF(AND(ISNUMBER(SEARCH("gas",LOWER(M749))),ISNUMBER(SEARCH("water",LOWER(M749)))),"GAS_WATER",IF(AND(ISNUMBER(SEARCH("oil",LOWER(M749))),ISNUMBER(SEARCH("water",LOWER(M749)))),"OIL_WATER",IF(ISNUMBER(SEARCH("gas",LOWER(M749))),"GAS",IF(ISNUMBER(SEARCH("water",LOWER(M749))),"WATER",IF(ISNUMBER(SEARCH("oil",LOWER(M749))),"OIL","UNKNOWN")))))))</f>
        <v/>
      </c>
      <c r="R749" s="12">
        <f>IF(C749="","",C749)</f>
        <v/>
      </c>
      <c r="S749" s="12">
        <f>IF(R749="","",R749+IF(O749&lt;&gt;"",O749,IF(H749="",0,H749)))</f>
        <v/>
      </c>
      <c r="T749" s="12">
        <f>IF(R749="","",MAX(Settings!$B$3,Settings!$B$4*IF(O749&lt;&gt;"",O749,IF(H749="",0,H749))))</f>
        <v/>
      </c>
      <c r="U749" s="11">
        <f>IF(AND(C749&lt;&gt;"",M749&lt;&gt;"",OR(H749&lt;&gt;"",O749&lt;&gt;"")),"COMPLETE",IF(OR(C749&lt;&gt;"",M749&lt;&gt;""),"PARTIAL","MISSING"))</f>
        <v/>
      </c>
      <c r="V749" s="11">
        <f>IF(Q749="UNKNOWN","Check fluid description",IF(AND(R749&lt;&gt;"",S749&lt;&gt;""),"Ready for contact screening","Needs TVD + thickness"))</f>
        <v/>
      </c>
    </row>
    <row r="750">
      <c r="A750" s="9" t="n"/>
      <c r="B750" s="9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9" t="n"/>
      <c r="N750" s="9" t="n"/>
      <c r="O750" s="10" t="n"/>
      <c r="P750" s="9" t="n"/>
      <c r="Q750" s="11">
        <f>IF(P750&lt;&gt;"",P750,IF(M750="","UNKNOWN",IF(AND(ISNUMBER(SEARCH("gas",LOWER(M750))),ISNUMBER(SEARCH("water",LOWER(M750)))),"GAS_WATER",IF(AND(ISNUMBER(SEARCH("oil",LOWER(M750))),ISNUMBER(SEARCH("water",LOWER(M750)))),"OIL_WATER",IF(ISNUMBER(SEARCH("gas",LOWER(M750))),"GAS",IF(ISNUMBER(SEARCH("water",LOWER(M750))),"WATER",IF(ISNUMBER(SEARCH("oil",LOWER(M750))),"OIL","UNKNOWN")))))))</f>
        <v/>
      </c>
      <c r="R750" s="12">
        <f>IF(C750="","",C750)</f>
        <v/>
      </c>
      <c r="S750" s="12">
        <f>IF(R750="","",R750+IF(O750&lt;&gt;"",O750,IF(H750="",0,H750)))</f>
        <v/>
      </c>
      <c r="T750" s="12">
        <f>IF(R750="","",MAX(Settings!$B$3,Settings!$B$4*IF(O750&lt;&gt;"",O750,IF(H750="",0,H750))))</f>
        <v/>
      </c>
      <c r="U750" s="11">
        <f>IF(AND(C750&lt;&gt;"",M750&lt;&gt;"",OR(H750&lt;&gt;"",O750&lt;&gt;"")),"COMPLETE",IF(OR(C750&lt;&gt;"",M750&lt;&gt;""),"PARTIAL","MISSING"))</f>
        <v/>
      </c>
      <c r="V750" s="11">
        <f>IF(Q750="UNKNOWN","Check fluid description",IF(AND(R750&lt;&gt;"",S750&lt;&gt;""),"Ready for contact screening","Needs TVD + thickness"))</f>
        <v/>
      </c>
    </row>
    <row r="751">
      <c r="A751" s="9" t="n"/>
      <c r="B751" s="9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9" t="n"/>
      <c r="N751" s="9" t="n"/>
      <c r="O751" s="10" t="n"/>
      <c r="P751" s="9" t="n"/>
      <c r="Q751" s="11">
        <f>IF(P751&lt;&gt;"",P751,IF(M751="","UNKNOWN",IF(AND(ISNUMBER(SEARCH("gas",LOWER(M751))),ISNUMBER(SEARCH("water",LOWER(M751)))),"GAS_WATER",IF(AND(ISNUMBER(SEARCH("oil",LOWER(M751))),ISNUMBER(SEARCH("water",LOWER(M751)))),"OIL_WATER",IF(ISNUMBER(SEARCH("gas",LOWER(M751))),"GAS",IF(ISNUMBER(SEARCH("water",LOWER(M751))),"WATER",IF(ISNUMBER(SEARCH("oil",LOWER(M751))),"OIL","UNKNOWN")))))))</f>
        <v/>
      </c>
      <c r="R751" s="12">
        <f>IF(C751="","",C751)</f>
        <v/>
      </c>
      <c r="S751" s="12">
        <f>IF(R751="","",R751+IF(O751&lt;&gt;"",O751,IF(H751="",0,H751)))</f>
        <v/>
      </c>
      <c r="T751" s="12">
        <f>IF(R751="","",MAX(Settings!$B$3,Settings!$B$4*IF(O751&lt;&gt;"",O751,IF(H751="",0,H751))))</f>
        <v/>
      </c>
      <c r="U751" s="11">
        <f>IF(AND(C751&lt;&gt;"",M751&lt;&gt;"",OR(H751&lt;&gt;"",O751&lt;&gt;"")),"COMPLETE",IF(OR(C751&lt;&gt;"",M751&lt;&gt;""),"PARTIAL","MISSING"))</f>
        <v/>
      </c>
      <c r="V751" s="11">
        <f>IF(Q751="UNKNOWN","Check fluid description",IF(AND(R751&lt;&gt;"",S751&lt;&gt;""),"Ready for contact screening","Needs TVD + thickness"))</f>
        <v/>
      </c>
    </row>
    <row r="752">
      <c r="A752" s="9" t="n"/>
      <c r="B752" s="9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9" t="n"/>
      <c r="N752" s="9" t="n"/>
      <c r="O752" s="10" t="n"/>
      <c r="P752" s="9" t="n"/>
      <c r="Q752" s="11">
        <f>IF(P752&lt;&gt;"",P752,IF(M752="","UNKNOWN",IF(AND(ISNUMBER(SEARCH("gas",LOWER(M752))),ISNUMBER(SEARCH("water",LOWER(M752)))),"GAS_WATER",IF(AND(ISNUMBER(SEARCH("oil",LOWER(M752))),ISNUMBER(SEARCH("water",LOWER(M752)))),"OIL_WATER",IF(ISNUMBER(SEARCH("gas",LOWER(M752))),"GAS",IF(ISNUMBER(SEARCH("water",LOWER(M752))),"WATER",IF(ISNUMBER(SEARCH("oil",LOWER(M752))),"OIL","UNKNOWN")))))))</f>
        <v/>
      </c>
      <c r="R752" s="12">
        <f>IF(C752="","",C752)</f>
        <v/>
      </c>
      <c r="S752" s="12">
        <f>IF(R752="","",R752+IF(O752&lt;&gt;"",O752,IF(H752="",0,H752)))</f>
        <v/>
      </c>
      <c r="T752" s="12">
        <f>IF(R752="","",MAX(Settings!$B$3,Settings!$B$4*IF(O752&lt;&gt;"",O752,IF(H752="",0,H752))))</f>
        <v/>
      </c>
      <c r="U752" s="11">
        <f>IF(AND(C752&lt;&gt;"",M752&lt;&gt;"",OR(H752&lt;&gt;"",O752&lt;&gt;"")),"COMPLETE",IF(OR(C752&lt;&gt;"",M752&lt;&gt;""),"PARTIAL","MISSING"))</f>
        <v/>
      </c>
      <c r="V752" s="11">
        <f>IF(Q752="UNKNOWN","Check fluid description",IF(AND(R752&lt;&gt;"",S752&lt;&gt;""),"Ready for contact screening","Needs TVD + thickness"))</f>
        <v/>
      </c>
    </row>
    <row r="753">
      <c r="A753" s="9" t="n"/>
      <c r="B753" s="9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9" t="n"/>
      <c r="N753" s="9" t="n"/>
      <c r="O753" s="10" t="n"/>
      <c r="P753" s="9" t="n"/>
      <c r="Q753" s="11">
        <f>IF(P753&lt;&gt;"",P753,IF(M753="","UNKNOWN",IF(AND(ISNUMBER(SEARCH("gas",LOWER(M753))),ISNUMBER(SEARCH("water",LOWER(M753)))),"GAS_WATER",IF(AND(ISNUMBER(SEARCH("oil",LOWER(M753))),ISNUMBER(SEARCH("water",LOWER(M753)))),"OIL_WATER",IF(ISNUMBER(SEARCH("gas",LOWER(M753))),"GAS",IF(ISNUMBER(SEARCH("water",LOWER(M753))),"WATER",IF(ISNUMBER(SEARCH("oil",LOWER(M753))),"OIL","UNKNOWN")))))))</f>
        <v/>
      </c>
      <c r="R753" s="12">
        <f>IF(C753="","",C753)</f>
        <v/>
      </c>
      <c r="S753" s="12">
        <f>IF(R753="","",R753+IF(O753&lt;&gt;"",O753,IF(H753="",0,H753)))</f>
        <v/>
      </c>
      <c r="T753" s="12">
        <f>IF(R753="","",MAX(Settings!$B$3,Settings!$B$4*IF(O753&lt;&gt;"",O753,IF(H753="",0,H753))))</f>
        <v/>
      </c>
      <c r="U753" s="11">
        <f>IF(AND(C753&lt;&gt;"",M753&lt;&gt;"",OR(H753&lt;&gt;"",O753&lt;&gt;"")),"COMPLETE",IF(OR(C753&lt;&gt;"",M753&lt;&gt;""),"PARTIAL","MISSING"))</f>
        <v/>
      </c>
      <c r="V753" s="11">
        <f>IF(Q753="UNKNOWN","Check fluid description",IF(AND(R753&lt;&gt;"",S753&lt;&gt;""),"Ready for contact screening","Needs TVD + thickness"))</f>
        <v/>
      </c>
    </row>
    <row r="754">
      <c r="A754" s="9" t="n"/>
      <c r="B754" s="9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9" t="n"/>
      <c r="N754" s="9" t="n"/>
      <c r="O754" s="10" t="n"/>
      <c r="P754" s="9" t="n"/>
      <c r="Q754" s="11">
        <f>IF(P754&lt;&gt;"",P754,IF(M754="","UNKNOWN",IF(AND(ISNUMBER(SEARCH("gas",LOWER(M754))),ISNUMBER(SEARCH("water",LOWER(M754)))),"GAS_WATER",IF(AND(ISNUMBER(SEARCH("oil",LOWER(M754))),ISNUMBER(SEARCH("water",LOWER(M754)))),"OIL_WATER",IF(ISNUMBER(SEARCH("gas",LOWER(M754))),"GAS",IF(ISNUMBER(SEARCH("water",LOWER(M754))),"WATER",IF(ISNUMBER(SEARCH("oil",LOWER(M754))),"OIL","UNKNOWN")))))))</f>
        <v/>
      </c>
      <c r="R754" s="12">
        <f>IF(C754="","",C754)</f>
        <v/>
      </c>
      <c r="S754" s="12">
        <f>IF(R754="","",R754+IF(O754&lt;&gt;"",O754,IF(H754="",0,H754)))</f>
        <v/>
      </c>
      <c r="T754" s="12">
        <f>IF(R754="","",MAX(Settings!$B$3,Settings!$B$4*IF(O754&lt;&gt;"",O754,IF(H754="",0,H754))))</f>
        <v/>
      </c>
      <c r="U754" s="11">
        <f>IF(AND(C754&lt;&gt;"",M754&lt;&gt;"",OR(H754&lt;&gt;"",O754&lt;&gt;"")),"COMPLETE",IF(OR(C754&lt;&gt;"",M754&lt;&gt;""),"PARTIAL","MISSING"))</f>
        <v/>
      </c>
      <c r="V754" s="11">
        <f>IF(Q754="UNKNOWN","Check fluid description",IF(AND(R754&lt;&gt;"",S754&lt;&gt;""),"Ready for contact screening","Needs TVD + thickness"))</f>
        <v/>
      </c>
    </row>
    <row r="755">
      <c r="A755" s="9" t="n"/>
      <c r="B755" s="9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9" t="n"/>
      <c r="N755" s="9" t="n"/>
      <c r="O755" s="10" t="n"/>
      <c r="P755" s="9" t="n"/>
      <c r="Q755" s="11">
        <f>IF(P755&lt;&gt;"",P755,IF(M755="","UNKNOWN",IF(AND(ISNUMBER(SEARCH("gas",LOWER(M755))),ISNUMBER(SEARCH("water",LOWER(M755)))),"GAS_WATER",IF(AND(ISNUMBER(SEARCH("oil",LOWER(M755))),ISNUMBER(SEARCH("water",LOWER(M755)))),"OIL_WATER",IF(ISNUMBER(SEARCH("gas",LOWER(M755))),"GAS",IF(ISNUMBER(SEARCH("water",LOWER(M755))),"WATER",IF(ISNUMBER(SEARCH("oil",LOWER(M755))),"OIL","UNKNOWN")))))))</f>
        <v/>
      </c>
      <c r="R755" s="12">
        <f>IF(C755="","",C755)</f>
        <v/>
      </c>
      <c r="S755" s="12">
        <f>IF(R755="","",R755+IF(O755&lt;&gt;"",O755,IF(H755="",0,H755)))</f>
        <v/>
      </c>
      <c r="T755" s="12">
        <f>IF(R755="","",MAX(Settings!$B$3,Settings!$B$4*IF(O755&lt;&gt;"",O755,IF(H755="",0,H755))))</f>
        <v/>
      </c>
      <c r="U755" s="11">
        <f>IF(AND(C755&lt;&gt;"",M755&lt;&gt;"",OR(H755&lt;&gt;"",O755&lt;&gt;"")),"COMPLETE",IF(OR(C755&lt;&gt;"",M755&lt;&gt;""),"PARTIAL","MISSING"))</f>
        <v/>
      </c>
      <c r="V755" s="11">
        <f>IF(Q755="UNKNOWN","Check fluid description",IF(AND(R755&lt;&gt;"",S755&lt;&gt;""),"Ready for contact screening","Needs TVD + thickness"))</f>
        <v/>
      </c>
    </row>
    <row r="756">
      <c r="A756" s="9" t="n"/>
      <c r="B756" s="9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9" t="n"/>
      <c r="N756" s="9" t="n"/>
      <c r="O756" s="10" t="n"/>
      <c r="P756" s="9" t="n"/>
      <c r="Q756" s="11">
        <f>IF(P756&lt;&gt;"",P756,IF(M756="","UNKNOWN",IF(AND(ISNUMBER(SEARCH("gas",LOWER(M756))),ISNUMBER(SEARCH("water",LOWER(M756)))),"GAS_WATER",IF(AND(ISNUMBER(SEARCH("oil",LOWER(M756))),ISNUMBER(SEARCH("water",LOWER(M756)))),"OIL_WATER",IF(ISNUMBER(SEARCH("gas",LOWER(M756))),"GAS",IF(ISNUMBER(SEARCH("water",LOWER(M756))),"WATER",IF(ISNUMBER(SEARCH("oil",LOWER(M756))),"OIL","UNKNOWN")))))))</f>
        <v/>
      </c>
      <c r="R756" s="12">
        <f>IF(C756="","",C756)</f>
        <v/>
      </c>
      <c r="S756" s="12">
        <f>IF(R756="","",R756+IF(O756&lt;&gt;"",O756,IF(H756="",0,H756)))</f>
        <v/>
      </c>
      <c r="T756" s="12">
        <f>IF(R756="","",MAX(Settings!$B$3,Settings!$B$4*IF(O756&lt;&gt;"",O756,IF(H756="",0,H756))))</f>
        <v/>
      </c>
      <c r="U756" s="11">
        <f>IF(AND(C756&lt;&gt;"",M756&lt;&gt;"",OR(H756&lt;&gt;"",O756&lt;&gt;"")),"COMPLETE",IF(OR(C756&lt;&gt;"",M756&lt;&gt;""),"PARTIAL","MISSING"))</f>
        <v/>
      </c>
      <c r="V756" s="11">
        <f>IF(Q756="UNKNOWN","Check fluid description",IF(AND(R756&lt;&gt;"",S756&lt;&gt;""),"Ready for contact screening","Needs TVD + thickness"))</f>
        <v/>
      </c>
    </row>
    <row r="757">
      <c r="A757" s="9" t="n"/>
      <c r="B757" s="9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9" t="n"/>
      <c r="N757" s="9" t="n"/>
      <c r="O757" s="10" t="n"/>
      <c r="P757" s="9" t="n"/>
      <c r="Q757" s="11">
        <f>IF(P757&lt;&gt;"",P757,IF(M757="","UNKNOWN",IF(AND(ISNUMBER(SEARCH("gas",LOWER(M757))),ISNUMBER(SEARCH("water",LOWER(M757)))),"GAS_WATER",IF(AND(ISNUMBER(SEARCH("oil",LOWER(M757))),ISNUMBER(SEARCH("water",LOWER(M757)))),"OIL_WATER",IF(ISNUMBER(SEARCH("gas",LOWER(M757))),"GAS",IF(ISNUMBER(SEARCH("water",LOWER(M757))),"WATER",IF(ISNUMBER(SEARCH("oil",LOWER(M757))),"OIL","UNKNOWN")))))))</f>
        <v/>
      </c>
      <c r="R757" s="12">
        <f>IF(C757="","",C757)</f>
        <v/>
      </c>
      <c r="S757" s="12">
        <f>IF(R757="","",R757+IF(O757&lt;&gt;"",O757,IF(H757="",0,H757)))</f>
        <v/>
      </c>
      <c r="T757" s="12">
        <f>IF(R757="","",MAX(Settings!$B$3,Settings!$B$4*IF(O757&lt;&gt;"",O757,IF(H757="",0,H757))))</f>
        <v/>
      </c>
      <c r="U757" s="11">
        <f>IF(AND(C757&lt;&gt;"",M757&lt;&gt;"",OR(H757&lt;&gt;"",O757&lt;&gt;"")),"COMPLETE",IF(OR(C757&lt;&gt;"",M757&lt;&gt;""),"PARTIAL","MISSING"))</f>
        <v/>
      </c>
      <c r="V757" s="11">
        <f>IF(Q757="UNKNOWN","Check fluid description",IF(AND(R757&lt;&gt;"",S757&lt;&gt;""),"Ready for contact screening","Needs TVD + thickness"))</f>
        <v/>
      </c>
    </row>
    <row r="758">
      <c r="A758" s="9" t="n"/>
      <c r="B758" s="9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9" t="n"/>
      <c r="N758" s="9" t="n"/>
      <c r="O758" s="10" t="n"/>
      <c r="P758" s="9" t="n"/>
      <c r="Q758" s="11">
        <f>IF(P758&lt;&gt;"",P758,IF(M758="","UNKNOWN",IF(AND(ISNUMBER(SEARCH("gas",LOWER(M758))),ISNUMBER(SEARCH("water",LOWER(M758)))),"GAS_WATER",IF(AND(ISNUMBER(SEARCH("oil",LOWER(M758))),ISNUMBER(SEARCH("water",LOWER(M758)))),"OIL_WATER",IF(ISNUMBER(SEARCH("gas",LOWER(M758))),"GAS",IF(ISNUMBER(SEARCH("water",LOWER(M758))),"WATER",IF(ISNUMBER(SEARCH("oil",LOWER(M758))),"OIL","UNKNOWN")))))))</f>
        <v/>
      </c>
      <c r="R758" s="12">
        <f>IF(C758="","",C758)</f>
        <v/>
      </c>
      <c r="S758" s="12">
        <f>IF(R758="","",R758+IF(O758&lt;&gt;"",O758,IF(H758="",0,H758)))</f>
        <v/>
      </c>
      <c r="T758" s="12">
        <f>IF(R758="","",MAX(Settings!$B$3,Settings!$B$4*IF(O758&lt;&gt;"",O758,IF(H758="",0,H758))))</f>
        <v/>
      </c>
      <c r="U758" s="11">
        <f>IF(AND(C758&lt;&gt;"",M758&lt;&gt;"",OR(H758&lt;&gt;"",O758&lt;&gt;"")),"COMPLETE",IF(OR(C758&lt;&gt;"",M758&lt;&gt;""),"PARTIAL","MISSING"))</f>
        <v/>
      </c>
      <c r="V758" s="11">
        <f>IF(Q758="UNKNOWN","Check fluid description",IF(AND(R758&lt;&gt;"",S758&lt;&gt;""),"Ready for contact screening","Needs TVD + thickness"))</f>
        <v/>
      </c>
    </row>
    <row r="759">
      <c r="A759" s="9" t="n"/>
      <c r="B759" s="9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9" t="n"/>
      <c r="N759" s="9" t="n"/>
      <c r="O759" s="10" t="n"/>
      <c r="P759" s="9" t="n"/>
      <c r="Q759" s="11">
        <f>IF(P759&lt;&gt;"",P759,IF(M759="","UNKNOWN",IF(AND(ISNUMBER(SEARCH("gas",LOWER(M759))),ISNUMBER(SEARCH("water",LOWER(M759)))),"GAS_WATER",IF(AND(ISNUMBER(SEARCH("oil",LOWER(M759))),ISNUMBER(SEARCH("water",LOWER(M759)))),"OIL_WATER",IF(ISNUMBER(SEARCH("gas",LOWER(M759))),"GAS",IF(ISNUMBER(SEARCH("water",LOWER(M759))),"WATER",IF(ISNUMBER(SEARCH("oil",LOWER(M759))),"OIL","UNKNOWN")))))))</f>
        <v/>
      </c>
      <c r="R759" s="12">
        <f>IF(C759="","",C759)</f>
        <v/>
      </c>
      <c r="S759" s="12">
        <f>IF(R759="","",R759+IF(O759&lt;&gt;"",O759,IF(H759="",0,H759)))</f>
        <v/>
      </c>
      <c r="T759" s="12">
        <f>IF(R759="","",MAX(Settings!$B$3,Settings!$B$4*IF(O759&lt;&gt;"",O759,IF(H759="",0,H759))))</f>
        <v/>
      </c>
      <c r="U759" s="11">
        <f>IF(AND(C759&lt;&gt;"",M759&lt;&gt;"",OR(H759&lt;&gt;"",O759&lt;&gt;"")),"COMPLETE",IF(OR(C759&lt;&gt;"",M759&lt;&gt;""),"PARTIAL","MISSING"))</f>
        <v/>
      </c>
      <c r="V759" s="11">
        <f>IF(Q759="UNKNOWN","Check fluid description",IF(AND(R759&lt;&gt;"",S759&lt;&gt;""),"Ready for contact screening","Needs TVD + thickness"))</f>
        <v/>
      </c>
    </row>
    <row r="760">
      <c r="A760" s="9" t="n"/>
      <c r="B760" s="9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9" t="n"/>
      <c r="N760" s="9" t="n"/>
      <c r="O760" s="10" t="n"/>
      <c r="P760" s="9" t="n"/>
      <c r="Q760" s="11">
        <f>IF(P760&lt;&gt;"",P760,IF(M760="","UNKNOWN",IF(AND(ISNUMBER(SEARCH("gas",LOWER(M760))),ISNUMBER(SEARCH("water",LOWER(M760)))),"GAS_WATER",IF(AND(ISNUMBER(SEARCH("oil",LOWER(M760))),ISNUMBER(SEARCH("water",LOWER(M760)))),"OIL_WATER",IF(ISNUMBER(SEARCH("gas",LOWER(M760))),"GAS",IF(ISNUMBER(SEARCH("water",LOWER(M760))),"WATER",IF(ISNUMBER(SEARCH("oil",LOWER(M760))),"OIL","UNKNOWN")))))))</f>
        <v/>
      </c>
      <c r="R760" s="12">
        <f>IF(C760="","",C760)</f>
        <v/>
      </c>
      <c r="S760" s="12">
        <f>IF(R760="","",R760+IF(O760&lt;&gt;"",O760,IF(H760="",0,H760)))</f>
        <v/>
      </c>
      <c r="T760" s="12">
        <f>IF(R760="","",MAX(Settings!$B$3,Settings!$B$4*IF(O760&lt;&gt;"",O760,IF(H760="",0,H760))))</f>
        <v/>
      </c>
      <c r="U760" s="11">
        <f>IF(AND(C760&lt;&gt;"",M760&lt;&gt;"",OR(H760&lt;&gt;"",O760&lt;&gt;"")),"COMPLETE",IF(OR(C760&lt;&gt;"",M760&lt;&gt;""),"PARTIAL","MISSING"))</f>
        <v/>
      </c>
      <c r="V760" s="11">
        <f>IF(Q760="UNKNOWN","Check fluid description",IF(AND(R760&lt;&gt;"",S760&lt;&gt;""),"Ready for contact screening","Needs TVD + thickness"))</f>
        <v/>
      </c>
    </row>
    <row r="761">
      <c r="A761" s="9" t="n"/>
      <c r="B761" s="9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9" t="n"/>
      <c r="N761" s="9" t="n"/>
      <c r="O761" s="10" t="n"/>
      <c r="P761" s="9" t="n"/>
      <c r="Q761" s="11">
        <f>IF(P761&lt;&gt;"",P761,IF(M761="","UNKNOWN",IF(AND(ISNUMBER(SEARCH("gas",LOWER(M761))),ISNUMBER(SEARCH("water",LOWER(M761)))),"GAS_WATER",IF(AND(ISNUMBER(SEARCH("oil",LOWER(M761))),ISNUMBER(SEARCH("water",LOWER(M761)))),"OIL_WATER",IF(ISNUMBER(SEARCH("gas",LOWER(M761))),"GAS",IF(ISNUMBER(SEARCH("water",LOWER(M761))),"WATER",IF(ISNUMBER(SEARCH("oil",LOWER(M761))),"OIL","UNKNOWN")))))))</f>
        <v/>
      </c>
      <c r="R761" s="12">
        <f>IF(C761="","",C761)</f>
        <v/>
      </c>
      <c r="S761" s="12">
        <f>IF(R761="","",R761+IF(O761&lt;&gt;"",O761,IF(H761="",0,H761)))</f>
        <v/>
      </c>
      <c r="T761" s="12">
        <f>IF(R761="","",MAX(Settings!$B$3,Settings!$B$4*IF(O761&lt;&gt;"",O761,IF(H761="",0,H761))))</f>
        <v/>
      </c>
      <c r="U761" s="11">
        <f>IF(AND(C761&lt;&gt;"",M761&lt;&gt;"",OR(H761&lt;&gt;"",O761&lt;&gt;"")),"COMPLETE",IF(OR(C761&lt;&gt;"",M761&lt;&gt;""),"PARTIAL","MISSING"))</f>
        <v/>
      </c>
      <c r="V761" s="11">
        <f>IF(Q761="UNKNOWN","Check fluid description",IF(AND(R761&lt;&gt;"",S761&lt;&gt;""),"Ready for contact screening","Needs TVD + thickness"))</f>
        <v/>
      </c>
    </row>
    <row r="762">
      <c r="A762" s="9" t="n"/>
      <c r="B762" s="9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9" t="n"/>
      <c r="N762" s="9" t="n"/>
      <c r="O762" s="10" t="n"/>
      <c r="P762" s="9" t="n"/>
      <c r="Q762" s="11">
        <f>IF(P762&lt;&gt;"",P762,IF(M762="","UNKNOWN",IF(AND(ISNUMBER(SEARCH("gas",LOWER(M762))),ISNUMBER(SEARCH("water",LOWER(M762)))),"GAS_WATER",IF(AND(ISNUMBER(SEARCH("oil",LOWER(M762))),ISNUMBER(SEARCH("water",LOWER(M762)))),"OIL_WATER",IF(ISNUMBER(SEARCH("gas",LOWER(M762))),"GAS",IF(ISNUMBER(SEARCH("water",LOWER(M762))),"WATER",IF(ISNUMBER(SEARCH("oil",LOWER(M762))),"OIL","UNKNOWN")))))))</f>
        <v/>
      </c>
      <c r="R762" s="12">
        <f>IF(C762="","",C762)</f>
        <v/>
      </c>
      <c r="S762" s="12">
        <f>IF(R762="","",R762+IF(O762&lt;&gt;"",O762,IF(H762="",0,H762)))</f>
        <v/>
      </c>
      <c r="T762" s="12">
        <f>IF(R762="","",MAX(Settings!$B$3,Settings!$B$4*IF(O762&lt;&gt;"",O762,IF(H762="",0,H762))))</f>
        <v/>
      </c>
      <c r="U762" s="11">
        <f>IF(AND(C762&lt;&gt;"",M762&lt;&gt;"",OR(H762&lt;&gt;"",O762&lt;&gt;"")),"COMPLETE",IF(OR(C762&lt;&gt;"",M762&lt;&gt;""),"PARTIAL","MISSING"))</f>
        <v/>
      </c>
      <c r="V762" s="11">
        <f>IF(Q762="UNKNOWN","Check fluid description",IF(AND(R762&lt;&gt;"",S762&lt;&gt;""),"Ready for contact screening","Needs TVD + thickness"))</f>
        <v/>
      </c>
    </row>
    <row r="763">
      <c r="A763" s="9" t="n"/>
      <c r="B763" s="9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9" t="n"/>
      <c r="N763" s="9" t="n"/>
      <c r="O763" s="10" t="n"/>
      <c r="P763" s="9" t="n"/>
      <c r="Q763" s="11">
        <f>IF(P763&lt;&gt;"",P763,IF(M763="","UNKNOWN",IF(AND(ISNUMBER(SEARCH("gas",LOWER(M763))),ISNUMBER(SEARCH("water",LOWER(M763)))),"GAS_WATER",IF(AND(ISNUMBER(SEARCH("oil",LOWER(M763))),ISNUMBER(SEARCH("water",LOWER(M763)))),"OIL_WATER",IF(ISNUMBER(SEARCH("gas",LOWER(M763))),"GAS",IF(ISNUMBER(SEARCH("water",LOWER(M763))),"WATER",IF(ISNUMBER(SEARCH("oil",LOWER(M763))),"OIL","UNKNOWN")))))))</f>
        <v/>
      </c>
      <c r="R763" s="12">
        <f>IF(C763="","",C763)</f>
        <v/>
      </c>
      <c r="S763" s="12">
        <f>IF(R763="","",R763+IF(O763&lt;&gt;"",O763,IF(H763="",0,H763)))</f>
        <v/>
      </c>
      <c r="T763" s="12">
        <f>IF(R763="","",MAX(Settings!$B$3,Settings!$B$4*IF(O763&lt;&gt;"",O763,IF(H763="",0,H763))))</f>
        <v/>
      </c>
      <c r="U763" s="11">
        <f>IF(AND(C763&lt;&gt;"",M763&lt;&gt;"",OR(H763&lt;&gt;"",O763&lt;&gt;"")),"COMPLETE",IF(OR(C763&lt;&gt;"",M763&lt;&gt;""),"PARTIAL","MISSING"))</f>
        <v/>
      </c>
      <c r="V763" s="11">
        <f>IF(Q763="UNKNOWN","Check fluid description",IF(AND(R763&lt;&gt;"",S763&lt;&gt;""),"Ready for contact screening","Needs TVD + thickness"))</f>
        <v/>
      </c>
    </row>
    <row r="764">
      <c r="A764" s="9" t="n"/>
      <c r="B764" s="9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9" t="n"/>
      <c r="N764" s="9" t="n"/>
      <c r="O764" s="10" t="n"/>
      <c r="P764" s="9" t="n"/>
      <c r="Q764" s="11">
        <f>IF(P764&lt;&gt;"",P764,IF(M764="","UNKNOWN",IF(AND(ISNUMBER(SEARCH("gas",LOWER(M764))),ISNUMBER(SEARCH("water",LOWER(M764)))),"GAS_WATER",IF(AND(ISNUMBER(SEARCH("oil",LOWER(M764))),ISNUMBER(SEARCH("water",LOWER(M764)))),"OIL_WATER",IF(ISNUMBER(SEARCH("gas",LOWER(M764))),"GAS",IF(ISNUMBER(SEARCH("water",LOWER(M764))),"WATER",IF(ISNUMBER(SEARCH("oil",LOWER(M764))),"OIL","UNKNOWN")))))))</f>
        <v/>
      </c>
      <c r="R764" s="12">
        <f>IF(C764="","",C764)</f>
        <v/>
      </c>
      <c r="S764" s="12">
        <f>IF(R764="","",R764+IF(O764&lt;&gt;"",O764,IF(H764="",0,H764)))</f>
        <v/>
      </c>
      <c r="T764" s="12">
        <f>IF(R764="","",MAX(Settings!$B$3,Settings!$B$4*IF(O764&lt;&gt;"",O764,IF(H764="",0,H764))))</f>
        <v/>
      </c>
      <c r="U764" s="11">
        <f>IF(AND(C764&lt;&gt;"",M764&lt;&gt;"",OR(H764&lt;&gt;"",O764&lt;&gt;"")),"COMPLETE",IF(OR(C764&lt;&gt;"",M764&lt;&gt;""),"PARTIAL","MISSING"))</f>
        <v/>
      </c>
      <c r="V764" s="11">
        <f>IF(Q764="UNKNOWN","Check fluid description",IF(AND(R764&lt;&gt;"",S764&lt;&gt;""),"Ready for contact screening","Needs TVD + thickness"))</f>
        <v/>
      </c>
    </row>
    <row r="765">
      <c r="A765" s="9" t="n"/>
      <c r="B765" s="9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9" t="n"/>
      <c r="N765" s="9" t="n"/>
      <c r="O765" s="10" t="n"/>
      <c r="P765" s="9" t="n"/>
      <c r="Q765" s="11">
        <f>IF(P765&lt;&gt;"",P765,IF(M765="","UNKNOWN",IF(AND(ISNUMBER(SEARCH("gas",LOWER(M765))),ISNUMBER(SEARCH("water",LOWER(M765)))),"GAS_WATER",IF(AND(ISNUMBER(SEARCH("oil",LOWER(M765))),ISNUMBER(SEARCH("water",LOWER(M765)))),"OIL_WATER",IF(ISNUMBER(SEARCH("gas",LOWER(M765))),"GAS",IF(ISNUMBER(SEARCH("water",LOWER(M765))),"WATER",IF(ISNUMBER(SEARCH("oil",LOWER(M765))),"OIL","UNKNOWN")))))))</f>
        <v/>
      </c>
      <c r="R765" s="12">
        <f>IF(C765="","",C765)</f>
        <v/>
      </c>
      <c r="S765" s="12">
        <f>IF(R765="","",R765+IF(O765&lt;&gt;"",O765,IF(H765="",0,H765)))</f>
        <v/>
      </c>
      <c r="T765" s="12">
        <f>IF(R765="","",MAX(Settings!$B$3,Settings!$B$4*IF(O765&lt;&gt;"",O765,IF(H765="",0,H765))))</f>
        <v/>
      </c>
      <c r="U765" s="11">
        <f>IF(AND(C765&lt;&gt;"",M765&lt;&gt;"",OR(H765&lt;&gt;"",O765&lt;&gt;"")),"COMPLETE",IF(OR(C765&lt;&gt;"",M765&lt;&gt;""),"PARTIAL","MISSING"))</f>
        <v/>
      </c>
      <c r="V765" s="11">
        <f>IF(Q765="UNKNOWN","Check fluid description",IF(AND(R765&lt;&gt;"",S765&lt;&gt;""),"Ready for contact screening","Needs TVD + thickness"))</f>
        <v/>
      </c>
    </row>
    <row r="766">
      <c r="A766" s="9" t="n"/>
      <c r="B766" s="9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9" t="n"/>
      <c r="N766" s="9" t="n"/>
      <c r="O766" s="10" t="n"/>
      <c r="P766" s="9" t="n"/>
      <c r="Q766" s="11">
        <f>IF(P766&lt;&gt;"",P766,IF(M766="","UNKNOWN",IF(AND(ISNUMBER(SEARCH("gas",LOWER(M766))),ISNUMBER(SEARCH("water",LOWER(M766)))),"GAS_WATER",IF(AND(ISNUMBER(SEARCH("oil",LOWER(M766))),ISNUMBER(SEARCH("water",LOWER(M766)))),"OIL_WATER",IF(ISNUMBER(SEARCH("gas",LOWER(M766))),"GAS",IF(ISNUMBER(SEARCH("water",LOWER(M766))),"WATER",IF(ISNUMBER(SEARCH("oil",LOWER(M766))),"OIL","UNKNOWN")))))))</f>
        <v/>
      </c>
      <c r="R766" s="12">
        <f>IF(C766="","",C766)</f>
        <v/>
      </c>
      <c r="S766" s="12">
        <f>IF(R766="","",R766+IF(O766&lt;&gt;"",O766,IF(H766="",0,H766)))</f>
        <v/>
      </c>
      <c r="T766" s="12">
        <f>IF(R766="","",MAX(Settings!$B$3,Settings!$B$4*IF(O766&lt;&gt;"",O766,IF(H766="",0,H766))))</f>
        <v/>
      </c>
      <c r="U766" s="11">
        <f>IF(AND(C766&lt;&gt;"",M766&lt;&gt;"",OR(H766&lt;&gt;"",O766&lt;&gt;"")),"COMPLETE",IF(OR(C766&lt;&gt;"",M766&lt;&gt;""),"PARTIAL","MISSING"))</f>
        <v/>
      </c>
      <c r="V766" s="11">
        <f>IF(Q766="UNKNOWN","Check fluid description",IF(AND(R766&lt;&gt;"",S766&lt;&gt;""),"Ready for contact screening","Needs TVD + thickness"))</f>
        <v/>
      </c>
    </row>
    <row r="767">
      <c r="A767" s="9" t="n"/>
      <c r="B767" s="9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9" t="n"/>
      <c r="N767" s="9" t="n"/>
      <c r="O767" s="10" t="n"/>
      <c r="P767" s="9" t="n"/>
      <c r="Q767" s="11">
        <f>IF(P767&lt;&gt;"",P767,IF(M767="","UNKNOWN",IF(AND(ISNUMBER(SEARCH("gas",LOWER(M767))),ISNUMBER(SEARCH("water",LOWER(M767)))),"GAS_WATER",IF(AND(ISNUMBER(SEARCH("oil",LOWER(M767))),ISNUMBER(SEARCH("water",LOWER(M767)))),"OIL_WATER",IF(ISNUMBER(SEARCH("gas",LOWER(M767))),"GAS",IF(ISNUMBER(SEARCH("water",LOWER(M767))),"WATER",IF(ISNUMBER(SEARCH("oil",LOWER(M767))),"OIL","UNKNOWN")))))))</f>
        <v/>
      </c>
      <c r="R767" s="12">
        <f>IF(C767="","",C767)</f>
        <v/>
      </c>
      <c r="S767" s="12">
        <f>IF(R767="","",R767+IF(O767&lt;&gt;"",O767,IF(H767="",0,H767)))</f>
        <v/>
      </c>
      <c r="T767" s="12">
        <f>IF(R767="","",MAX(Settings!$B$3,Settings!$B$4*IF(O767&lt;&gt;"",O767,IF(H767="",0,H767))))</f>
        <v/>
      </c>
      <c r="U767" s="11">
        <f>IF(AND(C767&lt;&gt;"",M767&lt;&gt;"",OR(H767&lt;&gt;"",O767&lt;&gt;"")),"COMPLETE",IF(OR(C767&lt;&gt;"",M767&lt;&gt;""),"PARTIAL","MISSING"))</f>
        <v/>
      </c>
      <c r="V767" s="11">
        <f>IF(Q767="UNKNOWN","Check fluid description",IF(AND(R767&lt;&gt;"",S767&lt;&gt;""),"Ready for contact screening","Needs TVD + thickness"))</f>
        <v/>
      </c>
    </row>
    <row r="768">
      <c r="A768" s="9" t="n"/>
      <c r="B768" s="9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9" t="n"/>
      <c r="N768" s="9" t="n"/>
      <c r="O768" s="10" t="n"/>
      <c r="P768" s="9" t="n"/>
      <c r="Q768" s="11">
        <f>IF(P768&lt;&gt;"",P768,IF(M768="","UNKNOWN",IF(AND(ISNUMBER(SEARCH("gas",LOWER(M768))),ISNUMBER(SEARCH("water",LOWER(M768)))),"GAS_WATER",IF(AND(ISNUMBER(SEARCH("oil",LOWER(M768))),ISNUMBER(SEARCH("water",LOWER(M768)))),"OIL_WATER",IF(ISNUMBER(SEARCH("gas",LOWER(M768))),"GAS",IF(ISNUMBER(SEARCH("water",LOWER(M768))),"WATER",IF(ISNUMBER(SEARCH("oil",LOWER(M768))),"OIL","UNKNOWN")))))))</f>
        <v/>
      </c>
      <c r="R768" s="12">
        <f>IF(C768="","",C768)</f>
        <v/>
      </c>
      <c r="S768" s="12">
        <f>IF(R768="","",R768+IF(O768&lt;&gt;"",O768,IF(H768="",0,H768)))</f>
        <v/>
      </c>
      <c r="T768" s="12">
        <f>IF(R768="","",MAX(Settings!$B$3,Settings!$B$4*IF(O768&lt;&gt;"",O768,IF(H768="",0,H768))))</f>
        <v/>
      </c>
      <c r="U768" s="11">
        <f>IF(AND(C768&lt;&gt;"",M768&lt;&gt;"",OR(H768&lt;&gt;"",O768&lt;&gt;"")),"COMPLETE",IF(OR(C768&lt;&gt;"",M768&lt;&gt;""),"PARTIAL","MISSING"))</f>
        <v/>
      </c>
      <c r="V768" s="11">
        <f>IF(Q768="UNKNOWN","Check fluid description",IF(AND(R768&lt;&gt;"",S768&lt;&gt;""),"Ready for contact screening","Needs TVD + thickness"))</f>
        <v/>
      </c>
    </row>
    <row r="769">
      <c r="A769" s="9" t="n"/>
      <c r="B769" s="9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9" t="n"/>
      <c r="N769" s="9" t="n"/>
      <c r="O769" s="10" t="n"/>
      <c r="P769" s="9" t="n"/>
      <c r="Q769" s="11">
        <f>IF(P769&lt;&gt;"",P769,IF(M769="","UNKNOWN",IF(AND(ISNUMBER(SEARCH("gas",LOWER(M769))),ISNUMBER(SEARCH("water",LOWER(M769)))),"GAS_WATER",IF(AND(ISNUMBER(SEARCH("oil",LOWER(M769))),ISNUMBER(SEARCH("water",LOWER(M769)))),"OIL_WATER",IF(ISNUMBER(SEARCH("gas",LOWER(M769))),"GAS",IF(ISNUMBER(SEARCH("water",LOWER(M769))),"WATER",IF(ISNUMBER(SEARCH("oil",LOWER(M769))),"OIL","UNKNOWN")))))))</f>
        <v/>
      </c>
      <c r="R769" s="12">
        <f>IF(C769="","",C769)</f>
        <v/>
      </c>
      <c r="S769" s="12">
        <f>IF(R769="","",R769+IF(O769&lt;&gt;"",O769,IF(H769="",0,H769)))</f>
        <v/>
      </c>
      <c r="T769" s="12">
        <f>IF(R769="","",MAX(Settings!$B$3,Settings!$B$4*IF(O769&lt;&gt;"",O769,IF(H769="",0,H769))))</f>
        <v/>
      </c>
      <c r="U769" s="11">
        <f>IF(AND(C769&lt;&gt;"",M769&lt;&gt;"",OR(H769&lt;&gt;"",O769&lt;&gt;"")),"COMPLETE",IF(OR(C769&lt;&gt;"",M769&lt;&gt;""),"PARTIAL","MISSING"))</f>
        <v/>
      </c>
      <c r="V769" s="11">
        <f>IF(Q769="UNKNOWN","Check fluid description",IF(AND(R769&lt;&gt;"",S769&lt;&gt;""),"Ready for contact screening","Needs TVD + thickness"))</f>
        <v/>
      </c>
    </row>
    <row r="770">
      <c r="A770" s="9" t="n"/>
      <c r="B770" s="9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9" t="n"/>
      <c r="N770" s="9" t="n"/>
      <c r="O770" s="10" t="n"/>
      <c r="P770" s="9" t="n"/>
      <c r="Q770" s="11">
        <f>IF(P770&lt;&gt;"",P770,IF(M770="","UNKNOWN",IF(AND(ISNUMBER(SEARCH("gas",LOWER(M770))),ISNUMBER(SEARCH("water",LOWER(M770)))),"GAS_WATER",IF(AND(ISNUMBER(SEARCH("oil",LOWER(M770))),ISNUMBER(SEARCH("water",LOWER(M770)))),"OIL_WATER",IF(ISNUMBER(SEARCH("gas",LOWER(M770))),"GAS",IF(ISNUMBER(SEARCH("water",LOWER(M770))),"WATER",IF(ISNUMBER(SEARCH("oil",LOWER(M770))),"OIL","UNKNOWN")))))))</f>
        <v/>
      </c>
      <c r="R770" s="12">
        <f>IF(C770="","",C770)</f>
        <v/>
      </c>
      <c r="S770" s="12">
        <f>IF(R770="","",R770+IF(O770&lt;&gt;"",O770,IF(H770="",0,H770)))</f>
        <v/>
      </c>
      <c r="T770" s="12">
        <f>IF(R770="","",MAX(Settings!$B$3,Settings!$B$4*IF(O770&lt;&gt;"",O770,IF(H770="",0,H770))))</f>
        <v/>
      </c>
      <c r="U770" s="11">
        <f>IF(AND(C770&lt;&gt;"",M770&lt;&gt;"",OR(H770&lt;&gt;"",O770&lt;&gt;"")),"COMPLETE",IF(OR(C770&lt;&gt;"",M770&lt;&gt;""),"PARTIAL","MISSING"))</f>
        <v/>
      </c>
      <c r="V770" s="11">
        <f>IF(Q770="UNKNOWN","Check fluid description",IF(AND(R770&lt;&gt;"",S770&lt;&gt;""),"Ready for contact screening","Needs TVD + thickness"))</f>
        <v/>
      </c>
    </row>
    <row r="771">
      <c r="A771" s="9" t="n"/>
      <c r="B771" s="9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9" t="n"/>
      <c r="N771" s="9" t="n"/>
      <c r="O771" s="10" t="n"/>
      <c r="P771" s="9" t="n"/>
      <c r="Q771" s="11">
        <f>IF(P771&lt;&gt;"",P771,IF(M771="","UNKNOWN",IF(AND(ISNUMBER(SEARCH("gas",LOWER(M771))),ISNUMBER(SEARCH("water",LOWER(M771)))),"GAS_WATER",IF(AND(ISNUMBER(SEARCH("oil",LOWER(M771))),ISNUMBER(SEARCH("water",LOWER(M771)))),"OIL_WATER",IF(ISNUMBER(SEARCH("gas",LOWER(M771))),"GAS",IF(ISNUMBER(SEARCH("water",LOWER(M771))),"WATER",IF(ISNUMBER(SEARCH("oil",LOWER(M771))),"OIL","UNKNOWN")))))))</f>
        <v/>
      </c>
      <c r="R771" s="12">
        <f>IF(C771="","",C771)</f>
        <v/>
      </c>
      <c r="S771" s="12">
        <f>IF(R771="","",R771+IF(O771&lt;&gt;"",O771,IF(H771="",0,H771)))</f>
        <v/>
      </c>
      <c r="T771" s="12">
        <f>IF(R771="","",MAX(Settings!$B$3,Settings!$B$4*IF(O771&lt;&gt;"",O771,IF(H771="",0,H771))))</f>
        <v/>
      </c>
      <c r="U771" s="11">
        <f>IF(AND(C771&lt;&gt;"",M771&lt;&gt;"",OR(H771&lt;&gt;"",O771&lt;&gt;"")),"COMPLETE",IF(OR(C771&lt;&gt;"",M771&lt;&gt;""),"PARTIAL","MISSING"))</f>
        <v/>
      </c>
      <c r="V771" s="11">
        <f>IF(Q771="UNKNOWN","Check fluid description",IF(AND(R771&lt;&gt;"",S771&lt;&gt;""),"Ready for contact screening","Needs TVD + thickness"))</f>
        <v/>
      </c>
    </row>
    <row r="772">
      <c r="A772" s="9" t="n"/>
      <c r="B772" s="9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9" t="n"/>
      <c r="N772" s="9" t="n"/>
      <c r="O772" s="10" t="n"/>
      <c r="P772" s="9" t="n"/>
      <c r="Q772" s="11">
        <f>IF(P772&lt;&gt;"",P772,IF(M772="","UNKNOWN",IF(AND(ISNUMBER(SEARCH("gas",LOWER(M772))),ISNUMBER(SEARCH("water",LOWER(M772)))),"GAS_WATER",IF(AND(ISNUMBER(SEARCH("oil",LOWER(M772))),ISNUMBER(SEARCH("water",LOWER(M772)))),"OIL_WATER",IF(ISNUMBER(SEARCH("gas",LOWER(M772))),"GAS",IF(ISNUMBER(SEARCH("water",LOWER(M772))),"WATER",IF(ISNUMBER(SEARCH("oil",LOWER(M772))),"OIL","UNKNOWN")))))))</f>
        <v/>
      </c>
      <c r="R772" s="12">
        <f>IF(C772="","",C772)</f>
        <v/>
      </c>
      <c r="S772" s="12">
        <f>IF(R772="","",R772+IF(O772&lt;&gt;"",O772,IF(H772="",0,H772)))</f>
        <v/>
      </c>
      <c r="T772" s="12">
        <f>IF(R772="","",MAX(Settings!$B$3,Settings!$B$4*IF(O772&lt;&gt;"",O772,IF(H772="",0,H772))))</f>
        <v/>
      </c>
      <c r="U772" s="11">
        <f>IF(AND(C772&lt;&gt;"",M772&lt;&gt;"",OR(H772&lt;&gt;"",O772&lt;&gt;"")),"COMPLETE",IF(OR(C772&lt;&gt;"",M772&lt;&gt;""),"PARTIAL","MISSING"))</f>
        <v/>
      </c>
      <c r="V772" s="11">
        <f>IF(Q772="UNKNOWN","Check fluid description",IF(AND(R772&lt;&gt;"",S772&lt;&gt;""),"Ready for contact screening","Needs TVD + thickness"))</f>
        <v/>
      </c>
    </row>
    <row r="773">
      <c r="A773" s="9" t="n"/>
      <c r="B773" s="9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9" t="n"/>
      <c r="N773" s="9" t="n"/>
      <c r="O773" s="10" t="n"/>
      <c r="P773" s="9" t="n"/>
      <c r="Q773" s="11">
        <f>IF(P773&lt;&gt;"",P773,IF(M773="","UNKNOWN",IF(AND(ISNUMBER(SEARCH("gas",LOWER(M773))),ISNUMBER(SEARCH("water",LOWER(M773)))),"GAS_WATER",IF(AND(ISNUMBER(SEARCH("oil",LOWER(M773))),ISNUMBER(SEARCH("water",LOWER(M773)))),"OIL_WATER",IF(ISNUMBER(SEARCH("gas",LOWER(M773))),"GAS",IF(ISNUMBER(SEARCH("water",LOWER(M773))),"WATER",IF(ISNUMBER(SEARCH("oil",LOWER(M773))),"OIL","UNKNOWN")))))))</f>
        <v/>
      </c>
      <c r="R773" s="12">
        <f>IF(C773="","",C773)</f>
        <v/>
      </c>
      <c r="S773" s="12">
        <f>IF(R773="","",R773+IF(O773&lt;&gt;"",O773,IF(H773="",0,H773)))</f>
        <v/>
      </c>
      <c r="T773" s="12">
        <f>IF(R773="","",MAX(Settings!$B$3,Settings!$B$4*IF(O773&lt;&gt;"",O773,IF(H773="",0,H773))))</f>
        <v/>
      </c>
      <c r="U773" s="11">
        <f>IF(AND(C773&lt;&gt;"",M773&lt;&gt;"",OR(H773&lt;&gt;"",O773&lt;&gt;"")),"COMPLETE",IF(OR(C773&lt;&gt;"",M773&lt;&gt;""),"PARTIAL","MISSING"))</f>
        <v/>
      </c>
      <c r="V773" s="11">
        <f>IF(Q773="UNKNOWN","Check fluid description",IF(AND(R773&lt;&gt;"",S773&lt;&gt;""),"Ready for contact screening","Needs TVD + thickness"))</f>
        <v/>
      </c>
    </row>
    <row r="774">
      <c r="A774" s="9" t="n"/>
      <c r="B774" s="9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9" t="n"/>
      <c r="N774" s="9" t="n"/>
      <c r="O774" s="10" t="n"/>
      <c r="P774" s="9" t="n"/>
      <c r="Q774" s="11">
        <f>IF(P774&lt;&gt;"",P774,IF(M774="","UNKNOWN",IF(AND(ISNUMBER(SEARCH("gas",LOWER(M774))),ISNUMBER(SEARCH("water",LOWER(M774)))),"GAS_WATER",IF(AND(ISNUMBER(SEARCH("oil",LOWER(M774))),ISNUMBER(SEARCH("water",LOWER(M774)))),"OIL_WATER",IF(ISNUMBER(SEARCH("gas",LOWER(M774))),"GAS",IF(ISNUMBER(SEARCH("water",LOWER(M774))),"WATER",IF(ISNUMBER(SEARCH("oil",LOWER(M774))),"OIL","UNKNOWN")))))))</f>
        <v/>
      </c>
      <c r="R774" s="12">
        <f>IF(C774="","",C774)</f>
        <v/>
      </c>
      <c r="S774" s="12">
        <f>IF(R774="","",R774+IF(O774&lt;&gt;"",O774,IF(H774="",0,H774)))</f>
        <v/>
      </c>
      <c r="T774" s="12">
        <f>IF(R774="","",MAX(Settings!$B$3,Settings!$B$4*IF(O774&lt;&gt;"",O774,IF(H774="",0,H774))))</f>
        <v/>
      </c>
      <c r="U774" s="11">
        <f>IF(AND(C774&lt;&gt;"",M774&lt;&gt;"",OR(H774&lt;&gt;"",O774&lt;&gt;"")),"COMPLETE",IF(OR(C774&lt;&gt;"",M774&lt;&gt;""),"PARTIAL","MISSING"))</f>
        <v/>
      </c>
      <c r="V774" s="11">
        <f>IF(Q774="UNKNOWN","Check fluid description",IF(AND(R774&lt;&gt;"",S774&lt;&gt;""),"Ready for contact screening","Needs TVD + thickness"))</f>
        <v/>
      </c>
    </row>
    <row r="775">
      <c r="A775" s="9" t="n"/>
      <c r="B775" s="9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9" t="n"/>
      <c r="N775" s="9" t="n"/>
      <c r="O775" s="10" t="n"/>
      <c r="P775" s="9" t="n"/>
      <c r="Q775" s="11">
        <f>IF(P775&lt;&gt;"",P775,IF(M775="","UNKNOWN",IF(AND(ISNUMBER(SEARCH("gas",LOWER(M775))),ISNUMBER(SEARCH("water",LOWER(M775)))),"GAS_WATER",IF(AND(ISNUMBER(SEARCH("oil",LOWER(M775))),ISNUMBER(SEARCH("water",LOWER(M775)))),"OIL_WATER",IF(ISNUMBER(SEARCH("gas",LOWER(M775))),"GAS",IF(ISNUMBER(SEARCH("water",LOWER(M775))),"WATER",IF(ISNUMBER(SEARCH("oil",LOWER(M775))),"OIL","UNKNOWN")))))))</f>
        <v/>
      </c>
      <c r="R775" s="12">
        <f>IF(C775="","",C775)</f>
        <v/>
      </c>
      <c r="S775" s="12">
        <f>IF(R775="","",R775+IF(O775&lt;&gt;"",O775,IF(H775="",0,H775)))</f>
        <v/>
      </c>
      <c r="T775" s="12">
        <f>IF(R775="","",MAX(Settings!$B$3,Settings!$B$4*IF(O775&lt;&gt;"",O775,IF(H775="",0,H775))))</f>
        <v/>
      </c>
      <c r="U775" s="11">
        <f>IF(AND(C775&lt;&gt;"",M775&lt;&gt;"",OR(H775&lt;&gt;"",O775&lt;&gt;"")),"COMPLETE",IF(OR(C775&lt;&gt;"",M775&lt;&gt;""),"PARTIAL","MISSING"))</f>
        <v/>
      </c>
      <c r="V775" s="11">
        <f>IF(Q775="UNKNOWN","Check fluid description",IF(AND(R775&lt;&gt;"",S775&lt;&gt;""),"Ready for contact screening","Needs TVD + thickness"))</f>
        <v/>
      </c>
    </row>
    <row r="776">
      <c r="A776" s="9" t="n"/>
      <c r="B776" s="9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9" t="n"/>
      <c r="N776" s="9" t="n"/>
      <c r="O776" s="10" t="n"/>
      <c r="P776" s="9" t="n"/>
      <c r="Q776" s="11">
        <f>IF(P776&lt;&gt;"",P776,IF(M776="","UNKNOWN",IF(AND(ISNUMBER(SEARCH("gas",LOWER(M776))),ISNUMBER(SEARCH("water",LOWER(M776)))),"GAS_WATER",IF(AND(ISNUMBER(SEARCH("oil",LOWER(M776))),ISNUMBER(SEARCH("water",LOWER(M776)))),"OIL_WATER",IF(ISNUMBER(SEARCH("gas",LOWER(M776))),"GAS",IF(ISNUMBER(SEARCH("water",LOWER(M776))),"WATER",IF(ISNUMBER(SEARCH("oil",LOWER(M776))),"OIL","UNKNOWN")))))))</f>
        <v/>
      </c>
      <c r="R776" s="12">
        <f>IF(C776="","",C776)</f>
        <v/>
      </c>
      <c r="S776" s="12">
        <f>IF(R776="","",R776+IF(O776&lt;&gt;"",O776,IF(H776="",0,H776)))</f>
        <v/>
      </c>
      <c r="T776" s="12">
        <f>IF(R776="","",MAX(Settings!$B$3,Settings!$B$4*IF(O776&lt;&gt;"",O776,IF(H776="",0,H776))))</f>
        <v/>
      </c>
      <c r="U776" s="11">
        <f>IF(AND(C776&lt;&gt;"",M776&lt;&gt;"",OR(H776&lt;&gt;"",O776&lt;&gt;"")),"COMPLETE",IF(OR(C776&lt;&gt;"",M776&lt;&gt;""),"PARTIAL","MISSING"))</f>
        <v/>
      </c>
      <c r="V776" s="11">
        <f>IF(Q776="UNKNOWN","Check fluid description",IF(AND(R776&lt;&gt;"",S776&lt;&gt;""),"Ready for contact screening","Needs TVD + thickness"))</f>
        <v/>
      </c>
    </row>
    <row r="777">
      <c r="A777" s="9" t="n"/>
      <c r="B777" s="9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9" t="n"/>
      <c r="N777" s="9" t="n"/>
      <c r="O777" s="10" t="n"/>
      <c r="P777" s="9" t="n"/>
      <c r="Q777" s="11">
        <f>IF(P777&lt;&gt;"",P777,IF(M777="","UNKNOWN",IF(AND(ISNUMBER(SEARCH("gas",LOWER(M777))),ISNUMBER(SEARCH("water",LOWER(M777)))),"GAS_WATER",IF(AND(ISNUMBER(SEARCH("oil",LOWER(M777))),ISNUMBER(SEARCH("water",LOWER(M777)))),"OIL_WATER",IF(ISNUMBER(SEARCH("gas",LOWER(M777))),"GAS",IF(ISNUMBER(SEARCH("water",LOWER(M777))),"WATER",IF(ISNUMBER(SEARCH("oil",LOWER(M777))),"OIL","UNKNOWN")))))))</f>
        <v/>
      </c>
      <c r="R777" s="12">
        <f>IF(C777="","",C777)</f>
        <v/>
      </c>
      <c r="S777" s="12">
        <f>IF(R777="","",R777+IF(O777&lt;&gt;"",O777,IF(H777="",0,H777)))</f>
        <v/>
      </c>
      <c r="T777" s="12">
        <f>IF(R777="","",MAX(Settings!$B$3,Settings!$B$4*IF(O777&lt;&gt;"",O777,IF(H777="",0,H777))))</f>
        <v/>
      </c>
      <c r="U777" s="11">
        <f>IF(AND(C777&lt;&gt;"",M777&lt;&gt;"",OR(H777&lt;&gt;"",O777&lt;&gt;"")),"COMPLETE",IF(OR(C777&lt;&gt;"",M777&lt;&gt;""),"PARTIAL","MISSING"))</f>
        <v/>
      </c>
      <c r="V777" s="11">
        <f>IF(Q777="UNKNOWN","Check fluid description",IF(AND(R777&lt;&gt;"",S777&lt;&gt;""),"Ready for contact screening","Needs TVD + thickness"))</f>
        <v/>
      </c>
    </row>
    <row r="778">
      <c r="A778" s="9" t="n"/>
      <c r="B778" s="9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9" t="n"/>
      <c r="N778" s="9" t="n"/>
      <c r="O778" s="10" t="n"/>
      <c r="P778" s="9" t="n"/>
      <c r="Q778" s="11">
        <f>IF(P778&lt;&gt;"",P778,IF(M778="","UNKNOWN",IF(AND(ISNUMBER(SEARCH("gas",LOWER(M778))),ISNUMBER(SEARCH("water",LOWER(M778)))),"GAS_WATER",IF(AND(ISNUMBER(SEARCH("oil",LOWER(M778))),ISNUMBER(SEARCH("water",LOWER(M778)))),"OIL_WATER",IF(ISNUMBER(SEARCH("gas",LOWER(M778))),"GAS",IF(ISNUMBER(SEARCH("water",LOWER(M778))),"WATER",IF(ISNUMBER(SEARCH("oil",LOWER(M778))),"OIL","UNKNOWN")))))))</f>
        <v/>
      </c>
      <c r="R778" s="12">
        <f>IF(C778="","",C778)</f>
        <v/>
      </c>
      <c r="S778" s="12">
        <f>IF(R778="","",R778+IF(O778&lt;&gt;"",O778,IF(H778="",0,H778)))</f>
        <v/>
      </c>
      <c r="T778" s="12">
        <f>IF(R778="","",MAX(Settings!$B$3,Settings!$B$4*IF(O778&lt;&gt;"",O778,IF(H778="",0,H778))))</f>
        <v/>
      </c>
      <c r="U778" s="11">
        <f>IF(AND(C778&lt;&gt;"",M778&lt;&gt;"",OR(H778&lt;&gt;"",O778&lt;&gt;"")),"COMPLETE",IF(OR(C778&lt;&gt;"",M778&lt;&gt;""),"PARTIAL","MISSING"))</f>
        <v/>
      </c>
      <c r="V778" s="11">
        <f>IF(Q778="UNKNOWN","Check fluid description",IF(AND(R778&lt;&gt;"",S778&lt;&gt;""),"Ready for contact screening","Needs TVD + thickness"))</f>
        <v/>
      </c>
    </row>
    <row r="779">
      <c r="A779" s="9" t="n"/>
      <c r="B779" s="9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9" t="n"/>
      <c r="N779" s="9" t="n"/>
      <c r="O779" s="10" t="n"/>
      <c r="P779" s="9" t="n"/>
      <c r="Q779" s="11">
        <f>IF(P779&lt;&gt;"",P779,IF(M779="","UNKNOWN",IF(AND(ISNUMBER(SEARCH("gas",LOWER(M779))),ISNUMBER(SEARCH("water",LOWER(M779)))),"GAS_WATER",IF(AND(ISNUMBER(SEARCH("oil",LOWER(M779))),ISNUMBER(SEARCH("water",LOWER(M779)))),"OIL_WATER",IF(ISNUMBER(SEARCH("gas",LOWER(M779))),"GAS",IF(ISNUMBER(SEARCH("water",LOWER(M779))),"WATER",IF(ISNUMBER(SEARCH("oil",LOWER(M779))),"OIL","UNKNOWN")))))))</f>
        <v/>
      </c>
      <c r="R779" s="12">
        <f>IF(C779="","",C779)</f>
        <v/>
      </c>
      <c r="S779" s="12">
        <f>IF(R779="","",R779+IF(O779&lt;&gt;"",O779,IF(H779="",0,H779)))</f>
        <v/>
      </c>
      <c r="T779" s="12">
        <f>IF(R779="","",MAX(Settings!$B$3,Settings!$B$4*IF(O779&lt;&gt;"",O779,IF(H779="",0,H779))))</f>
        <v/>
      </c>
      <c r="U779" s="11">
        <f>IF(AND(C779&lt;&gt;"",M779&lt;&gt;"",OR(H779&lt;&gt;"",O779&lt;&gt;"")),"COMPLETE",IF(OR(C779&lt;&gt;"",M779&lt;&gt;""),"PARTIAL","MISSING"))</f>
        <v/>
      </c>
      <c r="V779" s="11">
        <f>IF(Q779="UNKNOWN","Check fluid description",IF(AND(R779&lt;&gt;"",S779&lt;&gt;""),"Ready for contact screening","Needs TVD + thickness"))</f>
        <v/>
      </c>
    </row>
    <row r="780">
      <c r="A780" s="9" t="n"/>
      <c r="B780" s="9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9" t="n"/>
      <c r="N780" s="9" t="n"/>
      <c r="O780" s="10" t="n"/>
      <c r="P780" s="9" t="n"/>
      <c r="Q780" s="11">
        <f>IF(P780&lt;&gt;"",P780,IF(M780="","UNKNOWN",IF(AND(ISNUMBER(SEARCH("gas",LOWER(M780))),ISNUMBER(SEARCH("water",LOWER(M780)))),"GAS_WATER",IF(AND(ISNUMBER(SEARCH("oil",LOWER(M780))),ISNUMBER(SEARCH("water",LOWER(M780)))),"OIL_WATER",IF(ISNUMBER(SEARCH("gas",LOWER(M780))),"GAS",IF(ISNUMBER(SEARCH("water",LOWER(M780))),"WATER",IF(ISNUMBER(SEARCH("oil",LOWER(M780))),"OIL","UNKNOWN")))))))</f>
        <v/>
      </c>
      <c r="R780" s="12">
        <f>IF(C780="","",C780)</f>
        <v/>
      </c>
      <c r="S780" s="12">
        <f>IF(R780="","",R780+IF(O780&lt;&gt;"",O780,IF(H780="",0,H780)))</f>
        <v/>
      </c>
      <c r="T780" s="12">
        <f>IF(R780="","",MAX(Settings!$B$3,Settings!$B$4*IF(O780&lt;&gt;"",O780,IF(H780="",0,H780))))</f>
        <v/>
      </c>
      <c r="U780" s="11">
        <f>IF(AND(C780&lt;&gt;"",M780&lt;&gt;"",OR(H780&lt;&gt;"",O780&lt;&gt;"")),"COMPLETE",IF(OR(C780&lt;&gt;"",M780&lt;&gt;""),"PARTIAL","MISSING"))</f>
        <v/>
      </c>
      <c r="V780" s="11">
        <f>IF(Q780="UNKNOWN","Check fluid description",IF(AND(R780&lt;&gt;"",S780&lt;&gt;""),"Ready for contact screening","Needs TVD + thickness"))</f>
        <v/>
      </c>
    </row>
    <row r="781">
      <c r="A781" s="9" t="n"/>
      <c r="B781" s="9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9" t="n"/>
      <c r="N781" s="9" t="n"/>
      <c r="O781" s="10" t="n"/>
      <c r="P781" s="9" t="n"/>
      <c r="Q781" s="11">
        <f>IF(P781&lt;&gt;"",P781,IF(M781="","UNKNOWN",IF(AND(ISNUMBER(SEARCH("gas",LOWER(M781))),ISNUMBER(SEARCH("water",LOWER(M781)))),"GAS_WATER",IF(AND(ISNUMBER(SEARCH("oil",LOWER(M781))),ISNUMBER(SEARCH("water",LOWER(M781)))),"OIL_WATER",IF(ISNUMBER(SEARCH("gas",LOWER(M781))),"GAS",IF(ISNUMBER(SEARCH("water",LOWER(M781))),"WATER",IF(ISNUMBER(SEARCH("oil",LOWER(M781))),"OIL","UNKNOWN")))))))</f>
        <v/>
      </c>
      <c r="R781" s="12">
        <f>IF(C781="","",C781)</f>
        <v/>
      </c>
      <c r="S781" s="12">
        <f>IF(R781="","",R781+IF(O781&lt;&gt;"",O781,IF(H781="",0,H781)))</f>
        <v/>
      </c>
      <c r="T781" s="12">
        <f>IF(R781="","",MAX(Settings!$B$3,Settings!$B$4*IF(O781&lt;&gt;"",O781,IF(H781="",0,H781))))</f>
        <v/>
      </c>
      <c r="U781" s="11">
        <f>IF(AND(C781&lt;&gt;"",M781&lt;&gt;"",OR(H781&lt;&gt;"",O781&lt;&gt;"")),"COMPLETE",IF(OR(C781&lt;&gt;"",M781&lt;&gt;""),"PARTIAL","MISSING"))</f>
        <v/>
      </c>
      <c r="V781" s="11">
        <f>IF(Q781="UNKNOWN","Check fluid description",IF(AND(R781&lt;&gt;"",S781&lt;&gt;""),"Ready for contact screening","Needs TVD + thickness"))</f>
        <v/>
      </c>
    </row>
    <row r="782">
      <c r="A782" s="9" t="n"/>
      <c r="B782" s="9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9" t="n"/>
      <c r="N782" s="9" t="n"/>
      <c r="O782" s="10" t="n"/>
      <c r="P782" s="9" t="n"/>
      <c r="Q782" s="11">
        <f>IF(P782&lt;&gt;"",P782,IF(M782="","UNKNOWN",IF(AND(ISNUMBER(SEARCH("gas",LOWER(M782))),ISNUMBER(SEARCH("water",LOWER(M782)))),"GAS_WATER",IF(AND(ISNUMBER(SEARCH("oil",LOWER(M782))),ISNUMBER(SEARCH("water",LOWER(M782)))),"OIL_WATER",IF(ISNUMBER(SEARCH("gas",LOWER(M782))),"GAS",IF(ISNUMBER(SEARCH("water",LOWER(M782))),"WATER",IF(ISNUMBER(SEARCH("oil",LOWER(M782))),"OIL","UNKNOWN")))))))</f>
        <v/>
      </c>
      <c r="R782" s="12">
        <f>IF(C782="","",C782)</f>
        <v/>
      </c>
      <c r="S782" s="12">
        <f>IF(R782="","",R782+IF(O782&lt;&gt;"",O782,IF(H782="",0,H782)))</f>
        <v/>
      </c>
      <c r="T782" s="12">
        <f>IF(R782="","",MAX(Settings!$B$3,Settings!$B$4*IF(O782&lt;&gt;"",O782,IF(H782="",0,H782))))</f>
        <v/>
      </c>
      <c r="U782" s="11">
        <f>IF(AND(C782&lt;&gt;"",M782&lt;&gt;"",OR(H782&lt;&gt;"",O782&lt;&gt;"")),"COMPLETE",IF(OR(C782&lt;&gt;"",M782&lt;&gt;""),"PARTIAL","MISSING"))</f>
        <v/>
      </c>
      <c r="V782" s="11">
        <f>IF(Q782="UNKNOWN","Check fluid description",IF(AND(R782&lt;&gt;"",S782&lt;&gt;""),"Ready for contact screening","Needs TVD + thickness"))</f>
        <v/>
      </c>
    </row>
    <row r="783">
      <c r="A783" s="9" t="n"/>
      <c r="B783" s="9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9" t="n"/>
      <c r="N783" s="9" t="n"/>
      <c r="O783" s="10" t="n"/>
      <c r="P783" s="9" t="n"/>
      <c r="Q783" s="11">
        <f>IF(P783&lt;&gt;"",P783,IF(M783="","UNKNOWN",IF(AND(ISNUMBER(SEARCH("gas",LOWER(M783))),ISNUMBER(SEARCH("water",LOWER(M783)))),"GAS_WATER",IF(AND(ISNUMBER(SEARCH("oil",LOWER(M783))),ISNUMBER(SEARCH("water",LOWER(M783)))),"OIL_WATER",IF(ISNUMBER(SEARCH("gas",LOWER(M783))),"GAS",IF(ISNUMBER(SEARCH("water",LOWER(M783))),"WATER",IF(ISNUMBER(SEARCH("oil",LOWER(M783))),"OIL","UNKNOWN")))))))</f>
        <v/>
      </c>
      <c r="R783" s="12">
        <f>IF(C783="","",C783)</f>
        <v/>
      </c>
      <c r="S783" s="12">
        <f>IF(R783="","",R783+IF(O783&lt;&gt;"",O783,IF(H783="",0,H783)))</f>
        <v/>
      </c>
      <c r="T783" s="12">
        <f>IF(R783="","",MAX(Settings!$B$3,Settings!$B$4*IF(O783&lt;&gt;"",O783,IF(H783="",0,H783))))</f>
        <v/>
      </c>
      <c r="U783" s="11">
        <f>IF(AND(C783&lt;&gt;"",M783&lt;&gt;"",OR(H783&lt;&gt;"",O783&lt;&gt;"")),"COMPLETE",IF(OR(C783&lt;&gt;"",M783&lt;&gt;""),"PARTIAL","MISSING"))</f>
        <v/>
      </c>
      <c r="V783" s="11">
        <f>IF(Q783="UNKNOWN","Check fluid description",IF(AND(R783&lt;&gt;"",S783&lt;&gt;""),"Ready for contact screening","Needs TVD + thickness"))</f>
        <v/>
      </c>
    </row>
    <row r="784">
      <c r="A784" s="9" t="n"/>
      <c r="B784" s="9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9" t="n"/>
      <c r="N784" s="9" t="n"/>
      <c r="O784" s="10" t="n"/>
      <c r="P784" s="9" t="n"/>
      <c r="Q784" s="11">
        <f>IF(P784&lt;&gt;"",P784,IF(M784="","UNKNOWN",IF(AND(ISNUMBER(SEARCH("gas",LOWER(M784))),ISNUMBER(SEARCH("water",LOWER(M784)))),"GAS_WATER",IF(AND(ISNUMBER(SEARCH("oil",LOWER(M784))),ISNUMBER(SEARCH("water",LOWER(M784)))),"OIL_WATER",IF(ISNUMBER(SEARCH("gas",LOWER(M784))),"GAS",IF(ISNUMBER(SEARCH("water",LOWER(M784))),"WATER",IF(ISNUMBER(SEARCH("oil",LOWER(M784))),"OIL","UNKNOWN")))))))</f>
        <v/>
      </c>
      <c r="R784" s="12">
        <f>IF(C784="","",C784)</f>
        <v/>
      </c>
      <c r="S784" s="12">
        <f>IF(R784="","",R784+IF(O784&lt;&gt;"",O784,IF(H784="",0,H784)))</f>
        <v/>
      </c>
      <c r="T784" s="12">
        <f>IF(R784="","",MAX(Settings!$B$3,Settings!$B$4*IF(O784&lt;&gt;"",O784,IF(H784="",0,H784))))</f>
        <v/>
      </c>
      <c r="U784" s="11">
        <f>IF(AND(C784&lt;&gt;"",M784&lt;&gt;"",OR(H784&lt;&gt;"",O784&lt;&gt;"")),"COMPLETE",IF(OR(C784&lt;&gt;"",M784&lt;&gt;""),"PARTIAL","MISSING"))</f>
        <v/>
      </c>
      <c r="V784" s="11">
        <f>IF(Q784="UNKNOWN","Check fluid description",IF(AND(R784&lt;&gt;"",S784&lt;&gt;""),"Ready for contact screening","Needs TVD + thickness"))</f>
        <v/>
      </c>
    </row>
    <row r="785">
      <c r="A785" s="9" t="n"/>
      <c r="B785" s="9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9" t="n"/>
      <c r="N785" s="9" t="n"/>
      <c r="O785" s="10" t="n"/>
      <c r="P785" s="9" t="n"/>
      <c r="Q785" s="11">
        <f>IF(P785&lt;&gt;"",P785,IF(M785="","UNKNOWN",IF(AND(ISNUMBER(SEARCH("gas",LOWER(M785))),ISNUMBER(SEARCH("water",LOWER(M785)))),"GAS_WATER",IF(AND(ISNUMBER(SEARCH("oil",LOWER(M785))),ISNUMBER(SEARCH("water",LOWER(M785)))),"OIL_WATER",IF(ISNUMBER(SEARCH("gas",LOWER(M785))),"GAS",IF(ISNUMBER(SEARCH("water",LOWER(M785))),"WATER",IF(ISNUMBER(SEARCH("oil",LOWER(M785))),"OIL","UNKNOWN")))))))</f>
        <v/>
      </c>
      <c r="R785" s="12">
        <f>IF(C785="","",C785)</f>
        <v/>
      </c>
      <c r="S785" s="12">
        <f>IF(R785="","",R785+IF(O785&lt;&gt;"",O785,IF(H785="",0,H785)))</f>
        <v/>
      </c>
      <c r="T785" s="12">
        <f>IF(R785="","",MAX(Settings!$B$3,Settings!$B$4*IF(O785&lt;&gt;"",O785,IF(H785="",0,H785))))</f>
        <v/>
      </c>
      <c r="U785" s="11">
        <f>IF(AND(C785&lt;&gt;"",M785&lt;&gt;"",OR(H785&lt;&gt;"",O785&lt;&gt;"")),"COMPLETE",IF(OR(C785&lt;&gt;"",M785&lt;&gt;""),"PARTIAL","MISSING"))</f>
        <v/>
      </c>
      <c r="V785" s="11">
        <f>IF(Q785="UNKNOWN","Check fluid description",IF(AND(R785&lt;&gt;"",S785&lt;&gt;""),"Ready for contact screening","Needs TVD + thickness"))</f>
        <v/>
      </c>
    </row>
    <row r="786">
      <c r="A786" s="9" t="n"/>
      <c r="B786" s="9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9" t="n"/>
      <c r="N786" s="9" t="n"/>
      <c r="O786" s="10" t="n"/>
      <c r="P786" s="9" t="n"/>
      <c r="Q786" s="11">
        <f>IF(P786&lt;&gt;"",P786,IF(M786="","UNKNOWN",IF(AND(ISNUMBER(SEARCH("gas",LOWER(M786))),ISNUMBER(SEARCH("water",LOWER(M786)))),"GAS_WATER",IF(AND(ISNUMBER(SEARCH("oil",LOWER(M786))),ISNUMBER(SEARCH("water",LOWER(M786)))),"OIL_WATER",IF(ISNUMBER(SEARCH("gas",LOWER(M786))),"GAS",IF(ISNUMBER(SEARCH("water",LOWER(M786))),"WATER",IF(ISNUMBER(SEARCH("oil",LOWER(M786))),"OIL","UNKNOWN")))))))</f>
        <v/>
      </c>
      <c r="R786" s="12">
        <f>IF(C786="","",C786)</f>
        <v/>
      </c>
      <c r="S786" s="12">
        <f>IF(R786="","",R786+IF(O786&lt;&gt;"",O786,IF(H786="",0,H786)))</f>
        <v/>
      </c>
      <c r="T786" s="12">
        <f>IF(R786="","",MAX(Settings!$B$3,Settings!$B$4*IF(O786&lt;&gt;"",O786,IF(H786="",0,H786))))</f>
        <v/>
      </c>
      <c r="U786" s="11">
        <f>IF(AND(C786&lt;&gt;"",M786&lt;&gt;"",OR(H786&lt;&gt;"",O786&lt;&gt;"")),"COMPLETE",IF(OR(C786&lt;&gt;"",M786&lt;&gt;""),"PARTIAL","MISSING"))</f>
        <v/>
      </c>
      <c r="V786" s="11">
        <f>IF(Q786="UNKNOWN","Check fluid description",IF(AND(R786&lt;&gt;"",S786&lt;&gt;""),"Ready for contact screening","Needs TVD + thickness"))</f>
        <v/>
      </c>
    </row>
    <row r="787">
      <c r="A787" s="9" t="n"/>
      <c r="B787" s="9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9" t="n"/>
      <c r="N787" s="9" t="n"/>
      <c r="O787" s="10" t="n"/>
      <c r="P787" s="9" t="n"/>
      <c r="Q787" s="11">
        <f>IF(P787&lt;&gt;"",P787,IF(M787="","UNKNOWN",IF(AND(ISNUMBER(SEARCH("gas",LOWER(M787))),ISNUMBER(SEARCH("water",LOWER(M787)))),"GAS_WATER",IF(AND(ISNUMBER(SEARCH("oil",LOWER(M787))),ISNUMBER(SEARCH("water",LOWER(M787)))),"OIL_WATER",IF(ISNUMBER(SEARCH("gas",LOWER(M787))),"GAS",IF(ISNUMBER(SEARCH("water",LOWER(M787))),"WATER",IF(ISNUMBER(SEARCH("oil",LOWER(M787))),"OIL","UNKNOWN")))))))</f>
        <v/>
      </c>
      <c r="R787" s="12">
        <f>IF(C787="","",C787)</f>
        <v/>
      </c>
      <c r="S787" s="12">
        <f>IF(R787="","",R787+IF(O787&lt;&gt;"",O787,IF(H787="",0,H787)))</f>
        <v/>
      </c>
      <c r="T787" s="12">
        <f>IF(R787="","",MAX(Settings!$B$3,Settings!$B$4*IF(O787&lt;&gt;"",O787,IF(H787="",0,H787))))</f>
        <v/>
      </c>
      <c r="U787" s="11">
        <f>IF(AND(C787&lt;&gt;"",M787&lt;&gt;"",OR(H787&lt;&gt;"",O787&lt;&gt;"")),"COMPLETE",IF(OR(C787&lt;&gt;"",M787&lt;&gt;""),"PARTIAL","MISSING"))</f>
        <v/>
      </c>
      <c r="V787" s="11">
        <f>IF(Q787="UNKNOWN","Check fluid description",IF(AND(R787&lt;&gt;"",S787&lt;&gt;""),"Ready for contact screening","Needs TVD + thickness"))</f>
        <v/>
      </c>
    </row>
    <row r="788">
      <c r="A788" s="9" t="n"/>
      <c r="B788" s="9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9" t="n"/>
      <c r="N788" s="9" t="n"/>
      <c r="O788" s="10" t="n"/>
      <c r="P788" s="9" t="n"/>
      <c r="Q788" s="11">
        <f>IF(P788&lt;&gt;"",P788,IF(M788="","UNKNOWN",IF(AND(ISNUMBER(SEARCH("gas",LOWER(M788))),ISNUMBER(SEARCH("water",LOWER(M788)))),"GAS_WATER",IF(AND(ISNUMBER(SEARCH("oil",LOWER(M788))),ISNUMBER(SEARCH("water",LOWER(M788)))),"OIL_WATER",IF(ISNUMBER(SEARCH("gas",LOWER(M788))),"GAS",IF(ISNUMBER(SEARCH("water",LOWER(M788))),"WATER",IF(ISNUMBER(SEARCH("oil",LOWER(M788))),"OIL","UNKNOWN")))))))</f>
        <v/>
      </c>
      <c r="R788" s="12">
        <f>IF(C788="","",C788)</f>
        <v/>
      </c>
      <c r="S788" s="12">
        <f>IF(R788="","",R788+IF(O788&lt;&gt;"",O788,IF(H788="",0,H788)))</f>
        <v/>
      </c>
      <c r="T788" s="12">
        <f>IF(R788="","",MAX(Settings!$B$3,Settings!$B$4*IF(O788&lt;&gt;"",O788,IF(H788="",0,H788))))</f>
        <v/>
      </c>
      <c r="U788" s="11">
        <f>IF(AND(C788&lt;&gt;"",M788&lt;&gt;"",OR(H788&lt;&gt;"",O788&lt;&gt;"")),"COMPLETE",IF(OR(C788&lt;&gt;"",M788&lt;&gt;""),"PARTIAL","MISSING"))</f>
        <v/>
      </c>
      <c r="V788" s="11">
        <f>IF(Q788="UNKNOWN","Check fluid description",IF(AND(R788&lt;&gt;"",S788&lt;&gt;""),"Ready for contact screening","Needs TVD + thickness"))</f>
        <v/>
      </c>
    </row>
    <row r="789">
      <c r="A789" s="9" t="n"/>
      <c r="B789" s="9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9" t="n"/>
      <c r="N789" s="9" t="n"/>
      <c r="O789" s="10" t="n"/>
      <c r="P789" s="9" t="n"/>
      <c r="Q789" s="11">
        <f>IF(P789&lt;&gt;"",P789,IF(M789="","UNKNOWN",IF(AND(ISNUMBER(SEARCH("gas",LOWER(M789))),ISNUMBER(SEARCH("water",LOWER(M789)))),"GAS_WATER",IF(AND(ISNUMBER(SEARCH("oil",LOWER(M789))),ISNUMBER(SEARCH("water",LOWER(M789)))),"OIL_WATER",IF(ISNUMBER(SEARCH("gas",LOWER(M789))),"GAS",IF(ISNUMBER(SEARCH("water",LOWER(M789))),"WATER",IF(ISNUMBER(SEARCH("oil",LOWER(M789))),"OIL","UNKNOWN")))))))</f>
        <v/>
      </c>
      <c r="R789" s="12">
        <f>IF(C789="","",C789)</f>
        <v/>
      </c>
      <c r="S789" s="12">
        <f>IF(R789="","",R789+IF(O789&lt;&gt;"",O789,IF(H789="",0,H789)))</f>
        <v/>
      </c>
      <c r="T789" s="12">
        <f>IF(R789="","",MAX(Settings!$B$3,Settings!$B$4*IF(O789&lt;&gt;"",O789,IF(H789="",0,H789))))</f>
        <v/>
      </c>
      <c r="U789" s="11">
        <f>IF(AND(C789&lt;&gt;"",M789&lt;&gt;"",OR(H789&lt;&gt;"",O789&lt;&gt;"")),"COMPLETE",IF(OR(C789&lt;&gt;"",M789&lt;&gt;""),"PARTIAL","MISSING"))</f>
        <v/>
      </c>
      <c r="V789" s="11">
        <f>IF(Q789="UNKNOWN","Check fluid description",IF(AND(R789&lt;&gt;"",S789&lt;&gt;""),"Ready for contact screening","Needs TVD + thickness"))</f>
        <v/>
      </c>
    </row>
    <row r="790">
      <c r="A790" s="9" t="n"/>
      <c r="B790" s="9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9" t="n"/>
      <c r="N790" s="9" t="n"/>
      <c r="O790" s="10" t="n"/>
      <c r="P790" s="9" t="n"/>
      <c r="Q790" s="11">
        <f>IF(P790&lt;&gt;"",P790,IF(M790="","UNKNOWN",IF(AND(ISNUMBER(SEARCH("gas",LOWER(M790))),ISNUMBER(SEARCH("water",LOWER(M790)))),"GAS_WATER",IF(AND(ISNUMBER(SEARCH("oil",LOWER(M790))),ISNUMBER(SEARCH("water",LOWER(M790)))),"OIL_WATER",IF(ISNUMBER(SEARCH("gas",LOWER(M790))),"GAS",IF(ISNUMBER(SEARCH("water",LOWER(M790))),"WATER",IF(ISNUMBER(SEARCH("oil",LOWER(M790))),"OIL","UNKNOWN")))))))</f>
        <v/>
      </c>
      <c r="R790" s="12">
        <f>IF(C790="","",C790)</f>
        <v/>
      </c>
      <c r="S790" s="12">
        <f>IF(R790="","",R790+IF(O790&lt;&gt;"",O790,IF(H790="",0,H790)))</f>
        <v/>
      </c>
      <c r="T790" s="12">
        <f>IF(R790="","",MAX(Settings!$B$3,Settings!$B$4*IF(O790&lt;&gt;"",O790,IF(H790="",0,H790))))</f>
        <v/>
      </c>
      <c r="U790" s="11">
        <f>IF(AND(C790&lt;&gt;"",M790&lt;&gt;"",OR(H790&lt;&gt;"",O790&lt;&gt;"")),"COMPLETE",IF(OR(C790&lt;&gt;"",M790&lt;&gt;""),"PARTIAL","MISSING"))</f>
        <v/>
      </c>
      <c r="V790" s="11">
        <f>IF(Q790="UNKNOWN","Check fluid description",IF(AND(R790&lt;&gt;"",S790&lt;&gt;""),"Ready for contact screening","Needs TVD + thickness"))</f>
        <v/>
      </c>
    </row>
    <row r="791">
      <c r="A791" s="9" t="n"/>
      <c r="B791" s="9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9" t="n"/>
      <c r="N791" s="9" t="n"/>
      <c r="O791" s="10" t="n"/>
      <c r="P791" s="9" t="n"/>
      <c r="Q791" s="11">
        <f>IF(P791&lt;&gt;"",P791,IF(M791="","UNKNOWN",IF(AND(ISNUMBER(SEARCH("gas",LOWER(M791))),ISNUMBER(SEARCH("water",LOWER(M791)))),"GAS_WATER",IF(AND(ISNUMBER(SEARCH("oil",LOWER(M791))),ISNUMBER(SEARCH("water",LOWER(M791)))),"OIL_WATER",IF(ISNUMBER(SEARCH("gas",LOWER(M791))),"GAS",IF(ISNUMBER(SEARCH("water",LOWER(M791))),"WATER",IF(ISNUMBER(SEARCH("oil",LOWER(M791))),"OIL","UNKNOWN")))))))</f>
        <v/>
      </c>
      <c r="R791" s="12">
        <f>IF(C791="","",C791)</f>
        <v/>
      </c>
      <c r="S791" s="12">
        <f>IF(R791="","",R791+IF(O791&lt;&gt;"",O791,IF(H791="",0,H791)))</f>
        <v/>
      </c>
      <c r="T791" s="12">
        <f>IF(R791="","",MAX(Settings!$B$3,Settings!$B$4*IF(O791&lt;&gt;"",O791,IF(H791="",0,H791))))</f>
        <v/>
      </c>
      <c r="U791" s="11">
        <f>IF(AND(C791&lt;&gt;"",M791&lt;&gt;"",OR(H791&lt;&gt;"",O791&lt;&gt;"")),"COMPLETE",IF(OR(C791&lt;&gt;"",M791&lt;&gt;""),"PARTIAL","MISSING"))</f>
        <v/>
      </c>
      <c r="V791" s="11">
        <f>IF(Q791="UNKNOWN","Check fluid description",IF(AND(R791&lt;&gt;"",S791&lt;&gt;""),"Ready for contact screening","Needs TVD + thickness"))</f>
        <v/>
      </c>
    </row>
    <row r="792">
      <c r="A792" s="9" t="n"/>
      <c r="B792" s="9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9" t="n"/>
      <c r="N792" s="9" t="n"/>
      <c r="O792" s="10" t="n"/>
      <c r="P792" s="9" t="n"/>
      <c r="Q792" s="11">
        <f>IF(P792&lt;&gt;"",P792,IF(M792="","UNKNOWN",IF(AND(ISNUMBER(SEARCH("gas",LOWER(M792))),ISNUMBER(SEARCH("water",LOWER(M792)))),"GAS_WATER",IF(AND(ISNUMBER(SEARCH("oil",LOWER(M792))),ISNUMBER(SEARCH("water",LOWER(M792)))),"OIL_WATER",IF(ISNUMBER(SEARCH("gas",LOWER(M792))),"GAS",IF(ISNUMBER(SEARCH("water",LOWER(M792))),"WATER",IF(ISNUMBER(SEARCH("oil",LOWER(M792))),"OIL","UNKNOWN")))))))</f>
        <v/>
      </c>
      <c r="R792" s="12">
        <f>IF(C792="","",C792)</f>
        <v/>
      </c>
      <c r="S792" s="12">
        <f>IF(R792="","",R792+IF(O792&lt;&gt;"",O792,IF(H792="",0,H792)))</f>
        <v/>
      </c>
      <c r="T792" s="12">
        <f>IF(R792="","",MAX(Settings!$B$3,Settings!$B$4*IF(O792&lt;&gt;"",O792,IF(H792="",0,H792))))</f>
        <v/>
      </c>
      <c r="U792" s="11">
        <f>IF(AND(C792&lt;&gt;"",M792&lt;&gt;"",OR(H792&lt;&gt;"",O792&lt;&gt;"")),"COMPLETE",IF(OR(C792&lt;&gt;"",M792&lt;&gt;""),"PARTIAL","MISSING"))</f>
        <v/>
      </c>
      <c r="V792" s="11">
        <f>IF(Q792="UNKNOWN","Check fluid description",IF(AND(R792&lt;&gt;"",S792&lt;&gt;""),"Ready for contact screening","Needs TVD + thickness"))</f>
        <v/>
      </c>
    </row>
    <row r="793">
      <c r="A793" s="9" t="n"/>
      <c r="B793" s="9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9" t="n"/>
      <c r="N793" s="9" t="n"/>
      <c r="O793" s="10" t="n"/>
      <c r="P793" s="9" t="n"/>
      <c r="Q793" s="11">
        <f>IF(P793&lt;&gt;"",P793,IF(M793="","UNKNOWN",IF(AND(ISNUMBER(SEARCH("gas",LOWER(M793))),ISNUMBER(SEARCH("water",LOWER(M793)))),"GAS_WATER",IF(AND(ISNUMBER(SEARCH("oil",LOWER(M793))),ISNUMBER(SEARCH("water",LOWER(M793)))),"OIL_WATER",IF(ISNUMBER(SEARCH("gas",LOWER(M793))),"GAS",IF(ISNUMBER(SEARCH("water",LOWER(M793))),"WATER",IF(ISNUMBER(SEARCH("oil",LOWER(M793))),"OIL","UNKNOWN")))))))</f>
        <v/>
      </c>
      <c r="R793" s="12">
        <f>IF(C793="","",C793)</f>
        <v/>
      </c>
      <c r="S793" s="12">
        <f>IF(R793="","",R793+IF(O793&lt;&gt;"",O793,IF(H793="",0,H793)))</f>
        <v/>
      </c>
      <c r="T793" s="12">
        <f>IF(R793="","",MAX(Settings!$B$3,Settings!$B$4*IF(O793&lt;&gt;"",O793,IF(H793="",0,H793))))</f>
        <v/>
      </c>
      <c r="U793" s="11">
        <f>IF(AND(C793&lt;&gt;"",M793&lt;&gt;"",OR(H793&lt;&gt;"",O793&lt;&gt;"")),"COMPLETE",IF(OR(C793&lt;&gt;"",M793&lt;&gt;""),"PARTIAL","MISSING"))</f>
        <v/>
      </c>
      <c r="V793" s="11">
        <f>IF(Q793="UNKNOWN","Check fluid description",IF(AND(R793&lt;&gt;"",S793&lt;&gt;""),"Ready for contact screening","Needs TVD + thickness"))</f>
        <v/>
      </c>
    </row>
    <row r="794">
      <c r="A794" s="9" t="n"/>
      <c r="B794" s="9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9" t="n"/>
      <c r="N794" s="9" t="n"/>
      <c r="O794" s="10" t="n"/>
      <c r="P794" s="9" t="n"/>
      <c r="Q794" s="11">
        <f>IF(P794&lt;&gt;"",P794,IF(M794="","UNKNOWN",IF(AND(ISNUMBER(SEARCH("gas",LOWER(M794))),ISNUMBER(SEARCH("water",LOWER(M794)))),"GAS_WATER",IF(AND(ISNUMBER(SEARCH("oil",LOWER(M794))),ISNUMBER(SEARCH("water",LOWER(M794)))),"OIL_WATER",IF(ISNUMBER(SEARCH("gas",LOWER(M794))),"GAS",IF(ISNUMBER(SEARCH("water",LOWER(M794))),"WATER",IF(ISNUMBER(SEARCH("oil",LOWER(M794))),"OIL","UNKNOWN")))))))</f>
        <v/>
      </c>
      <c r="R794" s="12">
        <f>IF(C794="","",C794)</f>
        <v/>
      </c>
      <c r="S794" s="12">
        <f>IF(R794="","",R794+IF(O794&lt;&gt;"",O794,IF(H794="",0,H794)))</f>
        <v/>
      </c>
      <c r="T794" s="12">
        <f>IF(R794="","",MAX(Settings!$B$3,Settings!$B$4*IF(O794&lt;&gt;"",O794,IF(H794="",0,H794))))</f>
        <v/>
      </c>
      <c r="U794" s="11">
        <f>IF(AND(C794&lt;&gt;"",M794&lt;&gt;"",OR(H794&lt;&gt;"",O794&lt;&gt;"")),"COMPLETE",IF(OR(C794&lt;&gt;"",M794&lt;&gt;""),"PARTIAL","MISSING"))</f>
        <v/>
      </c>
      <c r="V794" s="11">
        <f>IF(Q794="UNKNOWN","Check fluid description",IF(AND(R794&lt;&gt;"",S794&lt;&gt;""),"Ready for contact screening","Needs TVD + thickness"))</f>
        <v/>
      </c>
    </row>
    <row r="795">
      <c r="A795" s="9" t="n"/>
      <c r="B795" s="9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9" t="n"/>
      <c r="N795" s="9" t="n"/>
      <c r="O795" s="10" t="n"/>
      <c r="P795" s="9" t="n"/>
      <c r="Q795" s="11">
        <f>IF(P795&lt;&gt;"",P795,IF(M795="","UNKNOWN",IF(AND(ISNUMBER(SEARCH("gas",LOWER(M795))),ISNUMBER(SEARCH("water",LOWER(M795)))),"GAS_WATER",IF(AND(ISNUMBER(SEARCH("oil",LOWER(M795))),ISNUMBER(SEARCH("water",LOWER(M795)))),"OIL_WATER",IF(ISNUMBER(SEARCH("gas",LOWER(M795))),"GAS",IF(ISNUMBER(SEARCH("water",LOWER(M795))),"WATER",IF(ISNUMBER(SEARCH("oil",LOWER(M795))),"OIL","UNKNOWN")))))))</f>
        <v/>
      </c>
      <c r="R795" s="12">
        <f>IF(C795="","",C795)</f>
        <v/>
      </c>
      <c r="S795" s="12">
        <f>IF(R795="","",R795+IF(O795&lt;&gt;"",O795,IF(H795="",0,H795)))</f>
        <v/>
      </c>
      <c r="T795" s="12">
        <f>IF(R795="","",MAX(Settings!$B$3,Settings!$B$4*IF(O795&lt;&gt;"",O795,IF(H795="",0,H795))))</f>
        <v/>
      </c>
      <c r="U795" s="11">
        <f>IF(AND(C795&lt;&gt;"",M795&lt;&gt;"",OR(H795&lt;&gt;"",O795&lt;&gt;"")),"COMPLETE",IF(OR(C795&lt;&gt;"",M795&lt;&gt;""),"PARTIAL","MISSING"))</f>
        <v/>
      </c>
      <c r="V795" s="11">
        <f>IF(Q795="UNKNOWN","Check fluid description",IF(AND(R795&lt;&gt;"",S795&lt;&gt;""),"Ready for contact screening","Needs TVD + thickness"))</f>
        <v/>
      </c>
    </row>
    <row r="796">
      <c r="A796" s="9" t="n"/>
      <c r="B796" s="9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9" t="n"/>
      <c r="N796" s="9" t="n"/>
      <c r="O796" s="10" t="n"/>
      <c r="P796" s="9" t="n"/>
      <c r="Q796" s="11">
        <f>IF(P796&lt;&gt;"",P796,IF(M796="","UNKNOWN",IF(AND(ISNUMBER(SEARCH("gas",LOWER(M796))),ISNUMBER(SEARCH("water",LOWER(M796)))),"GAS_WATER",IF(AND(ISNUMBER(SEARCH("oil",LOWER(M796))),ISNUMBER(SEARCH("water",LOWER(M796)))),"OIL_WATER",IF(ISNUMBER(SEARCH("gas",LOWER(M796))),"GAS",IF(ISNUMBER(SEARCH("water",LOWER(M796))),"WATER",IF(ISNUMBER(SEARCH("oil",LOWER(M796))),"OIL","UNKNOWN")))))))</f>
        <v/>
      </c>
      <c r="R796" s="12">
        <f>IF(C796="","",C796)</f>
        <v/>
      </c>
      <c r="S796" s="12">
        <f>IF(R796="","",R796+IF(O796&lt;&gt;"",O796,IF(H796="",0,H796)))</f>
        <v/>
      </c>
      <c r="T796" s="12">
        <f>IF(R796="","",MAX(Settings!$B$3,Settings!$B$4*IF(O796&lt;&gt;"",O796,IF(H796="",0,H796))))</f>
        <v/>
      </c>
      <c r="U796" s="11">
        <f>IF(AND(C796&lt;&gt;"",M796&lt;&gt;"",OR(H796&lt;&gt;"",O796&lt;&gt;"")),"COMPLETE",IF(OR(C796&lt;&gt;"",M796&lt;&gt;""),"PARTIAL","MISSING"))</f>
        <v/>
      </c>
      <c r="V796" s="11">
        <f>IF(Q796="UNKNOWN","Check fluid description",IF(AND(R796&lt;&gt;"",S796&lt;&gt;""),"Ready for contact screening","Needs TVD + thickness"))</f>
        <v/>
      </c>
    </row>
    <row r="797">
      <c r="A797" s="9" t="n"/>
      <c r="B797" s="9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9" t="n"/>
      <c r="N797" s="9" t="n"/>
      <c r="O797" s="10" t="n"/>
      <c r="P797" s="9" t="n"/>
      <c r="Q797" s="11">
        <f>IF(P797&lt;&gt;"",P797,IF(M797="","UNKNOWN",IF(AND(ISNUMBER(SEARCH("gas",LOWER(M797))),ISNUMBER(SEARCH("water",LOWER(M797)))),"GAS_WATER",IF(AND(ISNUMBER(SEARCH("oil",LOWER(M797))),ISNUMBER(SEARCH("water",LOWER(M797)))),"OIL_WATER",IF(ISNUMBER(SEARCH("gas",LOWER(M797))),"GAS",IF(ISNUMBER(SEARCH("water",LOWER(M797))),"WATER",IF(ISNUMBER(SEARCH("oil",LOWER(M797))),"OIL","UNKNOWN")))))))</f>
        <v/>
      </c>
      <c r="R797" s="12">
        <f>IF(C797="","",C797)</f>
        <v/>
      </c>
      <c r="S797" s="12">
        <f>IF(R797="","",R797+IF(O797&lt;&gt;"",O797,IF(H797="",0,H797)))</f>
        <v/>
      </c>
      <c r="T797" s="12">
        <f>IF(R797="","",MAX(Settings!$B$3,Settings!$B$4*IF(O797&lt;&gt;"",O797,IF(H797="",0,H797))))</f>
        <v/>
      </c>
      <c r="U797" s="11">
        <f>IF(AND(C797&lt;&gt;"",M797&lt;&gt;"",OR(H797&lt;&gt;"",O797&lt;&gt;"")),"COMPLETE",IF(OR(C797&lt;&gt;"",M797&lt;&gt;""),"PARTIAL","MISSING"))</f>
        <v/>
      </c>
      <c r="V797" s="11">
        <f>IF(Q797="UNKNOWN","Check fluid description",IF(AND(R797&lt;&gt;"",S797&lt;&gt;""),"Ready for contact screening","Needs TVD + thickness"))</f>
        <v/>
      </c>
    </row>
    <row r="798">
      <c r="A798" s="9" t="n"/>
      <c r="B798" s="9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9" t="n"/>
      <c r="N798" s="9" t="n"/>
      <c r="O798" s="10" t="n"/>
      <c r="P798" s="9" t="n"/>
      <c r="Q798" s="11">
        <f>IF(P798&lt;&gt;"",P798,IF(M798="","UNKNOWN",IF(AND(ISNUMBER(SEARCH("gas",LOWER(M798))),ISNUMBER(SEARCH("water",LOWER(M798)))),"GAS_WATER",IF(AND(ISNUMBER(SEARCH("oil",LOWER(M798))),ISNUMBER(SEARCH("water",LOWER(M798)))),"OIL_WATER",IF(ISNUMBER(SEARCH("gas",LOWER(M798))),"GAS",IF(ISNUMBER(SEARCH("water",LOWER(M798))),"WATER",IF(ISNUMBER(SEARCH("oil",LOWER(M798))),"OIL","UNKNOWN")))))))</f>
        <v/>
      </c>
      <c r="R798" s="12">
        <f>IF(C798="","",C798)</f>
        <v/>
      </c>
      <c r="S798" s="12">
        <f>IF(R798="","",R798+IF(O798&lt;&gt;"",O798,IF(H798="",0,H798)))</f>
        <v/>
      </c>
      <c r="T798" s="12">
        <f>IF(R798="","",MAX(Settings!$B$3,Settings!$B$4*IF(O798&lt;&gt;"",O798,IF(H798="",0,H798))))</f>
        <v/>
      </c>
      <c r="U798" s="11">
        <f>IF(AND(C798&lt;&gt;"",M798&lt;&gt;"",OR(H798&lt;&gt;"",O798&lt;&gt;"")),"COMPLETE",IF(OR(C798&lt;&gt;"",M798&lt;&gt;""),"PARTIAL","MISSING"))</f>
        <v/>
      </c>
      <c r="V798" s="11">
        <f>IF(Q798="UNKNOWN","Check fluid description",IF(AND(R798&lt;&gt;"",S798&lt;&gt;""),"Ready for contact screening","Needs TVD + thickness"))</f>
        <v/>
      </c>
    </row>
    <row r="799">
      <c r="A799" s="9" t="n"/>
      <c r="B799" s="9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9" t="n"/>
      <c r="N799" s="9" t="n"/>
      <c r="O799" s="10" t="n"/>
      <c r="P799" s="9" t="n"/>
      <c r="Q799" s="11">
        <f>IF(P799&lt;&gt;"",P799,IF(M799="","UNKNOWN",IF(AND(ISNUMBER(SEARCH("gas",LOWER(M799))),ISNUMBER(SEARCH("water",LOWER(M799)))),"GAS_WATER",IF(AND(ISNUMBER(SEARCH("oil",LOWER(M799))),ISNUMBER(SEARCH("water",LOWER(M799)))),"OIL_WATER",IF(ISNUMBER(SEARCH("gas",LOWER(M799))),"GAS",IF(ISNUMBER(SEARCH("water",LOWER(M799))),"WATER",IF(ISNUMBER(SEARCH("oil",LOWER(M799))),"OIL","UNKNOWN")))))))</f>
        <v/>
      </c>
      <c r="R799" s="12">
        <f>IF(C799="","",C799)</f>
        <v/>
      </c>
      <c r="S799" s="12">
        <f>IF(R799="","",R799+IF(O799&lt;&gt;"",O799,IF(H799="",0,H799)))</f>
        <v/>
      </c>
      <c r="T799" s="12">
        <f>IF(R799="","",MAX(Settings!$B$3,Settings!$B$4*IF(O799&lt;&gt;"",O799,IF(H799="",0,H799))))</f>
        <v/>
      </c>
      <c r="U799" s="11">
        <f>IF(AND(C799&lt;&gt;"",M799&lt;&gt;"",OR(H799&lt;&gt;"",O799&lt;&gt;"")),"COMPLETE",IF(OR(C799&lt;&gt;"",M799&lt;&gt;""),"PARTIAL","MISSING"))</f>
        <v/>
      </c>
      <c r="V799" s="11">
        <f>IF(Q799="UNKNOWN","Check fluid description",IF(AND(R799&lt;&gt;"",S799&lt;&gt;""),"Ready for contact screening","Needs TVD + thickness"))</f>
        <v/>
      </c>
    </row>
    <row r="800">
      <c r="A800" s="9" t="n"/>
      <c r="B800" s="9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9" t="n"/>
      <c r="N800" s="9" t="n"/>
      <c r="O800" s="10" t="n"/>
      <c r="P800" s="9" t="n"/>
      <c r="Q800" s="11">
        <f>IF(P800&lt;&gt;"",P800,IF(M800="","UNKNOWN",IF(AND(ISNUMBER(SEARCH("gas",LOWER(M800))),ISNUMBER(SEARCH("water",LOWER(M800)))),"GAS_WATER",IF(AND(ISNUMBER(SEARCH("oil",LOWER(M800))),ISNUMBER(SEARCH("water",LOWER(M800)))),"OIL_WATER",IF(ISNUMBER(SEARCH("gas",LOWER(M800))),"GAS",IF(ISNUMBER(SEARCH("water",LOWER(M800))),"WATER",IF(ISNUMBER(SEARCH("oil",LOWER(M800))),"OIL","UNKNOWN")))))))</f>
        <v/>
      </c>
      <c r="R800" s="12">
        <f>IF(C800="","",C800)</f>
        <v/>
      </c>
      <c r="S800" s="12">
        <f>IF(R800="","",R800+IF(O800&lt;&gt;"",O800,IF(H800="",0,H800)))</f>
        <v/>
      </c>
      <c r="T800" s="12">
        <f>IF(R800="","",MAX(Settings!$B$3,Settings!$B$4*IF(O800&lt;&gt;"",O800,IF(H800="",0,H800))))</f>
        <v/>
      </c>
      <c r="U800" s="11">
        <f>IF(AND(C800&lt;&gt;"",M800&lt;&gt;"",OR(H800&lt;&gt;"",O800&lt;&gt;"")),"COMPLETE",IF(OR(C800&lt;&gt;"",M800&lt;&gt;""),"PARTIAL","MISSING"))</f>
        <v/>
      </c>
      <c r="V800" s="11">
        <f>IF(Q800="UNKNOWN","Check fluid description",IF(AND(R800&lt;&gt;"",S800&lt;&gt;""),"Ready for contact screening","Needs TVD + thickness"))</f>
        <v/>
      </c>
    </row>
    <row r="801">
      <c r="A801" s="9" t="n"/>
      <c r="B801" s="9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9" t="n"/>
      <c r="N801" s="9" t="n"/>
      <c r="O801" s="10" t="n"/>
      <c r="P801" s="9" t="n"/>
      <c r="Q801" s="11">
        <f>IF(P801&lt;&gt;"",P801,IF(M801="","UNKNOWN",IF(AND(ISNUMBER(SEARCH("gas",LOWER(M801))),ISNUMBER(SEARCH("water",LOWER(M801)))),"GAS_WATER",IF(AND(ISNUMBER(SEARCH("oil",LOWER(M801))),ISNUMBER(SEARCH("water",LOWER(M801)))),"OIL_WATER",IF(ISNUMBER(SEARCH("gas",LOWER(M801))),"GAS",IF(ISNUMBER(SEARCH("water",LOWER(M801))),"WATER",IF(ISNUMBER(SEARCH("oil",LOWER(M801))),"OIL","UNKNOWN")))))))</f>
        <v/>
      </c>
      <c r="R801" s="12">
        <f>IF(C801="","",C801)</f>
        <v/>
      </c>
      <c r="S801" s="12">
        <f>IF(R801="","",R801+IF(O801&lt;&gt;"",O801,IF(H801="",0,H801)))</f>
        <v/>
      </c>
      <c r="T801" s="12">
        <f>IF(R801="","",MAX(Settings!$B$3,Settings!$B$4*IF(O801&lt;&gt;"",O801,IF(H801="",0,H801))))</f>
        <v/>
      </c>
      <c r="U801" s="11">
        <f>IF(AND(C801&lt;&gt;"",M801&lt;&gt;"",OR(H801&lt;&gt;"",O801&lt;&gt;"")),"COMPLETE",IF(OR(C801&lt;&gt;"",M801&lt;&gt;""),"PARTIAL","MISSING"))</f>
        <v/>
      </c>
      <c r="V801" s="11">
        <f>IF(Q801="UNKNOWN","Check fluid description",IF(AND(R801&lt;&gt;"",S801&lt;&gt;""),"Ready for contact screening","Needs TVD + thickness"))</f>
        <v/>
      </c>
    </row>
    <row r="802">
      <c r="A802" s="9" t="n"/>
      <c r="B802" s="9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9" t="n"/>
      <c r="N802" s="9" t="n"/>
      <c r="O802" s="10" t="n"/>
      <c r="P802" s="9" t="n"/>
      <c r="Q802" s="11">
        <f>IF(P802&lt;&gt;"",P802,IF(M802="","UNKNOWN",IF(AND(ISNUMBER(SEARCH("gas",LOWER(M802))),ISNUMBER(SEARCH("water",LOWER(M802)))),"GAS_WATER",IF(AND(ISNUMBER(SEARCH("oil",LOWER(M802))),ISNUMBER(SEARCH("water",LOWER(M802)))),"OIL_WATER",IF(ISNUMBER(SEARCH("gas",LOWER(M802))),"GAS",IF(ISNUMBER(SEARCH("water",LOWER(M802))),"WATER",IF(ISNUMBER(SEARCH("oil",LOWER(M802))),"OIL","UNKNOWN")))))))</f>
        <v/>
      </c>
      <c r="R802" s="12">
        <f>IF(C802="","",C802)</f>
        <v/>
      </c>
      <c r="S802" s="12">
        <f>IF(R802="","",R802+IF(O802&lt;&gt;"",O802,IF(H802="",0,H802)))</f>
        <v/>
      </c>
      <c r="T802" s="12">
        <f>IF(R802="","",MAX(Settings!$B$3,Settings!$B$4*IF(O802&lt;&gt;"",O802,IF(H802="",0,H802))))</f>
        <v/>
      </c>
      <c r="U802" s="11">
        <f>IF(AND(C802&lt;&gt;"",M802&lt;&gt;"",OR(H802&lt;&gt;"",O802&lt;&gt;"")),"COMPLETE",IF(OR(C802&lt;&gt;"",M802&lt;&gt;""),"PARTIAL","MISSING"))</f>
        <v/>
      </c>
      <c r="V802" s="11">
        <f>IF(Q802="UNKNOWN","Check fluid description",IF(AND(R802&lt;&gt;"",S802&lt;&gt;""),"Ready for contact screening","Needs TVD + thickness"))</f>
        <v/>
      </c>
    </row>
    <row r="803">
      <c r="A803" s="9" t="n"/>
      <c r="B803" s="9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9" t="n"/>
      <c r="N803" s="9" t="n"/>
      <c r="O803" s="10" t="n"/>
      <c r="P803" s="9" t="n"/>
      <c r="Q803" s="11">
        <f>IF(P803&lt;&gt;"",P803,IF(M803="","UNKNOWN",IF(AND(ISNUMBER(SEARCH("gas",LOWER(M803))),ISNUMBER(SEARCH("water",LOWER(M803)))),"GAS_WATER",IF(AND(ISNUMBER(SEARCH("oil",LOWER(M803))),ISNUMBER(SEARCH("water",LOWER(M803)))),"OIL_WATER",IF(ISNUMBER(SEARCH("gas",LOWER(M803))),"GAS",IF(ISNUMBER(SEARCH("water",LOWER(M803))),"WATER",IF(ISNUMBER(SEARCH("oil",LOWER(M803))),"OIL","UNKNOWN")))))))</f>
        <v/>
      </c>
      <c r="R803" s="12">
        <f>IF(C803="","",C803)</f>
        <v/>
      </c>
      <c r="S803" s="12">
        <f>IF(R803="","",R803+IF(O803&lt;&gt;"",O803,IF(H803="",0,H803)))</f>
        <v/>
      </c>
      <c r="T803" s="12">
        <f>IF(R803="","",MAX(Settings!$B$3,Settings!$B$4*IF(O803&lt;&gt;"",O803,IF(H803="",0,H803))))</f>
        <v/>
      </c>
      <c r="U803" s="11">
        <f>IF(AND(C803&lt;&gt;"",M803&lt;&gt;"",OR(H803&lt;&gt;"",O803&lt;&gt;"")),"COMPLETE",IF(OR(C803&lt;&gt;"",M803&lt;&gt;""),"PARTIAL","MISSING"))</f>
        <v/>
      </c>
      <c r="V803" s="11">
        <f>IF(Q803="UNKNOWN","Check fluid description",IF(AND(R803&lt;&gt;"",S803&lt;&gt;""),"Ready for contact screening","Needs TVD + thickness"))</f>
        <v/>
      </c>
    </row>
    <row r="804">
      <c r="A804" s="9" t="n"/>
      <c r="B804" s="9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9" t="n"/>
      <c r="N804" s="9" t="n"/>
      <c r="O804" s="10" t="n"/>
      <c r="P804" s="9" t="n"/>
      <c r="Q804" s="11">
        <f>IF(P804&lt;&gt;"",P804,IF(M804="","UNKNOWN",IF(AND(ISNUMBER(SEARCH("gas",LOWER(M804))),ISNUMBER(SEARCH("water",LOWER(M804)))),"GAS_WATER",IF(AND(ISNUMBER(SEARCH("oil",LOWER(M804))),ISNUMBER(SEARCH("water",LOWER(M804)))),"OIL_WATER",IF(ISNUMBER(SEARCH("gas",LOWER(M804))),"GAS",IF(ISNUMBER(SEARCH("water",LOWER(M804))),"WATER",IF(ISNUMBER(SEARCH("oil",LOWER(M804))),"OIL","UNKNOWN")))))))</f>
        <v/>
      </c>
      <c r="R804" s="12">
        <f>IF(C804="","",C804)</f>
        <v/>
      </c>
      <c r="S804" s="12">
        <f>IF(R804="","",R804+IF(O804&lt;&gt;"",O804,IF(H804="",0,H804)))</f>
        <v/>
      </c>
      <c r="T804" s="12">
        <f>IF(R804="","",MAX(Settings!$B$3,Settings!$B$4*IF(O804&lt;&gt;"",O804,IF(H804="",0,H804))))</f>
        <v/>
      </c>
      <c r="U804" s="11">
        <f>IF(AND(C804&lt;&gt;"",M804&lt;&gt;"",OR(H804&lt;&gt;"",O804&lt;&gt;"")),"COMPLETE",IF(OR(C804&lt;&gt;"",M804&lt;&gt;""),"PARTIAL","MISSING"))</f>
        <v/>
      </c>
      <c r="V804" s="11">
        <f>IF(Q804="UNKNOWN","Check fluid description",IF(AND(R804&lt;&gt;"",S804&lt;&gt;""),"Ready for contact screening","Needs TVD + thickness"))</f>
        <v/>
      </c>
    </row>
    <row r="805">
      <c r="A805" s="9" t="n"/>
      <c r="B805" s="9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9" t="n"/>
      <c r="N805" s="9" t="n"/>
      <c r="O805" s="10" t="n"/>
      <c r="P805" s="9" t="n"/>
      <c r="Q805" s="11">
        <f>IF(P805&lt;&gt;"",P805,IF(M805="","UNKNOWN",IF(AND(ISNUMBER(SEARCH("gas",LOWER(M805))),ISNUMBER(SEARCH("water",LOWER(M805)))),"GAS_WATER",IF(AND(ISNUMBER(SEARCH("oil",LOWER(M805))),ISNUMBER(SEARCH("water",LOWER(M805)))),"OIL_WATER",IF(ISNUMBER(SEARCH("gas",LOWER(M805))),"GAS",IF(ISNUMBER(SEARCH("water",LOWER(M805))),"WATER",IF(ISNUMBER(SEARCH("oil",LOWER(M805))),"OIL","UNKNOWN")))))))</f>
        <v/>
      </c>
      <c r="R805" s="12">
        <f>IF(C805="","",C805)</f>
        <v/>
      </c>
      <c r="S805" s="12">
        <f>IF(R805="","",R805+IF(O805&lt;&gt;"",O805,IF(H805="",0,H805)))</f>
        <v/>
      </c>
      <c r="T805" s="12">
        <f>IF(R805="","",MAX(Settings!$B$3,Settings!$B$4*IF(O805&lt;&gt;"",O805,IF(H805="",0,H805))))</f>
        <v/>
      </c>
      <c r="U805" s="11">
        <f>IF(AND(C805&lt;&gt;"",M805&lt;&gt;"",OR(H805&lt;&gt;"",O805&lt;&gt;"")),"COMPLETE",IF(OR(C805&lt;&gt;"",M805&lt;&gt;""),"PARTIAL","MISSING"))</f>
        <v/>
      </c>
      <c r="V805" s="11">
        <f>IF(Q805="UNKNOWN","Check fluid description",IF(AND(R805&lt;&gt;"",S805&lt;&gt;""),"Ready for contact screening","Needs TVD + thickness"))</f>
        <v/>
      </c>
    </row>
    <row r="806">
      <c r="A806" s="9" t="n"/>
      <c r="B806" s="9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9" t="n"/>
      <c r="N806" s="9" t="n"/>
      <c r="O806" s="10" t="n"/>
      <c r="P806" s="9" t="n"/>
      <c r="Q806" s="11">
        <f>IF(P806&lt;&gt;"",P806,IF(M806="","UNKNOWN",IF(AND(ISNUMBER(SEARCH("gas",LOWER(M806))),ISNUMBER(SEARCH("water",LOWER(M806)))),"GAS_WATER",IF(AND(ISNUMBER(SEARCH("oil",LOWER(M806))),ISNUMBER(SEARCH("water",LOWER(M806)))),"OIL_WATER",IF(ISNUMBER(SEARCH("gas",LOWER(M806))),"GAS",IF(ISNUMBER(SEARCH("water",LOWER(M806))),"WATER",IF(ISNUMBER(SEARCH("oil",LOWER(M806))),"OIL","UNKNOWN")))))))</f>
        <v/>
      </c>
      <c r="R806" s="12">
        <f>IF(C806="","",C806)</f>
        <v/>
      </c>
      <c r="S806" s="12">
        <f>IF(R806="","",R806+IF(O806&lt;&gt;"",O806,IF(H806="",0,H806)))</f>
        <v/>
      </c>
      <c r="T806" s="12">
        <f>IF(R806="","",MAX(Settings!$B$3,Settings!$B$4*IF(O806&lt;&gt;"",O806,IF(H806="",0,H806))))</f>
        <v/>
      </c>
      <c r="U806" s="11">
        <f>IF(AND(C806&lt;&gt;"",M806&lt;&gt;"",OR(H806&lt;&gt;"",O806&lt;&gt;"")),"COMPLETE",IF(OR(C806&lt;&gt;"",M806&lt;&gt;""),"PARTIAL","MISSING"))</f>
        <v/>
      </c>
      <c r="V806" s="11">
        <f>IF(Q806="UNKNOWN","Check fluid description",IF(AND(R806&lt;&gt;"",S806&lt;&gt;""),"Ready for contact screening","Needs TVD + thickness"))</f>
        <v/>
      </c>
    </row>
    <row r="807">
      <c r="A807" s="9" t="n"/>
      <c r="B807" s="9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9" t="n"/>
      <c r="N807" s="9" t="n"/>
      <c r="O807" s="10" t="n"/>
      <c r="P807" s="9" t="n"/>
      <c r="Q807" s="11">
        <f>IF(P807&lt;&gt;"",P807,IF(M807="","UNKNOWN",IF(AND(ISNUMBER(SEARCH("gas",LOWER(M807))),ISNUMBER(SEARCH("water",LOWER(M807)))),"GAS_WATER",IF(AND(ISNUMBER(SEARCH("oil",LOWER(M807))),ISNUMBER(SEARCH("water",LOWER(M807)))),"OIL_WATER",IF(ISNUMBER(SEARCH("gas",LOWER(M807))),"GAS",IF(ISNUMBER(SEARCH("water",LOWER(M807))),"WATER",IF(ISNUMBER(SEARCH("oil",LOWER(M807))),"OIL","UNKNOWN")))))))</f>
        <v/>
      </c>
      <c r="R807" s="12">
        <f>IF(C807="","",C807)</f>
        <v/>
      </c>
      <c r="S807" s="12">
        <f>IF(R807="","",R807+IF(O807&lt;&gt;"",O807,IF(H807="",0,H807)))</f>
        <v/>
      </c>
      <c r="T807" s="12">
        <f>IF(R807="","",MAX(Settings!$B$3,Settings!$B$4*IF(O807&lt;&gt;"",O807,IF(H807="",0,H807))))</f>
        <v/>
      </c>
      <c r="U807" s="11">
        <f>IF(AND(C807&lt;&gt;"",M807&lt;&gt;"",OR(H807&lt;&gt;"",O807&lt;&gt;"")),"COMPLETE",IF(OR(C807&lt;&gt;"",M807&lt;&gt;""),"PARTIAL","MISSING"))</f>
        <v/>
      </c>
      <c r="V807" s="11">
        <f>IF(Q807="UNKNOWN","Check fluid description",IF(AND(R807&lt;&gt;"",S807&lt;&gt;""),"Ready for contact screening","Needs TVD + thickness"))</f>
        <v/>
      </c>
    </row>
    <row r="808">
      <c r="A808" s="9" t="n"/>
      <c r="B808" s="9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9" t="n"/>
      <c r="N808" s="9" t="n"/>
      <c r="O808" s="10" t="n"/>
      <c r="P808" s="9" t="n"/>
      <c r="Q808" s="11">
        <f>IF(P808&lt;&gt;"",P808,IF(M808="","UNKNOWN",IF(AND(ISNUMBER(SEARCH("gas",LOWER(M808))),ISNUMBER(SEARCH("water",LOWER(M808)))),"GAS_WATER",IF(AND(ISNUMBER(SEARCH("oil",LOWER(M808))),ISNUMBER(SEARCH("water",LOWER(M808)))),"OIL_WATER",IF(ISNUMBER(SEARCH("gas",LOWER(M808))),"GAS",IF(ISNUMBER(SEARCH("water",LOWER(M808))),"WATER",IF(ISNUMBER(SEARCH("oil",LOWER(M808))),"OIL","UNKNOWN")))))))</f>
        <v/>
      </c>
      <c r="R808" s="12">
        <f>IF(C808="","",C808)</f>
        <v/>
      </c>
      <c r="S808" s="12">
        <f>IF(R808="","",R808+IF(O808&lt;&gt;"",O808,IF(H808="",0,H808)))</f>
        <v/>
      </c>
      <c r="T808" s="12">
        <f>IF(R808="","",MAX(Settings!$B$3,Settings!$B$4*IF(O808&lt;&gt;"",O808,IF(H808="",0,H808))))</f>
        <v/>
      </c>
      <c r="U808" s="11">
        <f>IF(AND(C808&lt;&gt;"",M808&lt;&gt;"",OR(H808&lt;&gt;"",O808&lt;&gt;"")),"COMPLETE",IF(OR(C808&lt;&gt;"",M808&lt;&gt;""),"PARTIAL","MISSING"))</f>
        <v/>
      </c>
      <c r="V808" s="11">
        <f>IF(Q808="UNKNOWN","Check fluid description",IF(AND(R808&lt;&gt;"",S808&lt;&gt;""),"Ready for contact screening","Needs TVD + thickness"))</f>
        <v/>
      </c>
    </row>
    <row r="809">
      <c r="A809" s="9" t="n"/>
      <c r="B809" s="9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9" t="n"/>
      <c r="N809" s="9" t="n"/>
      <c r="O809" s="10" t="n"/>
      <c r="P809" s="9" t="n"/>
      <c r="Q809" s="11">
        <f>IF(P809&lt;&gt;"",P809,IF(M809="","UNKNOWN",IF(AND(ISNUMBER(SEARCH("gas",LOWER(M809))),ISNUMBER(SEARCH("water",LOWER(M809)))),"GAS_WATER",IF(AND(ISNUMBER(SEARCH("oil",LOWER(M809))),ISNUMBER(SEARCH("water",LOWER(M809)))),"OIL_WATER",IF(ISNUMBER(SEARCH("gas",LOWER(M809))),"GAS",IF(ISNUMBER(SEARCH("water",LOWER(M809))),"WATER",IF(ISNUMBER(SEARCH("oil",LOWER(M809))),"OIL","UNKNOWN")))))))</f>
        <v/>
      </c>
      <c r="R809" s="12">
        <f>IF(C809="","",C809)</f>
        <v/>
      </c>
      <c r="S809" s="12">
        <f>IF(R809="","",R809+IF(O809&lt;&gt;"",O809,IF(H809="",0,H809)))</f>
        <v/>
      </c>
      <c r="T809" s="12">
        <f>IF(R809="","",MAX(Settings!$B$3,Settings!$B$4*IF(O809&lt;&gt;"",O809,IF(H809="",0,H809))))</f>
        <v/>
      </c>
      <c r="U809" s="11">
        <f>IF(AND(C809&lt;&gt;"",M809&lt;&gt;"",OR(H809&lt;&gt;"",O809&lt;&gt;"")),"COMPLETE",IF(OR(C809&lt;&gt;"",M809&lt;&gt;""),"PARTIAL","MISSING"))</f>
        <v/>
      </c>
      <c r="V809" s="11">
        <f>IF(Q809="UNKNOWN","Check fluid description",IF(AND(R809&lt;&gt;"",S809&lt;&gt;""),"Ready for contact screening","Needs TVD + thickness"))</f>
        <v/>
      </c>
    </row>
    <row r="810">
      <c r="A810" s="9" t="n"/>
      <c r="B810" s="9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9" t="n"/>
      <c r="N810" s="9" t="n"/>
      <c r="O810" s="10" t="n"/>
      <c r="P810" s="9" t="n"/>
      <c r="Q810" s="11">
        <f>IF(P810&lt;&gt;"",P810,IF(M810="","UNKNOWN",IF(AND(ISNUMBER(SEARCH("gas",LOWER(M810))),ISNUMBER(SEARCH("water",LOWER(M810)))),"GAS_WATER",IF(AND(ISNUMBER(SEARCH("oil",LOWER(M810))),ISNUMBER(SEARCH("water",LOWER(M810)))),"OIL_WATER",IF(ISNUMBER(SEARCH("gas",LOWER(M810))),"GAS",IF(ISNUMBER(SEARCH("water",LOWER(M810))),"WATER",IF(ISNUMBER(SEARCH("oil",LOWER(M810))),"OIL","UNKNOWN")))))))</f>
        <v/>
      </c>
      <c r="R810" s="12">
        <f>IF(C810="","",C810)</f>
        <v/>
      </c>
      <c r="S810" s="12">
        <f>IF(R810="","",R810+IF(O810&lt;&gt;"",O810,IF(H810="",0,H810)))</f>
        <v/>
      </c>
      <c r="T810" s="12">
        <f>IF(R810="","",MAX(Settings!$B$3,Settings!$B$4*IF(O810&lt;&gt;"",O810,IF(H810="",0,H810))))</f>
        <v/>
      </c>
      <c r="U810" s="11">
        <f>IF(AND(C810&lt;&gt;"",M810&lt;&gt;"",OR(H810&lt;&gt;"",O810&lt;&gt;"")),"COMPLETE",IF(OR(C810&lt;&gt;"",M810&lt;&gt;""),"PARTIAL","MISSING"))</f>
        <v/>
      </c>
      <c r="V810" s="11">
        <f>IF(Q810="UNKNOWN","Check fluid description",IF(AND(R810&lt;&gt;"",S810&lt;&gt;""),"Ready for contact screening","Needs TVD + thickness"))</f>
        <v/>
      </c>
    </row>
    <row r="811">
      <c r="A811" s="9" t="n"/>
      <c r="B811" s="9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9" t="n"/>
      <c r="N811" s="9" t="n"/>
      <c r="O811" s="10" t="n"/>
      <c r="P811" s="9" t="n"/>
      <c r="Q811" s="11">
        <f>IF(P811&lt;&gt;"",P811,IF(M811="","UNKNOWN",IF(AND(ISNUMBER(SEARCH("gas",LOWER(M811))),ISNUMBER(SEARCH("water",LOWER(M811)))),"GAS_WATER",IF(AND(ISNUMBER(SEARCH("oil",LOWER(M811))),ISNUMBER(SEARCH("water",LOWER(M811)))),"OIL_WATER",IF(ISNUMBER(SEARCH("gas",LOWER(M811))),"GAS",IF(ISNUMBER(SEARCH("water",LOWER(M811))),"WATER",IF(ISNUMBER(SEARCH("oil",LOWER(M811))),"OIL","UNKNOWN")))))))</f>
        <v/>
      </c>
      <c r="R811" s="12">
        <f>IF(C811="","",C811)</f>
        <v/>
      </c>
      <c r="S811" s="12">
        <f>IF(R811="","",R811+IF(O811&lt;&gt;"",O811,IF(H811="",0,H811)))</f>
        <v/>
      </c>
      <c r="T811" s="12">
        <f>IF(R811="","",MAX(Settings!$B$3,Settings!$B$4*IF(O811&lt;&gt;"",O811,IF(H811="",0,H811))))</f>
        <v/>
      </c>
      <c r="U811" s="11">
        <f>IF(AND(C811&lt;&gt;"",M811&lt;&gt;"",OR(H811&lt;&gt;"",O811&lt;&gt;"")),"COMPLETE",IF(OR(C811&lt;&gt;"",M811&lt;&gt;""),"PARTIAL","MISSING"))</f>
        <v/>
      </c>
      <c r="V811" s="11">
        <f>IF(Q811="UNKNOWN","Check fluid description",IF(AND(R811&lt;&gt;"",S811&lt;&gt;""),"Ready for contact screening","Needs TVD + thickness"))</f>
        <v/>
      </c>
    </row>
    <row r="812">
      <c r="A812" s="9" t="n"/>
      <c r="B812" s="9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9" t="n"/>
      <c r="N812" s="9" t="n"/>
      <c r="O812" s="10" t="n"/>
      <c r="P812" s="9" t="n"/>
      <c r="Q812" s="11">
        <f>IF(P812&lt;&gt;"",P812,IF(M812="","UNKNOWN",IF(AND(ISNUMBER(SEARCH("gas",LOWER(M812))),ISNUMBER(SEARCH("water",LOWER(M812)))),"GAS_WATER",IF(AND(ISNUMBER(SEARCH("oil",LOWER(M812))),ISNUMBER(SEARCH("water",LOWER(M812)))),"OIL_WATER",IF(ISNUMBER(SEARCH("gas",LOWER(M812))),"GAS",IF(ISNUMBER(SEARCH("water",LOWER(M812))),"WATER",IF(ISNUMBER(SEARCH("oil",LOWER(M812))),"OIL","UNKNOWN")))))))</f>
        <v/>
      </c>
      <c r="R812" s="12">
        <f>IF(C812="","",C812)</f>
        <v/>
      </c>
      <c r="S812" s="12">
        <f>IF(R812="","",R812+IF(O812&lt;&gt;"",O812,IF(H812="",0,H812)))</f>
        <v/>
      </c>
      <c r="T812" s="12">
        <f>IF(R812="","",MAX(Settings!$B$3,Settings!$B$4*IF(O812&lt;&gt;"",O812,IF(H812="",0,H812))))</f>
        <v/>
      </c>
      <c r="U812" s="11">
        <f>IF(AND(C812&lt;&gt;"",M812&lt;&gt;"",OR(H812&lt;&gt;"",O812&lt;&gt;"")),"COMPLETE",IF(OR(C812&lt;&gt;"",M812&lt;&gt;""),"PARTIAL","MISSING"))</f>
        <v/>
      </c>
      <c r="V812" s="11">
        <f>IF(Q812="UNKNOWN","Check fluid description",IF(AND(R812&lt;&gt;"",S812&lt;&gt;""),"Ready for contact screening","Needs TVD + thickness"))</f>
        <v/>
      </c>
    </row>
    <row r="813">
      <c r="A813" s="9" t="n"/>
      <c r="B813" s="9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9" t="n"/>
      <c r="N813" s="9" t="n"/>
      <c r="O813" s="10" t="n"/>
      <c r="P813" s="9" t="n"/>
      <c r="Q813" s="11">
        <f>IF(P813&lt;&gt;"",P813,IF(M813="","UNKNOWN",IF(AND(ISNUMBER(SEARCH("gas",LOWER(M813))),ISNUMBER(SEARCH("water",LOWER(M813)))),"GAS_WATER",IF(AND(ISNUMBER(SEARCH("oil",LOWER(M813))),ISNUMBER(SEARCH("water",LOWER(M813)))),"OIL_WATER",IF(ISNUMBER(SEARCH("gas",LOWER(M813))),"GAS",IF(ISNUMBER(SEARCH("water",LOWER(M813))),"WATER",IF(ISNUMBER(SEARCH("oil",LOWER(M813))),"OIL","UNKNOWN")))))))</f>
        <v/>
      </c>
      <c r="R813" s="12">
        <f>IF(C813="","",C813)</f>
        <v/>
      </c>
      <c r="S813" s="12">
        <f>IF(R813="","",R813+IF(O813&lt;&gt;"",O813,IF(H813="",0,H813)))</f>
        <v/>
      </c>
      <c r="T813" s="12">
        <f>IF(R813="","",MAX(Settings!$B$3,Settings!$B$4*IF(O813&lt;&gt;"",O813,IF(H813="",0,H813))))</f>
        <v/>
      </c>
      <c r="U813" s="11">
        <f>IF(AND(C813&lt;&gt;"",M813&lt;&gt;"",OR(H813&lt;&gt;"",O813&lt;&gt;"")),"COMPLETE",IF(OR(C813&lt;&gt;"",M813&lt;&gt;""),"PARTIAL","MISSING"))</f>
        <v/>
      </c>
      <c r="V813" s="11">
        <f>IF(Q813="UNKNOWN","Check fluid description",IF(AND(R813&lt;&gt;"",S813&lt;&gt;""),"Ready for contact screening","Needs TVD + thickness"))</f>
        <v/>
      </c>
    </row>
    <row r="814">
      <c r="A814" s="9" t="n"/>
      <c r="B814" s="9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9" t="n"/>
      <c r="N814" s="9" t="n"/>
      <c r="O814" s="10" t="n"/>
      <c r="P814" s="9" t="n"/>
      <c r="Q814" s="11">
        <f>IF(P814&lt;&gt;"",P814,IF(M814="","UNKNOWN",IF(AND(ISNUMBER(SEARCH("gas",LOWER(M814))),ISNUMBER(SEARCH("water",LOWER(M814)))),"GAS_WATER",IF(AND(ISNUMBER(SEARCH("oil",LOWER(M814))),ISNUMBER(SEARCH("water",LOWER(M814)))),"OIL_WATER",IF(ISNUMBER(SEARCH("gas",LOWER(M814))),"GAS",IF(ISNUMBER(SEARCH("water",LOWER(M814))),"WATER",IF(ISNUMBER(SEARCH("oil",LOWER(M814))),"OIL","UNKNOWN")))))))</f>
        <v/>
      </c>
      <c r="R814" s="12">
        <f>IF(C814="","",C814)</f>
        <v/>
      </c>
      <c r="S814" s="12">
        <f>IF(R814="","",R814+IF(O814&lt;&gt;"",O814,IF(H814="",0,H814)))</f>
        <v/>
      </c>
      <c r="T814" s="12">
        <f>IF(R814="","",MAX(Settings!$B$3,Settings!$B$4*IF(O814&lt;&gt;"",O814,IF(H814="",0,H814))))</f>
        <v/>
      </c>
      <c r="U814" s="11">
        <f>IF(AND(C814&lt;&gt;"",M814&lt;&gt;"",OR(H814&lt;&gt;"",O814&lt;&gt;"")),"COMPLETE",IF(OR(C814&lt;&gt;"",M814&lt;&gt;""),"PARTIAL","MISSING"))</f>
        <v/>
      </c>
      <c r="V814" s="11">
        <f>IF(Q814="UNKNOWN","Check fluid description",IF(AND(R814&lt;&gt;"",S814&lt;&gt;""),"Ready for contact screening","Needs TVD + thickness"))</f>
        <v/>
      </c>
    </row>
    <row r="815">
      <c r="A815" s="9" t="n"/>
      <c r="B815" s="9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9" t="n"/>
      <c r="N815" s="9" t="n"/>
      <c r="O815" s="10" t="n"/>
      <c r="P815" s="9" t="n"/>
      <c r="Q815" s="11">
        <f>IF(P815&lt;&gt;"",P815,IF(M815="","UNKNOWN",IF(AND(ISNUMBER(SEARCH("gas",LOWER(M815))),ISNUMBER(SEARCH("water",LOWER(M815)))),"GAS_WATER",IF(AND(ISNUMBER(SEARCH("oil",LOWER(M815))),ISNUMBER(SEARCH("water",LOWER(M815)))),"OIL_WATER",IF(ISNUMBER(SEARCH("gas",LOWER(M815))),"GAS",IF(ISNUMBER(SEARCH("water",LOWER(M815))),"WATER",IF(ISNUMBER(SEARCH("oil",LOWER(M815))),"OIL","UNKNOWN")))))))</f>
        <v/>
      </c>
      <c r="R815" s="12">
        <f>IF(C815="","",C815)</f>
        <v/>
      </c>
      <c r="S815" s="12">
        <f>IF(R815="","",R815+IF(O815&lt;&gt;"",O815,IF(H815="",0,H815)))</f>
        <v/>
      </c>
      <c r="T815" s="12">
        <f>IF(R815="","",MAX(Settings!$B$3,Settings!$B$4*IF(O815&lt;&gt;"",O815,IF(H815="",0,H815))))</f>
        <v/>
      </c>
      <c r="U815" s="11">
        <f>IF(AND(C815&lt;&gt;"",M815&lt;&gt;"",OR(H815&lt;&gt;"",O815&lt;&gt;"")),"COMPLETE",IF(OR(C815&lt;&gt;"",M815&lt;&gt;""),"PARTIAL","MISSING"))</f>
        <v/>
      </c>
      <c r="V815" s="11">
        <f>IF(Q815="UNKNOWN","Check fluid description",IF(AND(R815&lt;&gt;"",S815&lt;&gt;""),"Ready for contact screening","Needs TVD + thickness"))</f>
        <v/>
      </c>
    </row>
    <row r="816">
      <c r="A816" s="9" t="n"/>
      <c r="B816" s="9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9" t="n"/>
      <c r="N816" s="9" t="n"/>
      <c r="O816" s="10" t="n"/>
      <c r="P816" s="9" t="n"/>
      <c r="Q816" s="11">
        <f>IF(P816&lt;&gt;"",P816,IF(M816="","UNKNOWN",IF(AND(ISNUMBER(SEARCH("gas",LOWER(M816))),ISNUMBER(SEARCH("water",LOWER(M816)))),"GAS_WATER",IF(AND(ISNUMBER(SEARCH("oil",LOWER(M816))),ISNUMBER(SEARCH("water",LOWER(M816)))),"OIL_WATER",IF(ISNUMBER(SEARCH("gas",LOWER(M816))),"GAS",IF(ISNUMBER(SEARCH("water",LOWER(M816))),"WATER",IF(ISNUMBER(SEARCH("oil",LOWER(M816))),"OIL","UNKNOWN")))))))</f>
        <v/>
      </c>
      <c r="R816" s="12">
        <f>IF(C816="","",C816)</f>
        <v/>
      </c>
      <c r="S816" s="12">
        <f>IF(R816="","",R816+IF(O816&lt;&gt;"",O816,IF(H816="",0,H816)))</f>
        <v/>
      </c>
      <c r="T816" s="12">
        <f>IF(R816="","",MAX(Settings!$B$3,Settings!$B$4*IF(O816&lt;&gt;"",O816,IF(H816="",0,H816))))</f>
        <v/>
      </c>
      <c r="U816" s="11">
        <f>IF(AND(C816&lt;&gt;"",M816&lt;&gt;"",OR(H816&lt;&gt;"",O816&lt;&gt;"")),"COMPLETE",IF(OR(C816&lt;&gt;"",M816&lt;&gt;""),"PARTIAL","MISSING"))</f>
        <v/>
      </c>
      <c r="V816" s="11">
        <f>IF(Q816="UNKNOWN","Check fluid description",IF(AND(R816&lt;&gt;"",S816&lt;&gt;""),"Ready for contact screening","Needs TVD + thickness"))</f>
        <v/>
      </c>
    </row>
    <row r="817">
      <c r="A817" s="9" t="n"/>
      <c r="B817" s="9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9" t="n"/>
      <c r="N817" s="9" t="n"/>
      <c r="O817" s="10" t="n"/>
      <c r="P817" s="9" t="n"/>
      <c r="Q817" s="11">
        <f>IF(P817&lt;&gt;"",P817,IF(M817="","UNKNOWN",IF(AND(ISNUMBER(SEARCH("gas",LOWER(M817))),ISNUMBER(SEARCH("water",LOWER(M817)))),"GAS_WATER",IF(AND(ISNUMBER(SEARCH("oil",LOWER(M817))),ISNUMBER(SEARCH("water",LOWER(M817)))),"OIL_WATER",IF(ISNUMBER(SEARCH("gas",LOWER(M817))),"GAS",IF(ISNUMBER(SEARCH("water",LOWER(M817))),"WATER",IF(ISNUMBER(SEARCH("oil",LOWER(M817))),"OIL","UNKNOWN")))))))</f>
        <v/>
      </c>
      <c r="R817" s="12">
        <f>IF(C817="","",C817)</f>
        <v/>
      </c>
      <c r="S817" s="12">
        <f>IF(R817="","",R817+IF(O817&lt;&gt;"",O817,IF(H817="",0,H817)))</f>
        <v/>
      </c>
      <c r="T817" s="12">
        <f>IF(R817="","",MAX(Settings!$B$3,Settings!$B$4*IF(O817&lt;&gt;"",O817,IF(H817="",0,H817))))</f>
        <v/>
      </c>
      <c r="U817" s="11">
        <f>IF(AND(C817&lt;&gt;"",M817&lt;&gt;"",OR(H817&lt;&gt;"",O817&lt;&gt;"")),"COMPLETE",IF(OR(C817&lt;&gt;"",M817&lt;&gt;""),"PARTIAL","MISSING"))</f>
        <v/>
      </c>
      <c r="V817" s="11">
        <f>IF(Q817="UNKNOWN","Check fluid description",IF(AND(R817&lt;&gt;"",S817&lt;&gt;""),"Ready for contact screening","Needs TVD + thickness"))</f>
        <v/>
      </c>
    </row>
    <row r="818">
      <c r="A818" s="9" t="n"/>
      <c r="B818" s="9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9" t="n"/>
      <c r="N818" s="9" t="n"/>
      <c r="O818" s="10" t="n"/>
      <c r="P818" s="9" t="n"/>
      <c r="Q818" s="11">
        <f>IF(P818&lt;&gt;"",P818,IF(M818="","UNKNOWN",IF(AND(ISNUMBER(SEARCH("gas",LOWER(M818))),ISNUMBER(SEARCH("water",LOWER(M818)))),"GAS_WATER",IF(AND(ISNUMBER(SEARCH("oil",LOWER(M818))),ISNUMBER(SEARCH("water",LOWER(M818)))),"OIL_WATER",IF(ISNUMBER(SEARCH("gas",LOWER(M818))),"GAS",IF(ISNUMBER(SEARCH("water",LOWER(M818))),"WATER",IF(ISNUMBER(SEARCH("oil",LOWER(M818))),"OIL","UNKNOWN")))))))</f>
        <v/>
      </c>
      <c r="R818" s="12">
        <f>IF(C818="","",C818)</f>
        <v/>
      </c>
      <c r="S818" s="12">
        <f>IF(R818="","",R818+IF(O818&lt;&gt;"",O818,IF(H818="",0,H818)))</f>
        <v/>
      </c>
      <c r="T818" s="12">
        <f>IF(R818="","",MAX(Settings!$B$3,Settings!$B$4*IF(O818&lt;&gt;"",O818,IF(H818="",0,H818))))</f>
        <v/>
      </c>
      <c r="U818" s="11">
        <f>IF(AND(C818&lt;&gt;"",M818&lt;&gt;"",OR(H818&lt;&gt;"",O818&lt;&gt;"")),"COMPLETE",IF(OR(C818&lt;&gt;"",M818&lt;&gt;""),"PARTIAL","MISSING"))</f>
        <v/>
      </c>
      <c r="V818" s="11">
        <f>IF(Q818="UNKNOWN","Check fluid description",IF(AND(R818&lt;&gt;"",S818&lt;&gt;""),"Ready for contact screening","Needs TVD + thickness"))</f>
        <v/>
      </c>
    </row>
    <row r="819">
      <c r="A819" s="9" t="n"/>
      <c r="B819" s="9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9" t="n"/>
      <c r="N819" s="9" t="n"/>
      <c r="O819" s="10" t="n"/>
      <c r="P819" s="9" t="n"/>
      <c r="Q819" s="11">
        <f>IF(P819&lt;&gt;"",P819,IF(M819="","UNKNOWN",IF(AND(ISNUMBER(SEARCH("gas",LOWER(M819))),ISNUMBER(SEARCH("water",LOWER(M819)))),"GAS_WATER",IF(AND(ISNUMBER(SEARCH("oil",LOWER(M819))),ISNUMBER(SEARCH("water",LOWER(M819)))),"OIL_WATER",IF(ISNUMBER(SEARCH("gas",LOWER(M819))),"GAS",IF(ISNUMBER(SEARCH("water",LOWER(M819))),"WATER",IF(ISNUMBER(SEARCH("oil",LOWER(M819))),"OIL","UNKNOWN")))))))</f>
        <v/>
      </c>
      <c r="R819" s="12">
        <f>IF(C819="","",C819)</f>
        <v/>
      </c>
      <c r="S819" s="12">
        <f>IF(R819="","",R819+IF(O819&lt;&gt;"",O819,IF(H819="",0,H819)))</f>
        <v/>
      </c>
      <c r="T819" s="12">
        <f>IF(R819="","",MAX(Settings!$B$3,Settings!$B$4*IF(O819&lt;&gt;"",O819,IF(H819="",0,H819))))</f>
        <v/>
      </c>
      <c r="U819" s="11">
        <f>IF(AND(C819&lt;&gt;"",M819&lt;&gt;"",OR(H819&lt;&gt;"",O819&lt;&gt;"")),"COMPLETE",IF(OR(C819&lt;&gt;"",M819&lt;&gt;""),"PARTIAL","MISSING"))</f>
        <v/>
      </c>
      <c r="V819" s="11">
        <f>IF(Q819="UNKNOWN","Check fluid description",IF(AND(R819&lt;&gt;"",S819&lt;&gt;""),"Ready for contact screening","Needs TVD + thickness"))</f>
        <v/>
      </c>
    </row>
    <row r="820">
      <c r="A820" s="9" t="n"/>
      <c r="B820" s="9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9" t="n"/>
      <c r="N820" s="9" t="n"/>
      <c r="O820" s="10" t="n"/>
      <c r="P820" s="9" t="n"/>
      <c r="Q820" s="11">
        <f>IF(P820&lt;&gt;"",P820,IF(M820="","UNKNOWN",IF(AND(ISNUMBER(SEARCH("gas",LOWER(M820))),ISNUMBER(SEARCH("water",LOWER(M820)))),"GAS_WATER",IF(AND(ISNUMBER(SEARCH("oil",LOWER(M820))),ISNUMBER(SEARCH("water",LOWER(M820)))),"OIL_WATER",IF(ISNUMBER(SEARCH("gas",LOWER(M820))),"GAS",IF(ISNUMBER(SEARCH("water",LOWER(M820))),"WATER",IF(ISNUMBER(SEARCH("oil",LOWER(M820))),"OIL","UNKNOWN")))))))</f>
        <v/>
      </c>
      <c r="R820" s="12">
        <f>IF(C820="","",C820)</f>
        <v/>
      </c>
      <c r="S820" s="12">
        <f>IF(R820="","",R820+IF(O820&lt;&gt;"",O820,IF(H820="",0,H820)))</f>
        <v/>
      </c>
      <c r="T820" s="12">
        <f>IF(R820="","",MAX(Settings!$B$3,Settings!$B$4*IF(O820&lt;&gt;"",O820,IF(H820="",0,H820))))</f>
        <v/>
      </c>
      <c r="U820" s="11">
        <f>IF(AND(C820&lt;&gt;"",M820&lt;&gt;"",OR(H820&lt;&gt;"",O820&lt;&gt;"")),"COMPLETE",IF(OR(C820&lt;&gt;"",M820&lt;&gt;""),"PARTIAL","MISSING"))</f>
        <v/>
      </c>
      <c r="V820" s="11">
        <f>IF(Q820="UNKNOWN","Check fluid description",IF(AND(R820&lt;&gt;"",S820&lt;&gt;""),"Ready for contact screening","Needs TVD + thickness"))</f>
        <v/>
      </c>
    </row>
    <row r="821">
      <c r="A821" s="9" t="n"/>
      <c r="B821" s="9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9" t="n"/>
      <c r="N821" s="9" t="n"/>
      <c r="O821" s="10" t="n"/>
      <c r="P821" s="9" t="n"/>
      <c r="Q821" s="11">
        <f>IF(P821&lt;&gt;"",P821,IF(M821="","UNKNOWN",IF(AND(ISNUMBER(SEARCH("gas",LOWER(M821))),ISNUMBER(SEARCH("water",LOWER(M821)))),"GAS_WATER",IF(AND(ISNUMBER(SEARCH("oil",LOWER(M821))),ISNUMBER(SEARCH("water",LOWER(M821)))),"OIL_WATER",IF(ISNUMBER(SEARCH("gas",LOWER(M821))),"GAS",IF(ISNUMBER(SEARCH("water",LOWER(M821))),"WATER",IF(ISNUMBER(SEARCH("oil",LOWER(M821))),"OIL","UNKNOWN")))))))</f>
        <v/>
      </c>
      <c r="R821" s="12">
        <f>IF(C821="","",C821)</f>
        <v/>
      </c>
      <c r="S821" s="12">
        <f>IF(R821="","",R821+IF(O821&lt;&gt;"",O821,IF(H821="",0,H821)))</f>
        <v/>
      </c>
      <c r="T821" s="12">
        <f>IF(R821="","",MAX(Settings!$B$3,Settings!$B$4*IF(O821&lt;&gt;"",O821,IF(H821="",0,H821))))</f>
        <v/>
      </c>
      <c r="U821" s="11">
        <f>IF(AND(C821&lt;&gt;"",M821&lt;&gt;"",OR(H821&lt;&gt;"",O821&lt;&gt;"")),"COMPLETE",IF(OR(C821&lt;&gt;"",M821&lt;&gt;""),"PARTIAL","MISSING"))</f>
        <v/>
      </c>
      <c r="V821" s="11">
        <f>IF(Q821="UNKNOWN","Check fluid description",IF(AND(R821&lt;&gt;"",S821&lt;&gt;""),"Ready for contact screening","Needs TVD + thickness"))</f>
        <v/>
      </c>
    </row>
    <row r="822">
      <c r="A822" s="9" t="n"/>
      <c r="B822" s="9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9" t="n"/>
      <c r="N822" s="9" t="n"/>
      <c r="O822" s="10" t="n"/>
      <c r="P822" s="9" t="n"/>
      <c r="Q822" s="11">
        <f>IF(P822&lt;&gt;"",P822,IF(M822="","UNKNOWN",IF(AND(ISNUMBER(SEARCH("gas",LOWER(M822))),ISNUMBER(SEARCH("water",LOWER(M822)))),"GAS_WATER",IF(AND(ISNUMBER(SEARCH("oil",LOWER(M822))),ISNUMBER(SEARCH("water",LOWER(M822)))),"OIL_WATER",IF(ISNUMBER(SEARCH("gas",LOWER(M822))),"GAS",IF(ISNUMBER(SEARCH("water",LOWER(M822))),"WATER",IF(ISNUMBER(SEARCH("oil",LOWER(M822))),"OIL","UNKNOWN")))))))</f>
        <v/>
      </c>
      <c r="R822" s="12">
        <f>IF(C822="","",C822)</f>
        <v/>
      </c>
      <c r="S822" s="12">
        <f>IF(R822="","",R822+IF(O822&lt;&gt;"",O822,IF(H822="",0,H822)))</f>
        <v/>
      </c>
      <c r="T822" s="12">
        <f>IF(R822="","",MAX(Settings!$B$3,Settings!$B$4*IF(O822&lt;&gt;"",O822,IF(H822="",0,H822))))</f>
        <v/>
      </c>
      <c r="U822" s="11">
        <f>IF(AND(C822&lt;&gt;"",M822&lt;&gt;"",OR(H822&lt;&gt;"",O822&lt;&gt;"")),"COMPLETE",IF(OR(C822&lt;&gt;"",M822&lt;&gt;""),"PARTIAL","MISSING"))</f>
        <v/>
      </c>
      <c r="V822" s="11">
        <f>IF(Q822="UNKNOWN","Check fluid description",IF(AND(R822&lt;&gt;"",S822&lt;&gt;""),"Ready for contact screening","Needs TVD + thickness"))</f>
        <v/>
      </c>
    </row>
    <row r="823">
      <c r="A823" s="9" t="n"/>
      <c r="B823" s="9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9" t="n"/>
      <c r="N823" s="9" t="n"/>
      <c r="O823" s="10" t="n"/>
      <c r="P823" s="9" t="n"/>
      <c r="Q823" s="11">
        <f>IF(P823&lt;&gt;"",P823,IF(M823="","UNKNOWN",IF(AND(ISNUMBER(SEARCH("gas",LOWER(M823))),ISNUMBER(SEARCH("water",LOWER(M823)))),"GAS_WATER",IF(AND(ISNUMBER(SEARCH("oil",LOWER(M823))),ISNUMBER(SEARCH("water",LOWER(M823)))),"OIL_WATER",IF(ISNUMBER(SEARCH("gas",LOWER(M823))),"GAS",IF(ISNUMBER(SEARCH("water",LOWER(M823))),"WATER",IF(ISNUMBER(SEARCH("oil",LOWER(M823))),"OIL","UNKNOWN")))))))</f>
        <v/>
      </c>
      <c r="R823" s="12">
        <f>IF(C823="","",C823)</f>
        <v/>
      </c>
      <c r="S823" s="12">
        <f>IF(R823="","",R823+IF(O823&lt;&gt;"",O823,IF(H823="",0,H823)))</f>
        <v/>
      </c>
      <c r="T823" s="12">
        <f>IF(R823="","",MAX(Settings!$B$3,Settings!$B$4*IF(O823&lt;&gt;"",O823,IF(H823="",0,H823))))</f>
        <v/>
      </c>
      <c r="U823" s="11">
        <f>IF(AND(C823&lt;&gt;"",M823&lt;&gt;"",OR(H823&lt;&gt;"",O823&lt;&gt;"")),"COMPLETE",IF(OR(C823&lt;&gt;"",M823&lt;&gt;""),"PARTIAL","MISSING"))</f>
        <v/>
      </c>
      <c r="V823" s="11">
        <f>IF(Q823="UNKNOWN","Check fluid description",IF(AND(R823&lt;&gt;"",S823&lt;&gt;""),"Ready for contact screening","Needs TVD + thickness"))</f>
        <v/>
      </c>
    </row>
    <row r="824">
      <c r="A824" s="9" t="n"/>
      <c r="B824" s="9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9" t="n"/>
      <c r="N824" s="9" t="n"/>
      <c r="O824" s="10" t="n"/>
      <c r="P824" s="9" t="n"/>
      <c r="Q824" s="11">
        <f>IF(P824&lt;&gt;"",P824,IF(M824="","UNKNOWN",IF(AND(ISNUMBER(SEARCH("gas",LOWER(M824))),ISNUMBER(SEARCH("water",LOWER(M824)))),"GAS_WATER",IF(AND(ISNUMBER(SEARCH("oil",LOWER(M824))),ISNUMBER(SEARCH("water",LOWER(M824)))),"OIL_WATER",IF(ISNUMBER(SEARCH("gas",LOWER(M824))),"GAS",IF(ISNUMBER(SEARCH("water",LOWER(M824))),"WATER",IF(ISNUMBER(SEARCH("oil",LOWER(M824))),"OIL","UNKNOWN")))))))</f>
        <v/>
      </c>
      <c r="R824" s="12">
        <f>IF(C824="","",C824)</f>
        <v/>
      </c>
      <c r="S824" s="12">
        <f>IF(R824="","",R824+IF(O824&lt;&gt;"",O824,IF(H824="",0,H824)))</f>
        <v/>
      </c>
      <c r="T824" s="12">
        <f>IF(R824="","",MAX(Settings!$B$3,Settings!$B$4*IF(O824&lt;&gt;"",O824,IF(H824="",0,H824))))</f>
        <v/>
      </c>
      <c r="U824" s="11">
        <f>IF(AND(C824&lt;&gt;"",M824&lt;&gt;"",OR(H824&lt;&gt;"",O824&lt;&gt;"")),"COMPLETE",IF(OR(C824&lt;&gt;"",M824&lt;&gt;""),"PARTIAL","MISSING"))</f>
        <v/>
      </c>
      <c r="V824" s="11">
        <f>IF(Q824="UNKNOWN","Check fluid description",IF(AND(R824&lt;&gt;"",S824&lt;&gt;""),"Ready for contact screening","Needs TVD + thickness"))</f>
        <v/>
      </c>
    </row>
    <row r="825">
      <c r="A825" s="9" t="n"/>
      <c r="B825" s="9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9" t="n"/>
      <c r="N825" s="9" t="n"/>
      <c r="O825" s="10" t="n"/>
      <c r="P825" s="9" t="n"/>
      <c r="Q825" s="11">
        <f>IF(P825&lt;&gt;"",P825,IF(M825="","UNKNOWN",IF(AND(ISNUMBER(SEARCH("gas",LOWER(M825))),ISNUMBER(SEARCH("water",LOWER(M825)))),"GAS_WATER",IF(AND(ISNUMBER(SEARCH("oil",LOWER(M825))),ISNUMBER(SEARCH("water",LOWER(M825)))),"OIL_WATER",IF(ISNUMBER(SEARCH("gas",LOWER(M825))),"GAS",IF(ISNUMBER(SEARCH("water",LOWER(M825))),"WATER",IF(ISNUMBER(SEARCH("oil",LOWER(M825))),"OIL","UNKNOWN")))))))</f>
        <v/>
      </c>
      <c r="R825" s="12">
        <f>IF(C825="","",C825)</f>
        <v/>
      </c>
      <c r="S825" s="12">
        <f>IF(R825="","",R825+IF(O825&lt;&gt;"",O825,IF(H825="",0,H825)))</f>
        <v/>
      </c>
      <c r="T825" s="12">
        <f>IF(R825="","",MAX(Settings!$B$3,Settings!$B$4*IF(O825&lt;&gt;"",O825,IF(H825="",0,H825))))</f>
        <v/>
      </c>
      <c r="U825" s="11">
        <f>IF(AND(C825&lt;&gt;"",M825&lt;&gt;"",OR(H825&lt;&gt;"",O825&lt;&gt;"")),"COMPLETE",IF(OR(C825&lt;&gt;"",M825&lt;&gt;""),"PARTIAL","MISSING"))</f>
        <v/>
      </c>
      <c r="V825" s="11">
        <f>IF(Q825="UNKNOWN","Check fluid description",IF(AND(R825&lt;&gt;"",S825&lt;&gt;""),"Ready for contact screening","Needs TVD + thickness"))</f>
        <v/>
      </c>
    </row>
    <row r="826">
      <c r="A826" s="9" t="n"/>
      <c r="B826" s="9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9" t="n"/>
      <c r="N826" s="9" t="n"/>
      <c r="O826" s="10" t="n"/>
      <c r="P826" s="9" t="n"/>
      <c r="Q826" s="11">
        <f>IF(P826&lt;&gt;"",P826,IF(M826="","UNKNOWN",IF(AND(ISNUMBER(SEARCH("gas",LOWER(M826))),ISNUMBER(SEARCH("water",LOWER(M826)))),"GAS_WATER",IF(AND(ISNUMBER(SEARCH("oil",LOWER(M826))),ISNUMBER(SEARCH("water",LOWER(M826)))),"OIL_WATER",IF(ISNUMBER(SEARCH("gas",LOWER(M826))),"GAS",IF(ISNUMBER(SEARCH("water",LOWER(M826))),"WATER",IF(ISNUMBER(SEARCH("oil",LOWER(M826))),"OIL","UNKNOWN")))))))</f>
        <v/>
      </c>
      <c r="R826" s="12">
        <f>IF(C826="","",C826)</f>
        <v/>
      </c>
      <c r="S826" s="12">
        <f>IF(R826="","",R826+IF(O826&lt;&gt;"",O826,IF(H826="",0,H826)))</f>
        <v/>
      </c>
      <c r="T826" s="12">
        <f>IF(R826="","",MAX(Settings!$B$3,Settings!$B$4*IF(O826&lt;&gt;"",O826,IF(H826="",0,H826))))</f>
        <v/>
      </c>
      <c r="U826" s="11">
        <f>IF(AND(C826&lt;&gt;"",M826&lt;&gt;"",OR(H826&lt;&gt;"",O826&lt;&gt;"")),"COMPLETE",IF(OR(C826&lt;&gt;"",M826&lt;&gt;""),"PARTIAL","MISSING"))</f>
        <v/>
      </c>
      <c r="V826" s="11">
        <f>IF(Q826="UNKNOWN","Check fluid description",IF(AND(R826&lt;&gt;"",S826&lt;&gt;""),"Ready for contact screening","Needs TVD + thickness"))</f>
        <v/>
      </c>
    </row>
    <row r="827">
      <c r="A827" s="9" t="n"/>
      <c r="B827" s="9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9" t="n"/>
      <c r="N827" s="9" t="n"/>
      <c r="O827" s="10" t="n"/>
      <c r="P827" s="9" t="n"/>
      <c r="Q827" s="11">
        <f>IF(P827&lt;&gt;"",P827,IF(M827="","UNKNOWN",IF(AND(ISNUMBER(SEARCH("gas",LOWER(M827))),ISNUMBER(SEARCH("water",LOWER(M827)))),"GAS_WATER",IF(AND(ISNUMBER(SEARCH("oil",LOWER(M827))),ISNUMBER(SEARCH("water",LOWER(M827)))),"OIL_WATER",IF(ISNUMBER(SEARCH("gas",LOWER(M827))),"GAS",IF(ISNUMBER(SEARCH("water",LOWER(M827))),"WATER",IF(ISNUMBER(SEARCH("oil",LOWER(M827))),"OIL","UNKNOWN")))))))</f>
        <v/>
      </c>
      <c r="R827" s="12">
        <f>IF(C827="","",C827)</f>
        <v/>
      </c>
      <c r="S827" s="12">
        <f>IF(R827="","",R827+IF(O827&lt;&gt;"",O827,IF(H827="",0,H827)))</f>
        <v/>
      </c>
      <c r="T827" s="12">
        <f>IF(R827="","",MAX(Settings!$B$3,Settings!$B$4*IF(O827&lt;&gt;"",O827,IF(H827="",0,H827))))</f>
        <v/>
      </c>
      <c r="U827" s="11">
        <f>IF(AND(C827&lt;&gt;"",M827&lt;&gt;"",OR(H827&lt;&gt;"",O827&lt;&gt;"")),"COMPLETE",IF(OR(C827&lt;&gt;"",M827&lt;&gt;""),"PARTIAL","MISSING"))</f>
        <v/>
      </c>
      <c r="V827" s="11">
        <f>IF(Q827="UNKNOWN","Check fluid description",IF(AND(R827&lt;&gt;"",S827&lt;&gt;""),"Ready for contact screening","Needs TVD + thickness"))</f>
        <v/>
      </c>
    </row>
    <row r="828">
      <c r="A828" s="9" t="n"/>
      <c r="B828" s="9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9" t="n"/>
      <c r="N828" s="9" t="n"/>
      <c r="O828" s="10" t="n"/>
      <c r="P828" s="9" t="n"/>
      <c r="Q828" s="11">
        <f>IF(P828&lt;&gt;"",P828,IF(M828="","UNKNOWN",IF(AND(ISNUMBER(SEARCH("gas",LOWER(M828))),ISNUMBER(SEARCH("water",LOWER(M828)))),"GAS_WATER",IF(AND(ISNUMBER(SEARCH("oil",LOWER(M828))),ISNUMBER(SEARCH("water",LOWER(M828)))),"OIL_WATER",IF(ISNUMBER(SEARCH("gas",LOWER(M828))),"GAS",IF(ISNUMBER(SEARCH("water",LOWER(M828))),"WATER",IF(ISNUMBER(SEARCH("oil",LOWER(M828))),"OIL","UNKNOWN")))))))</f>
        <v/>
      </c>
      <c r="R828" s="12">
        <f>IF(C828="","",C828)</f>
        <v/>
      </c>
      <c r="S828" s="12">
        <f>IF(R828="","",R828+IF(O828&lt;&gt;"",O828,IF(H828="",0,H828)))</f>
        <v/>
      </c>
      <c r="T828" s="12">
        <f>IF(R828="","",MAX(Settings!$B$3,Settings!$B$4*IF(O828&lt;&gt;"",O828,IF(H828="",0,H828))))</f>
        <v/>
      </c>
      <c r="U828" s="11">
        <f>IF(AND(C828&lt;&gt;"",M828&lt;&gt;"",OR(H828&lt;&gt;"",O828&lt;&gt;"")),"COMPLETE",IF(OR(C828&lt;&gt;"",M828&lt;&gt;""),"PARTIAL","MISSING"))</f>
        <v/>
      </c>
      <c r="V828" s="11">
        <f>IF(Q828="UNKNOWN","Check fluid description",IF(AND(R828&lt;&gt;"",S828&lt;&gt;""),"Ready for contact screening","Needs TVD + thickness"))</f>
        <v/>
      </c>
    </row>
    <row r="829">
      <c r="A829" s="9" t="n"/>
      <c r="B829" s="9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9" t="n"/>
      <c r="N829" s="9" t="n"/>
      <c r="O829" s="10" t="n"/>
      <c r="P829" s="9" t="n"/>
      <c r="Q829" s="11">
        <f>IF(P829&lt;&gt;"",P829,IF(M829="","UNKNOWN",IF(AND(ISNUMBER(SEARCH("gas",LOWER(M829))),ISNUMBER(SEARCH("water",LOWER(M829)))),"GAS_WATER",IF(AND(ISNUMBER(SEARCH("oil",LOWER(M829))),ISNUMBER(SEARCH("water",LOWER(M829)))),"OIL_WATER",IF(ISNUMBER(SEARCH("gas",LOWER(M829))),"GAS",IF(ISNUMBER(SEARCH("water",LOWER(M829))),"WATER",IF(ISNUMBER(SEARCH("oil",LOWER(M829))),"OIL","UNKNOWN")))))))</f>
        <v/>
      </c>
      <c r="R829" s="12">
        <f>IF(C829="","",C829)</f>
        <v/>
      </c>
      <c r="S829" s="12">
        <f>IF(R829="","",R829+IF(O829&lt;&gt;"",O829,IF(H829="",0,H829)))</f>
        <v/>
      </c>
      <c r="T829" s="12">
        <f>IF(R829="","",MAX(Settings!$B$3,Settings!$B$4*IF(O829&lt;&gt;"",O829,IF(H829="",0,H829))))</f>
        <v/>
      </c>
      <c r="U829" s="11">
        <f>IF(AND(C829&lt;&gt;"",M829&lt;&gt;"",OR(H829&lt;&gt;"",O829&lt;&gt;"")),"COMPLETE",IF(OR(C829&lt;&gt;"",M829&lt;&gt;""),"PARTIAL","MISSING"))</f>
        <v/>
      </c>
      <c r="V829" s="11">
        <f>IF(Q829="UNKNOWN","Check fluid description",IF(AND(R829&lt;&gt;"",S829&lt;&gt;""),"Ready for contact screening","Needs TVD + thickness"))</f>
        <v/>
      </c>
    </row>
    <row r="830">
      <c r="A830" s="9" t="n"/>
      <c r="B830" s="9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9" t="n"/>
      <c r="N830" s="9" t="n"/>
      <c r="O830" s="10" t="n"/>
      <c r="P830" s="9" t="n"/>
      <c r="Q830" s="11">
        <f>IF(P830&lt;&gt;"",P830,IF(M830="","UNKNOWN",IF(AND(ISNUMBER(SEARCH("gas",LOWER(M830))),ISNUMBER(SEARCH("water",LOWER(M830)))),"GAS_WATER",IF(AND(ISNUMBER(SEARCH("oil",LOWER(M830))),ISNUMBER(SEARCH("water",LOWER(M830)))),"OIL_WATER",IF(ISNUMBER(SEARCH("gas",LOWER(M830))),"GAS",IF(ISNUMBER(SEARCH("water",LOWER(M830))),"WATER",IF(ISNUMBER(SEARCH("oil",LOWER(M830))),"OIL","UNKNOWN")))))))</f>
        <v/>
      </c>
      <c r="R830" s="12">
        <f>IF(C830="","",C830)</f>
        <v/>
      </c>
      <c r="S830" s="12">
        <f>IF(R830="","",R830+IF(O830&lt;&gt;"",O830,IF(H830="",0,H830)))</f>
        <v/>
      </c>
      <c r="T830" s="12">
        <f>IF(R830="","",MAX(Settings!$B$3,Settings!$B$4*IF(O830&lt;&gt;"",O830,IF(H830="",0,H830))))</f>
        <v/>
      </c>
      <c r="U830" s="11">
        <f>IF(AND(C830&lt;&gt;"",M830&lt;&gt;"",OR(H830&lt;&gt;"",O830&lt;&gt;"")),"COMPLETE",IF(OR(C830&lt;&gt;"",M830&lt;&gt;""),"PARTIAL","MISSING"))</f>
        <v/>
      </c>
      <c r="V830" s="11">
        <f>IF(Q830="UNKNOWN","Check fluid description",IF(AND(R830&lt;&gt;"",S830&lt;&gt;""),"Ready for contact screening","Needs TVD + thickness"))</f>
        <v/>
      </c>
    </row>
    <row r="831">
      <c r="A831" s="9" t="n"/>
      <c r="B831" s="9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9" t="n"/>
      <c r="N831" s="9" t="n"/>
      <c r="O831" s="10" t="n"/>
      <c r="P831" s="9" t="n"/>
      <c r="Q831" s="11">
        <f>IF(P831&lt;&gt;"",P831,IF(M831="","UNKNOWN",IF(AND(ISNUMBER(SEARCH("gas",LOWER(M831))),ISNUMBER(SEARCH("water",LOWER(M831)))),"GAS_WATER",IF(AND(ISNUMBER(SEARCH("oil",LOWER(M831))),ISNUMBER(SEARCH("water",LOWER(M831)))),"OIL_WATER",IF(ISNUMBER(SEARCH("gas",LOWER(M831))),"GAS",IF(ISNUMBER(SEARCH("water",LOWER(M831))),"WATER",IF(ISNUMBER(SEARCH("oil",LOWER(M831))),"OIL","UNKNOWN")))))))</f>
        <v/>
      </c>
      <c r="R831" s="12">
        <f>IF(C831="","",C831)</f>
        <v/>
      </c>
      <c r="S831" s="12">
        <f>IF(R831="","",R831+IF(O831&lt;&gt;"",O831,IF(H831="",0,H831)))</f>
        <v/>
      </c>
      <c r="T831" s="12">
        <f>IF(R831="","",MAX(Settings!$B$3,Settings!$B$4*IF(O831&lt;&gt;"",O831,IF(H831="",0,H831))))</f>
        <v/>
      </c>
      <c r="U831" s="11">
        <f>IF(AND(C831&lt;&gt;"",M831&lt;&gt;"",OR(H831&lt;&gt;"",O831&lt;&gt;"")),"COMPLETE",IF(OR(C831&lt;&gt;"",M831&lt;&gt;""),"PARTIAL","MISSING"))</f>
        <v/>
      </c>
      <c r="V831" s="11">
        <f>IF(Q831="UNKNOWN","Check fluid description",IF(AND(R831&lt;&gt;"",S831&lt;&gt;""),"Ready for contact screening","Needs TVD + thickness"))</f>
        <v/>
      </c>
    </row>
    <row r="832">
      <c r="A832" s="9" t="n"/>
      <c r="B832" s="9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9" t="n"/>
      <c r="N832" s="9" t="n"/>
      <c r="O832" s="10" t="n"/>
      <c r="P832" s="9" t="n"/>
      <c r="Q832" s="11">
        <f>IF(P832&lt;&gt;"",P832,IF(M832="","UNKNOWN",IF(AND(ISNUMBER(SEARCH("gas",LOWER(M832))),ISNUMBER(SEARCH("water",LOWER(M832)))),"GAS_WATER",IF(AND(ISNUMBER(SEARCH("oil",LOWER(M832))),ISNUMBER(SEARCH("water",LOWER(M832)))),"OIL_WATER",IF(ISNUMBER(SEARCH("gas",LOWER(M832))),"GAS",IF(ISNUMBER(SEARCH("water",LOWER(M832))),"WATER",IF(ISNUMBER(SEARCH("oil",LOWER(M832))),"OIL","UNKNOWN")))))))</f>
        <v/>
      </c>
      <c r="R832" s="12">
        <f>IF(C832="","",C832)</f>
        <v/>
      </c>
      <c r="S832" s="12">
        <f>IF(R832="","",R832+IF(O832&lt;&gt;"",O832,IF(H832="",0,H832)))</f>
        <v/>
      </c>
      <c r="T832" s="12">
        <f>IF(R832="","",MAX(Settings!$B$3,Settings!$B$4*IF(O832&lt;&gt;"",O832,IF(H832="",0,H832))))</f>
        <v/>
      </c>
      <c r="U832" s="11">
        <f>IF(AND(C832&lt;&gt;"",M832&lt;&gt;"",OR(H832&lt;&gt;"",O832&lt;&gt;"")),"COMPLETE",IF(OR(C832&lt;&gt;"",M832&lt;&gt;""),"PARTIAL","MISSING"))</f>
        <v/>
      </c>
      <c r="V832" s="11">
        <f>IF(Q832="UNKNOWN","Check fluid description",IF(AND(R832&lt;&gt;"",S832&lt;&gt;""),"Ready for contact screening","Needs TVD + thickness"))</f>
        <v/>
      </c>
    </row>
    <row r="833">
      <c r="A833" s="9" t="n"/>
      <c r="B833" s="9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9" t="n"/>
      <c r="N833" s="9" t="n"/>
      <c r="O833" s="10" t="n"/>
      <c r="P833" s="9" t="n"/>
      <c r="Q833" s="11">
        <f>IF(P833&lt;&gt;"",P833,IF(M833="","UNKNOWN",IF(AND(ISNUMBER(SEARCH("gas",LOWER(M833))),ISNUMBER(SEARCH("water",LOWER(M833)))),"GAS_WATER",IF(AND(ISNUMBER(SEARCH("oil",LOWER(M833))),ISNUMBER(SEARCH("water",LOWER(M833)))),"OIL_WATER",IF(ISNUMBER(SEARCH("gas",LOWER(M833))),"GAS",IF(ISNUMBER(SEARCH("water",LOWER(M833))),"WATER",IF(ISNUMBER(SEARCH("oil",LOWER(M833))),"OIL","UNKNOWN")))))))</f>
        <v/>
      </c>
      <c r="R833" s="12">
        <f>IF(C833="","",C833)</f>
        <v/>
      </c>
      <c r="S833" s="12">
        <f>IF(R833="","",R833+IF(O833&lt;&gt;"",O833,IF(H833="",0,H833)))</f>
        <v/>
      </c>
      <c r="T833" s="12">
        <f>IF(R833="","",MAX(Settings!$B$3,Settings!$B$4*IF(O833&lt;&gt;"",O833,IF(H833="",0,H833))))</f>
        <v/>
      </c>
      <c r="U833" s="11">
        <f>IF(AND(C833&lt;&gt;"",M833&lt;&gt;"",OR(H833&lt;&gt;"",O833&lt;&gt;"")),"COMPLETE",IF(OR(C833&lt;&gt;"",M833&lt;&gt;""),"PARTIAL","MISSING"))</f>
        <v/>
      </c>
      <c r="V833" s="11">
        <f>IF(Q833="UNKNOWN","Check fluid description",IF(AND(R833&lt;&gt;"",S833&lt;&gt;""),"Ready for contact screening","Needs TVD + thickness"))</f>
        <v/>
      </c>
    </row>
    <row r="834">
      <c r="A834" s="9" t="n"/>
      <c r="B834" s="9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9" t="n"/>
      <c r="N834" s="9" t="n"/>
      <c r="O834" s="10" t="n"/>
      <c r="P834" s="9" t="n"/>
      <c r="Q834" s="11">
        <f>IF(P834&lt;&gt;"",P834,IF(M834="","UNKNOWN",IF(AND(ISNUMBER(SEARCH("gas",LOWER(M834))),ISNUMBER(SEARCH("water",LOWER(M834)))),"GAS_WATER",IF(AND(ISNUMBER(SEARCH("oil",LOWER(M834))),ISNUMBER(SEARCH("water",LOWER(M834)))),"OIL_WATER",IF(ISNUMBER(SEARCH("gas",LOWER(M834))),"GAS",IF(ISNUMBER(SEARCH("water",LOWER(M834))),"WATER",IF(ISNUMBER(SEARCH("oil",LOWER(M834))),"OIL","UNKNOWN")))))))</f>
        <v/>
      </c>
      <c r="R834" s="12">
        <f>IF(C834="","",C834)</f>
        <v/>
      </c>
      <c r="S834" s="12">
        <f>IF(R834="","",R834+IF(O834&lt;&gt;"",O834,IF(H834="",0,H834)))</f>
        <v/>
      </c>
      <c r="T834" s="12">
        <f>IF(R834="","",MAX(Settings!$B$3,Settings!$B$4*IF(O834&lt;&gt;"",O834,IF(H834="",0,H834))))</f>
        <v/>
      </c>
      <c r="U834" s="11">
        <f>IF(AND(C834&lt;&gt;"",M834&lt;&gt;"",OR(H834&lt;&gt;"",O834&lt;&gt;"")),"COMPLETE",IF(OR(C834&lt;&gt;"",M834&lt;&gt;""),"PARTIAL","MISSING"))</f>
        <v/>
      </c>
      <c r="V834" s="11">
        <f>IF(Q834="UNKNOWN","Check fluid description",IF(AND(R834&lt;&gt;"",S834&lt;&gt;""),"Ready for contact screening","Needs TVD + thickness"))</f>
        <v/>
      </c>
    </row>
    <row r="835">
      <c r="A835" s="9" t="n"/>
      <c r="B835" s="9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9" t="n"/>
      <c r="N835" s="9" t="n"/>
      <c r="O835" s="10" t="n"/>
      <c r="P835" s="9" t="n"/>
      <c r="Q835" s="11">
        <f>IF(P835&lt;&gt;"",P835,IF(M835="","UNKNOWN",IF(AND(ISNUMBER(SEARCH("gas",LOWER(M835))),ISNUMBER(SEARCH("water",LOWER(M835)))),"GAS_WATER",IF(AND(ISNUMBER(SEARCH("oil",LOWER(M835))),ISNUMBER(SEARCH("water",LOWER(M835)))),"OIL_WATER",IF(ISNUMBER(SEARCH("gas",LOWER(M835))),"GAS",IF(ISNUMBER(SEARCH("water",LOWER(M835))),"WATER",IF(ISNUMBER(SEARCH("oil",LOWER(M835))),"OIL","UNKNOWN")))))))</f>
        <v/>
      </c>
      <c r="R835" s="12">
        <f>IF(C835="","",C835)</f>
        <v/>
      </c>
      <c r="S835" s="12">
        <f>IF(R835="","",R835+IF(O835&lt;&gt;"",O835,IF(H835="",0,H835)))</f>
        <v/>
      </c>
      <c r="T835" s="12">
        <f>IF(R835="","",MAX(Settings!$B$3,Settings!$B$4*IF(O835&lt;&gt;"",O835,IF(H835="",0,H835))))</f>
        <v/>
      </c>
      <c r="U835" s="11">
        <f>IF(AND(C835&lt;&gt;"",M835&lt;&gt;"",OR(H835&lt;&gt;"",O835&lt;&gt;"")),"COMPLETE",IF(OR(C835&lt;&gt;"",M835&lt;&gt;""),"PARTIAL","MISSING"))</f>
        <v/>
      </c>
      <c r="V835" s="11">
        <f>IF(Q835="UNKNOWN","Check fluid description",IF(AND(R835&lt;&gt;"",S835&lt;&gt;""),"Ready for contact screening","Needs TVD + thickness"))</f>
        <v/>
      </c>
    </row>
    <row r="836">
      <c r="A836" s="9" t="n"/>
      <c r="B836" s="9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9" t="n"/>
      <c r="N836" s="9" t="n"/>
      <c r="O836" s="10" t="n"/>
      <c r="P836" s="9" t="n"/>
      <c r="Q836" s="11">
        <f>IF(P836&lt;&gt;"",P836,IF(M836="","UNKNOWN",IF(AND(ISNUMBER(SEARCH("gas",LOWER(M836))),ISNUMBER(SEARCH("water",LOWER(M836)))),"GAS_WATER",IF(AND(ISNUMBER(SEARCH("oil",LOWER(M836))),ISNUMBER(SEARCH("water",LOWER(M836)))),"OIL_WATER",IF(ISNUMBER(SEARCH("gas",LOWER(M836))),"GAS",IF(ISNUMBER(SEARCH("water",LOWER(M836))),"WATER",IF(ISNUMBER(SEARCH("oil",LOWER(M836))),"OIL","UNKNOWN")))))))</f>
        <v/>
      </c>
      <c r="R836" s="12">
        <f>IF(C836="","",C836)</f>
        <v/>
      </c>
      <c r="S836" s="12">
        <f>IF(R836="","",R836+IF(O836&lt;&gt;"",O836,IF(H836="",0,H836)))</f>
        <v/>
      </c>
      <c r="T836" s="12">
        <f>IF(R836="","",MAX(Settings!$B$3,Settings!$B$4*IF(O836&lt;&gt;"",O836,IF(H836="",0,H836))))</f>
        <v/>
      </c>
      <c r="U836" s="11">
        <f>IF(AND(C836&lt;&gt;"",M836&lt;&gt;"",OR(H836&lt;&gt;"",O836&lt;&gt;"")),"COMPLETE",IF(OR(C836&lt;&gt;"",M836&lt;&gt;""),"PARTIAL","MISSING"))</f>
        <v/>
      </c>
      <c r="V836" s="11">
        <f>IF(Q836="UNKNOWN","Check fluid description",IF(AND(R836&lt;&gt;"",S836&lt;&gt;""),"Ready for contact screening","Needs TVD + thickness"))</f>
        <v/>
      </c>
    </row>
    <row r="837">
      <c r="A837" s="9" t="n"/>
      <c r="B837" s="9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9" t="n"/>
      <c r="N837" s="9" t="n"/>
      <c r="O837" s="10" t="n"/>
      <c r="P837" s="9" t="n"/>
      <c r="Q837" s="11">
        <f>IF(P837&lt;&gt;"",P837,IF(M837="","UNKNOWN",IF(AND(ISNUMBER(SEARCH("gas",LOWER(M837))),ISNUMBER(SEARCH("water",LOWER(M837)))),"GAS_WATER",IF(AND(ISNUMBER(SEARCH("oil",LOWER(M837))),ISNUMBER(SEARCH("water",LOWER(M837)))),"OIL_WATER",IF(ISNUMBER(SEARCH("gas",LOWER(M837))),"GAS",IF(ISNUMBER(SEARCH("water",LOWER(M837))),"WATER",IF(ISNUMBER(SEARCH("oil",LOWER(M837))),"OIL","UNKNOWN")))))))</f>
        <v/>
      </c>
      <c r="R837" s="12">
        <f>IF(C837="","",C837)</f>
        <v/>
      </c>
      <c r="S837" s="12">
        <f>IF(R837="","",R837+IF(O837&lt;&gt;"",O837,IF(H837="",0,H837)))</f>
        <v/>
      </c>
      <c r="T837" s="12">
        <f>IF(R837="","",MAX(Settings!$B$3,Settings!$B$4*IF(O837&lt;&gt;"",O837,IF(H837="",0,H837))))</f>
        <v/>
      </c>
      <c r="U837" s="11">
        <f>IF(AND(C837&lt;&gt;"",M837&lt;&gt;"",OR(H837&lt;&gt;"",O837&lt;&gt;"")),"COMPLETE",IF(OR(C837&lt;&gt;"",M837&lt;&gt;""),"PARTIAL","MISSING"))</f>
        <v/>
      </c>
      <c r="V837" s="11">
        <f>IF(Q837="UNKNOWN","Check fluid description",IF(AND(R837&lt;&gt;"",S837&lt;&gt;""),"Ready for contact screening","Needs TVD + thickness"))</f>
        <v/>
      </c>
    </row>
    <row r="838">
      <c r="A838" s="9" t="n"/>
      <c r="B838" s="9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9" t="n"/>
      <c r="N838" s="9" t="n"/>
      <c r="O838" s="10" t="n"/>
      <c r="P838" s="9" t="n"/>
      <c r="Q838" s="11">
        <f>IF(P838&lt;&gt;"",P838,IF(M838="","UNKNOWN",IF(AND(ISNUMBER(SEARCH("gas",LOWER(M838))),ISNUMBER(SEARCH("water",LOWER(M838)))),"GAS_WATER",IF(AND(ISNUMBER(SEARCH("oil",LOWER(M838))),ISNUMBER(SEARCH("water",LOWER(M838)))),"OIL_WATER",IF(ISNUMBER(SEARCH("gas",LOWER(M838))),"GAS",IF(ISNUMBER(SEARCH("water",LOWER(M838))),"WATER",IF(ISNUMBER(SEARCH("oil",LOWER(M838))),"OIL","UNKNOWN")))))))</f>
        <v/>
      </c>
      <c r="R838" s="12">
        <f>IF(C838="","",C838)</f>
        <v/>
      </c>
      <c r="S838" s="12">
        <f>IF(R838="","",R838+IF(O838&lt;&gt;"",O838,IF(H838="",0,H838)))</f>
        <v/>
      </c>
      <c r="T838" s="12">
        <f>IF(R838="","",MAX(Settings!$B$3,Settings!$B$4*IF(O838&lt;&gt;"",O838,IF(H838="",0,H838))))</f>
        <v/>
      </c>
      <c r="U838" s="11">
        <f>IF(AND(C838&lt;&gt;"",M838&lt;&gt;"",OR(H838&lt;&gt;"",O838&lt;&gt;"")),"COMPLETE",IF(OR(C838&lt;&gt;"",M838&lt;&gt;""),"PARTIAL","MISSING"))</f>
        <v/>
      </c>
      <c r="V838" s="11">
        <f>IF(Q838="UNKNOWN","Check fluid description",IF(AND(R838&lt;&gt;"",S838&lt;&gt;""),"Ready for contact screening","Needs TVD + thickness"))</f>
        <v/>
      </c>
    </row>
    <row r="839">
      <c r="A839" s="9" t="n"/>
      <c r="B839" s="9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9" t="n"/>
      <c r="N839" s="9" t="n"/>
      <c r="O839" s="10" t="n"/>
      <c r="P839" s="9" t="n"/>
      <c r="Q839" s="11">
        <f>IF(P839&lt;&gt;"",P839,IF(M839="","UNKNOWN",IF(AND(ISNUMBER(SEARCH("gas",LOWER(M839))),ISNUMBER(SEARCH("water",LOWER(M839)))),"GAS_WATER",IF(AND(ISNUMBER(SEARCH("oil",LOWER(M839))),ISNUMBER(SEARCH("water",LOWER(M839)))),"OIL_WATER",IF(ISNUMBER(SEARCH("gas",LOWER(M839))),"GAS",IF(ISNUMBER(SEARCH("water",LOWER(M839))),"WATER",IF(ISNUMBER(SEARCH("oil",LOWER(M839))),"OIL","UNKNOWN")))))))</f>
        <v/>
      </c>
      <c r="R839" s="12">
        <f>IF(C839="","",C839)</f>
        <v/>
      </c>
      <c r="S839" s="12">
        <f>IF(R839="","",R839+IF(O839&lt;&gt;"",O839,IF(H839="",0,H839)))</f>
        <v/>
      </c>
      <c r="T839" s="12">
        <f>IF(R839="","",MAX(Settings!$B$3,Settings!$B$4*IF(O839&lt;&gt;"",O839,IF(H839="",0,H839))))</f>
        <v/>
      </c>
      <c r="U839" s="11">
        <f>IF(AND(C839&lt;&gt;"",M839&lt;&gt;"",OR(H839&lt;&gt;"",O839&lt;&gt;"")),"COMPLETE",IF(OR(C839&lt;&gt;"",M839&lt;&gt;""),"PARTIAL","MISSING"))</f>
        <v/>
      </c>
      <c r="V839" s="11">
        <f>IF(Q839="UNKNOWN","Check fluid description",IF(AND(R839&lt;&gt;"",S839&lt;&gt;""),"Ready for contact screening","Needs TVD + thickness"))</f>
        <v/>
      </c>
    </row>
    <row r="840">
      <c r="A840" s="9" t="n"/>
      <c r="B840" s="9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9" t="n"/>
      <c r="N840" s="9" t="n"/>
      <c r="O840" s="10" t="n"/>
      <c r="P840" s="9" t="n"/>
      <c r="Q840" s="11">
        <f>IF(P840&lt;&gt;"",P840,IF(M840="","UNKNOWN",IF(AND(ISNUMBER(SEARCH("gas",LOWER(M840))),ISNUMBER(SEARCH("water",LOWER(M840)))),"GAS_WATER",IF(AND(ISNUMBER(SEARCH("oil",LOWER(M840))),ISNUMBER(SEARCH("water",LOWER(M840)))),"OIL_WATER",IF(ISNUMBER(SEARCH("gas",LOWER(M840))),"GAS",IF(ISNUMBER(SEARCH("water",LOWER(M840))),"WATER",IF(ISNUMBER(SEARCH("oil",LOWER(M840))),"OIL","UNKNOWN")))))))</f>
        <v/>
      </c>
      <c r="R840" s="12">
        <f>IF(C840="","",C840)</f>
        <v/>
      </c>
      <c r="S840" s="12">
        <f>IF(R840="","",R840+IF(O840&lt;&gt;"",O840,IF(H840="",0,H840)))</f>
        <v/>
      </c>
      <c r="T840" s="12">
        <f>IF(R840="","",MAX(Settings!$B$3,Settings!$B$4*IF(O840&lt;&gt;"",O840,IF(H840="",0,H840))))</f>
        <v/>
      </c>
      <c r="U840" s="11">
        <f>IF(AND(C840&lt;&gt;"",M840&lt;&gt;"",OR(H840&lt;&gt;"",O840&lt;&gt;"")),"COMPLETE",IF(OR(C840&lt;&gt;"",M840&lt;&gt;""),"PARTIAL","MISSING"))</f>
        <v/>
      </c>
      <c r="V840" s="11">
        <f>IF(Q840="UNKNOWN","Check fluid description",IF(AND(R840&lt;&gt;"",S840&lt;&gt;""),"Ready for contact screening","Needs TVD + thickness"))</f>
        <v/>
      </c>
    </row>
    <row r="841">
      <c r="A841" s="9" t="n"/>
      <c r="B841" s="9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9" t="n"/>
      <c r="N841" s="9" t="n"/>
      <c r="O841" s="10" t="n"/>
      <c r="P841" s="9" t="n"/>
      <c r="Q841" s="11">
        <f>IF(P841&lt;&gt;"",P841,IF(M841="","UNKNOWN",IF(AND(ISNUMBER(SEARCH("gas",LOWER(M841))),ISNUMBER(SEARCH("water",LOWER(M841)))),"GAS_WATER",IF(AND(ISNUMBER(SEARCH("oil",LOWER(M841))),ISNUMBER(SEARCH("water",LOWER(M841)))),"OIL_WATER",IF(ISNUMBER(SEARCH("gas",LOWER(M841))),"GAS",IF(ISNUMBER(SEARCH("water",LOWER(M841))),"WATER",IF(ISNUMBER(SEARCH("oil",LOWER(M841))),"OIL","UNKNOWN")))))))</f>
        <v/>
      </c>
      <c r="R841" s="12">
        <f>IF(C841="","",C841)</f>
        <v/>
      </c>
      <c r="S841" s="12">
        <f>IF(R841="","",R841+IF(O841&lt;&gt;"",O841,IF(H841="",0,H841)))</f>
        <v/>
      </c>
      <c r="T841" s="12">
        <f>IF(R841="","",MAX(Settings!$B$3,Settings!$B$4*IF(O841&lt;&gt;"",O841,IF(H841="",0,H841))))</f>
        <v/>
      </c>
      <c r="U841" s="11">
        <f>IF(AND(C841&lt;&gt;"",M841&lt;&gt;"",OR(H841&lt;&gt;"",O841&lt;&gt;"")),"COMPLETE",IF(OR(C841&lt;&gt;"",M841&lt;&gt;""),"PARTIAL","MISSING"))</f>
        <v/>
      </c>
      <c r="V841" s="11">
        <f>IF(Q841="UNKNOWN","Check fluid description",IF(AND(R841&lt;&gt;"",S841&lt;&gt;""),"Ready for contact screening","Needs TVD + thickness"))</f>
        <v/>
      </c>
    </row>
    <row r="842">
      <c r="A842" s="9" t="n"/>
      <c r="B842" s="9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9" t="n"/>
      <c r="N842" s="9" t="n"/>
      <c r="O842" s="10" t="n"/>
      <c r="P842" s="9" t="n"/>
      <c r="Q842" s="11">
        <f>IF(P842&lt;&gt;"",P842,IF(M842="","UNKNOWN",IF(AND(ISNUMBER(SEARCH("gas",LOWER(M842))),ISNUMBER(SEARCH("water",LOWER(M842)))),"GAS_WATER",IF(AND(ISNUMBER(SEARCH("oil",LOWER(M842))),ISNUMBER(SEARCH("water",LOWER(M842)))),"OIL_WATER",IF(ISNUMBER(SEARCH("gas",LOWER(M842))),"GAS",IF(ISNUMBER(SEARCH("water",LOWER(M842))),"WATER",IF(ISNUMBER(SEARCH("oil",LOWER(M842))),"OIL","UNKNOWN")))))))</f>
        <v/>
      </c>
      <c r="R842" s="12">
        <f>IF(C842="","",C842)</f>
        <v/>
      </c>
      <c r="S842" s="12">
        <f>IF(R842="","",R842+IF(O842&lt;&gt;"",O842,IF(H842="",0,H842)))</f>
        <v/>
      </c>
      <c r="T842" s="12">
        <f>IF(R842="","",MAX(Settings!$B$3,Settings!$B$4*IF(O842&lt;&gt;"",O842,IF(H842="",0,H842))))</f>
        <v/>
      </c>
      <c r="U842" s="11">
        <f>IF(AND(C842&lt;&gt;"",M842&lt;&gt;"",OR(H842&lt;&gt;"",O842&lt;&gt;"")),"COMPLETE",IF(OR(C842&lt;&gt;"",M842&lt;&gt;""),"PARTIAL","MISSING"))</f>
        <v/>
      </c>
      <c r="V842" s="11">
        <f>IF(Q842="UNKNOWN","Check fluid description",IF(AND(R842&lt;&gt;"",S842&lt;&gt;""),"Ready for contact screening","Needs TVD + thickness"))</f>
        <v/>
      </c>
    </row>
    <row r="843">
      <c r="A843" s="9" t="n"/>
      <c r="B843" s="9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9" t="n"/>
      <c r="N843" s="9" t="n"/>
      <c r="O843" s="10" t="n"/>
      <c r="P843" s="9" t="n"/>
      <c r="Q843" s="11">
        <f>IF(P843&lt;&gt;"",P843,IF(M843="","UNKNOWN",IF(AND(ISNUMBER(SEARCH("gas",LOWER(M843))),ISNUMBER(SEARCH("water",LOWER(M843)))),"GAS_WATER",IF(AND(ISNUMBER(SEARCH("oil",LOWER(M843))),ISNUMBER(SEARCH("water",LOWER(M843)))),"OIL_WATER",IF(ISNUMBER(SEARCH("gas",LOWER(M843))),"GAS",IF(ISNUMBER(SEARCH("water",LOWER(M843))),"WATER",IF(ISNUMBER(SEARCH("oil",LOWER(M843))),"OIL","UNKNOWN")))))))</f>
        <v/>
      </c>
      <c r="R843" s="12">
        <f>IF(C843="","",C843)</f>
        <v/>
      </c>
      <c r="S843" s="12">
        <f>IF(R843="","",R843+IF(O843&lt;&gt;"",O843,IF(H843="",0,H843)))</f>
        <v/>
      </c>
      <c r="T843" s="12">
        <f>IF(R843="","",MAX(Settings!$B$3,Settings!$B$4*IF(O843&lt;&gt;"",O843,IF(H843="",0,H843))))</f>
        <v/>
      </c>
      <c r="U843" s="11">
        <f>IF(AND(C843&lt;&gt;"",M843&lt;&gt;"",OR(H843&lt;&gt;"",O843&lt;&gt;"")),"COMPLETE",IF(OR(C843&lt;&gt;"",M843&lt;&gt;""),"PARTIAL","MISSING"))</f>
        <v/>
      </c>
      <c r="V843" s="11">
        <f>IF(Q843="UNKNOWN","Check fluid description",IF(AND(R843&lt;&gt;"",S843&lt;&gt;""),"Ready for contact screening","Needs TVD + thickness"))</f>
        <v/>
      </c>
    </row>
    <row r="844">
      <c r="A844" s="9" t="n"/>
      <c r="B844" s="9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9" t="n"/>
      <c r="N844" s="9" t="n"/>
      <c r="O844" s="10" t="n"/>
      <c r="P844" s="9" t="n"/>
      <c r="Q844" s="11">
        <f>IF(P844&lt;&gt;"",P844,IF(M844="","UNKNOWN",IF(AND(ISNUMBER(SEARCH("gas",LOWER(M844))),ISNUMBER(SEARCH("water",LOWER(M844)))),"GAS_WATER",IF(AND(ISNUMBER(SEARCH("oil",LOWER(M844))),ISNUMBER(SEARCH("water",LOWER(M844)))),"OIL_WATER",IF(ISNUMBER(SEARCH("gas",LOWER(M844))),"GAS",IF(ISNUMBER(SEARCH("water",LOWER(M844))),"WATER",IF(ISNUMBER(SEARCH("oil",LOWER(M844))),"OIL","UNKNOWN")))))))</f>
        <v/>
      </c>
      <c r="R844" s="12">
        <f>IF(C844="","",C844)</f>
        <v/>
      </c>
      <c r="S844" s="12">
        <f>IF(R844="","",R844+IF(O844&lt;&gt;"",O844,IF(H844="",0,H844)))</f>
        <v/>
      </c>
      <c r="T844" s="12">
        <f>IF(R844="","",MAX(Settings!$B$3,Settings!$B$4*IF(O844&lt;&gt;"",O844,IF(H844="",0,H844))))</f>
        <v/>
      </c>
      <c r="U844" s="11">
        <f>IF(AND(C844&lt;&gt;"",M844&lt;&gt;"",OR(H844&lt;&gt;"",O844&lt;&gt;"")),"COMPLETE",IF(OR(C844&lt;&gt;"",M844&lt;&gt;""),"PARTIAL","MISSING"))</f>
        <v/>
      </c>
      <c r="V844" s="11">
        <f>IF(Q844="UNKNOWN","Check fluid description",IF(AND(R844&lt;&gt;"",S844&lt;&gt;""),"Ready for contact screening","Needs TVD + thickness"))</f>
        <v/>
      </c>
    </row>
    <row r="845">
      <c r="A845" s="9" t="n"/>
      <c r="B845" s="9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9" t="n"/>
      <c r="N845" s="9" t="n"/>
      <c r="O845" s="10" t="n"/>
      <c r="P845" s="9" t="n"/>
      <c r="Q845" s="11">
        <f>IF(P845&lt;&gt;"",P845,IF(M845="","UNKNOWN",IF(AND(ISNUMBER(SEARCH("gas",LOWER(M845))),ISNUMBER(SEARCH("water",LOWER(M845)))),"GAS_WATER",IF(AND(ISNUMBER(SEARCH("oil",LOWER(M845))),ISNUMBER(SEARCH("water",LOWER(M845)))),"OIL_WATER",IF(ISNUMBER(SEARCH("gas",LOWER(M845))),"GAS",IF(ISNUMBER(SEARCH("water",LOWER(M845))),"WATER",IF(ISNUMBER(SEARCH("oil",LOWER(M845))),"OIL","UNKNOWN")))))))</f>
        <v/>
      </c>
      <c r="R845" s="12">
        <f>IF(C845="","",C845)</f>
        <v/>
      </c>
      <c r="S845" s="12">
        <f>IF(R845="","",R845+IF(O845&lt;&gt;"",O845,IF(H845="",0,H845)))</f>
        <v/>
      </c>
      <c r="T845" s="12">
        <f>IF(R845="","",MAX(Settings!$B$3,Settings!$B$4*IF(O845&lt;&gt;"",O845,IF(H845="",0,H845))))</f>
        <v/>
      </c>
      <c r="U845" s="11">
        <f>IF(AND(C845&lt;&gt;"",M845&lt;&gt;"",OR(H845&lt;&gt;"",O845&lt;&gt;"")),"COMPLETE",IF(OR(C845&lt;&gt;"",M845&lt;&gt;""),"PARTIAL","MISSING"))</f>
        <v/>
      </c>
      <c r="V845" s="11">
        <f>IF(Q845="UNKNOWN","Check fluid description",IF(AND(R845&lt;&gt;"",S845&lt;&gt;""),"Ready for contact screening","Needs TVD + thickness"))</f>
        <v/>
      </c>
    </row>
    <row r="846">
      <c r="A846" s="9" t="n"/>
      <c r="B846" s="9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9" t="n"/>
      <c r="N846" s="9" t="n"/>
      <c r="O846" s="10" t="n"/>
      <c r="P846" s="9" t="n"/>
      <c r="Q846" s="11">
        <f>IF(P846&lt;&gt;"",P846,IF(M846="","UNKNOWN",IF(AND(ISNUMBER(SEARCH("gas",LOWER(M846))),ISNUMBER(SEARCH("water",LOWER(M846)))),"GAS_WATER",IF(AND(ISNUMBER(SEARCH("oil",LOWER(M846))),ISNUMBER(SEARCH("water",LOWER(M846)))),"OIL_WATER",IF(ISNUMBER(SEARCH("gas",LOWER(M846))),"GAS",IF(ISNUMBER(SEARCH("water",LOWER(M846))),"WATER",IF(ISNUMBER(SEARCH("oil",LOWER(M846))),"OIL","UNKNOWN")))))))</f>
        <v/>
      </c>
      <c r="R846" s="12">
        <f>IF(C846="","",C846)</f>
        <v/>
      </c>
      <c r="S846" s="12">
        <f>IF(R846="","",R846+IF(O846&lt;&gt;"",O846,IF(H846="",0,H846)))</f>
        <v/>
      </c>
      <c r="T846" s="12">
        <f>IF(R846="","",MAX(Settings!$B$3,Settings!$B$4*IF(O846&lt;&gt;"",O846,IF(H846="",0,H846))))</f>
        <v/>
      </c>
      <c r="U846" s="11">
        <f>IF(AND(C846&lt;&gt;"",M846&lt;&gt;"",OR(H846&lt;&gt;"",O846&lt;&gt;"")),"COMPLETE",IF(OR(C846&lt;&gt;"",M846&lt;&gt;""),"PARTIAL","MISSING"))</f>
        <v/>
      </c>
      <c r="V846" s="11">
        <f>IF(Q846="UNKNOWN","Check fluid description",IF(AND(R846&lt;&gt;"",S846&lt;&gt;""),"Ready for contact screening","Needs TVD + thickness"))</f>
        <v/>
      </c>
    </row>
    <row r="847">
      <c r="A847" s="9" t="n"/>
      <c r="B847" s="9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9" t="n"/>
      <c r="N847" s="9" t="n"/>
      <c r="O847" s="10" t="n"/>
      <c r="P847" s="9" t="n"/>
      <c r="Q847" s="11">
        <f>IF(P847&lt;&gt;"",P847,IF(M847="","UNKNOWN",IF(AND(ISNUMBER(SEARCH("gas",LOWER(M847))),ISNUMBER(SEARCH("water",LOWER(M847)))),"GAS_WATER",IF(AND(ISNUMBER(SEARCH("oil",LOWER(M847))),ISNUMBER(SEARCH("water",LOWER(M847)))),"OIL_WATER",IF(ISNUMBER(SEARCH("gas",LOWER(M847))),"GAS",IF(ISNUMBER(SEARCH("water",LOWER(M847))),"WATER",IF(ISNUMBER(SEARCH("oil",LOWER(M847))),"OIL","UNKNOWN")))))))</f>
        <v/>
      </c>
      <c r="R847" s="12">
        <f>IF(C847="","",C847)</f>
        <v/>
      </c>
      <c r="S847" s="12">
        <f>IF(R847="","",R847+IF(O847&lt;&gt;"",O847,IF(H847="",0,H847)))</f>
        <v/>
      </c>
      <c r="T847" s="12">
        <f>IF(R847="","",MAX(Settings!$B$3,Settings!$B$4*IF(O847&lt;&gt;"",O847,IF(H847="",0,H847))))</f>
        <v/>
      </c>
      <c r="U847" s="11">
        <f>IF(AND(C847&lt;&gt;"",M847&lt;&gt;"",OR(H847&lt;&gt;"",O847&lt;&gt;"")),"COMPLETE",IF(OR(C847&lt;&gt;"",M847&lt;&gt;""),"PARTIAL","MISSING"))</f>
        <v/>
      </c>
      <c r="V847" s="11">
        <f>IF(Q847="UNKNOWN","Check fluid description",IF(AND(R847&lt;&gt;"",S847&lt;&gt;""),"Ready for contact screening","Needs TVD + thickness"))</f>
        <v/>
      </c>
    </row>
    <row r="848">
      <c r="A848" s="9" t="n"/>
      <c r="B848" s="9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9" t="n"/>
      <c r="N848" s="9" t="n"/>
      <c r="O848" s="10" t="n"/>
      <c r="P848" s="9" t="n"/>
      <c r="Q848" s="11">
        <f>IF(P848&lt;&gt;"",P848,IF(M848="","UNKNOWN",IF(AND(ISNUMBER(SEARCH("gas",LOWER(M848))),ISNUMBER(SEARCH("water",LOWER(M848)))),"GAS_WATER",IF(AND(ISNUMBER(SEARCH("oil",LOWER(M848))),ISNUMBER(SEARCH("water",LOWER(M848)))),"OIL_WATER",IF(ISNUMBER(SEARCH("gas",LOWER(M848))),"GAS",IF(ISNUMBER(SEARCH("water",LOWER(M848))),"WATER",IF(ISNUMBER(SEARCH("oil",LOWER(M848))),"OIL","UNKNOWN")))))))</f>
        <v/>
      </c>
      <c r="R848" s="12">
        <f>IF(C848="","",C848)</f>
        <v/>
      </c>
      <c r="S848" s="12">
        <f>IF(R848="","",R848+IF(O848&lt;&gt;"",O848,IF(H848="",0,H848)))</f>
        <v/>
      </c>
      <c r="T848" s="12">
        <f>IF(R848="","",MAX(Settings!$B$3,Settings!$B$4*IF(O848&lt;&gt;"",O848,IF(H848="",0,H848))))</f>
        <v/>
      </c>
      <c r="U848" s="11">
        <f>IF(AND(C848&lt;&gt;"",M848&lt;&gt;"",OR(H848&lt;&gt;"",O848&lt;&gt;"")),"COMPLETE",IF(OR(C848&lt;&gt;"",M848&lt;&gt;""),"PARTIAL","MISSING"))</f>
        <v/>
      </c>
      <c r="V848" s="11">
        <f>IF(Q848="UNKNOWN","Check fluid description",IF(AND(R848&lt;&gt;"",S848&lt;&gt;""),"Ready for contact screening","Needs TVD + thickness"))</f>
        <v/>
      </c>
    </row>
    <row r="849">
      <c r="A849" s="9" t="n"/>
      <c r="B849" s="9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9" t="n"/>
      <c r="N849" s="9" t="n"/>
      <c r="O849" s="10" t="n"/>
      <c r="P849" s="9" t="n"/>
      <c r="Q849" s="11">
        <f>IF(P849&lt;&gt;"",P849,IF(M849="","UNKNOWN",IF(AND(ISNUMBER(SEARCH("gas",LOWER(M849))),ISNUMBER(SEARCH("water",LOWER(M849)))),"GAS_WATER",IF(AND(ISNUMBER(SEARCH("oil",LOWER(M849))),ISNUMBER(SEARCH("water",LOWER(M849)))),"OIL_WATER",IF(ISNUMBER(SEARCH("gas",LOWER(M849))),"GAS",IF(ISNUMBER(SEARCH("water",LOWER(M849))),"WATER",IF(ISNUMBER(SEARCH("oil",LOWER(M849))),"OIL","UNKNOWN")))))))</f>
        <v/>
      </c>
      <c r="R849" s="12">
        <f>IF(C849="","",C849)</f>
        <v/>
      </c>
      <c r="S849" s="12">
        <f>IF(R849="","",R849+IF(O849&lt;&gt;"",O849,IF(H849="",0,H849)))</f>
        <v/>
      </c>
      <c r="T849" s="12">
        <f>IF(R849="","",MAX(Settings!$B$3,Settings!$B$4*IF(O849&lt;&gt;"",O849,IF(H849="",0,H849))))</f>
        <v/>
      </c>
      <c r="U849" s="11">
        <f>IF(AND(C849&lt;&gt;"",M849&lt;&gt;"",OR(H849&lt;&gt;"",O849&lt;&gt;"")),"COMPLETE",IF(OR(C849&lt;&gt;"",M849&lt;&gt;""),"PARTIAL","MISSING"))</f>
        <v/>
      </c>
      <c r="V849" s="11">
        <f>IF(Q849="UNKNOWN","Check fluid description",IF(AND(R849&lt;&gt;"",S849&lt;&gt;""),"Ready for contact screening","Needs TVD + thickness"))</f>
        <v/>
      </c>
    </row>
    <row r="850">
      <c r="A850" s="9" t="n"/>
      <c r="B850" s="9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9" t="n"/>
      <c r="N850" s="9" t="n"/>
      <c r="O850" s="10" t="n"/>
      <c r="P850" s="9" t="n"/>
      <c r="Q850" s="11">
        <f>IF(P850&lt;&gt;"",P850,IF(M850="","UNKNOWN",IF(AND(ISNUMBER(SEARCH("gas",LOWER(M850))),ISNUMBER(SEARCH("water",LOWER(M850)))),"GAS_WATER",IF(AND(ISNUMBER(SEARCH("oil",LOWER(M850))),ISNUMBER(SEARCH("water",LOWER(M850)))),"OIL_WATER",IF(ISNUMBER(SEARCH("gas",LOWER(M850))),"GAS",IF(ISNUMBER(SEARCH("water",LOWER(M850))),"WATER",IF(ISNUMBER(SEARCH("oil",LOWER(M850))),"OIL","UNKNOWN")))))))</f>
        <v/>
      </c>
      <c r="R850" s="12">
        <f>IF(C850="","",C850)</f>
        <v/>
      </c>
      <c r="S850" s="12">
        <f>IF(R850="","",R850+IF(O850&lt;&gt;"",O850,IF(H850="",0,H850)))</f>
        <v/>
      </c>
      <c r="T850" s="12">
        <f>IF(R850="","",MAX(Settings!$B$3,Settings!$B$4*IF(O850&lt;&gt;"",O850,IF(H850="",0,H850))))</f>
        <v/>
      </c>
      <c r="U850" s="11">
        <f>IF(AND(C850&lt;&gt;"",M850&lt;&gt;"",OR(H850&lt;&gt;"",O850&lt;&gt;"")),"COMPLETE",IF(OR(C850&lt;&gt;"",M850&lt;&gt;""),"PARTIAL","MISSING"))</f>
        <v/>
      </c>
      <c r="V850" s="11">
        <f>IF(Q850="UNKNOWN","Check fluid description",IF(AND(R850&lt;&gt;"",S850&lt;&gt;""),"Ready for contact screening","Needs TVD + thickness"))</f>
        <v/>
      </c>
    </row>
    <row r="851">
      <c r="A851" s="9" t="n"/>
      <c r="B851" s="9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9" t="n"/>
      <c r="N851" s="9" t="n"/>
      <c r="O851" s="10" t="n"/>
      <c r="P851" s="9" t="n"/>
      <c r="Q851" s="11">
        <f>IF(P851&lt;&gt;"",P851,IF(M851="","UNKNOWN",IF(AND(ISNUMBER(SEARCH("gas",LOWER(M851))),ISNUMBER(SEARCH("water",LOWER(M851)))),"GAS_WATER",IF(AND(ISNUMBER(SEARCH("oil",LOWER(M851))),ISNUMBER(SEARCH("water",LOWER(M851)))),"OIL_WATER",IF(ISNUMBER(SEARCH("gas",LOWER(M851))),"GAS",IF(ISNUMBER(SEARCH("water",LOWER(M851))),"WATER",IF(ISNUMBER(SEARCH("oil",LOWER(M851))),"OIL","UNKNOWN")))))))</f>
        <v/>
      </c>
      <c r="R851" s="12">
        <f>IF(C851="","",C851)</f>
        <v/>
      </c>
      <c r="S851" s="12">
        <f>IF(R851="","",R851+IF(O851&lt;&gt;"",O851,IF(H851="",0,H851)))</f>
        <v/>
      </c>
      <c r="T851" s="12">
        <f>IF(R851="","",MAX(Settings!$B$3,Settings!$B$4*IF(O851&lt;&gt;"",O851,IF(H851="",0,H851))))</f>
        <v/>
      </c>
      <c r="U851" s="11">
        <f>IF(AND(C851&lt;&gt;"",M851&lt;&gt;"",OR(H851&lt;&gt;"",O851&lt;&gt;"")),"COMPLETE",IF(OR(C851&lt;&gt;"",M851&lt;&gt;""),"PARTIAL","MISSING"))</f>
        <v/>
      </c>
      <c r="V851" s="11">
        <f>IF(Q851="UNKNOWN","Check fluid description",IF(AND(R851&lt;&gt;"",S851&lt;&gt;""),"Ready for contact screening","Needs TVD + thickness"))</f>
        <v/>
      </c>
    </row>
    <row r="852">
      <c r="A852" s="9" t="n"/>
      <c r="B852" s="9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9" t="n"/>
      <c r="N852" s="9" t="n"/>
      <c r="O852" s="10" t="n"/>
      <c r="P852" s="9" t="n"/>
      <c r="Q852" s="11">
        <f>IF(P852&lt;&gt;"",P852,IF(M852="","UNKNOWN",IF(AND(ISNUMBER(SEARCH("gas",LOWER(M852))),ISNUMBER(SEARCH("water",LOWER(M852)))),"GAS_WATER",IF(AND(ISNUMBER(SEARCH("oil",LOWER(M852))),ISNUMBER(SEARCH("water",LOWER(M852)))),"OIL_WATER",IF(ISNUMBER(SEARCH("gas",LOWER(M852))),"GAS",IF(ISNUMBER(SEARCH("water",LOWER(M852))),"WATER",IF(ISNUMBER(SEARCH("oil",LOWER(M852))),"OIL","UNKNOWN")))))))</f>
        <v/>
      </c>
      <c r="R852" s="12">
        <f>IF(C852="","",C852)</f>
        <v/>
      </c>
      <c r="S852" s="12">
        <f>IF(R852="","",R852+IF(O852&lt;&gt;"",O852,IF(H852="",0,H852)))</f>
        <v/>
      </c>
      <c r="T852" s="12">
        <f>IF(R852="","",MAX(Settings!$B$3,Settings!$B$4*IF(O852&lt;&gt;"",O852,IF(H852="",0,H852))))</f>
        <v/>
      </c>
      <c r="U852" s="11">
        <f>IF(AND(C852&lt;&gt;"",M852&lt;&gt;"",OR(H852&lt;&gt;"",O852&lt;&gt;"")),"COMPLETE",IF(OR(C852&lt;&gt;"",M852&lt;&gt;""),"PARTIAL","MISSING"))</f>
        <v/>
      </c>
      <c r="V852" s="11">
        <f>IF(Q852="UNKNOWN","Check fluid description",IF(AND(R852&lt;&gt;"",S852&lt;&gt;""),"Ready for contact screening","Needs TVD + thickness"))</f>
        <v/>
      </c>
    </row>
    <row r="853">
      <c r="A853" s="9" t="n"/>
      <c r="B853" s="9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9" t="n"/>
      <c r="N853" s="9" t="n"/>
      <c r="O853" s="10" t="n"/>
      <c r="P853" s="9" t="n"/>
      <c r="Q853" s="11">
        <f>IF(P853&lt;&gt;"",P853,IF(M853="","UNKNOWN",IF(AND(ISNUMBER(SEARCH("gas",LOWER(M853))),ISNUMBER(SEARCH("water",LOWER(M853)))),"GAS_WATER",IF(AND(ISNUMBER(SEARCH("oil",LOWER(M853))),ISNUMBER(SEARCH("water",LOWER(M853)))),"OIL_WATER",IF(ISNUMBER(SEARCH("gas",LOWER(M853))),"GAS",IF(ISNUMBER(SEARCH("water",LOWER(M853))),"WATER",IF(ISNUMBER(SEARCH("oil",LOWER(M853))),"OIL","UNKNOWN")))))))</f>
        <v/>
      </c>
      <c r="R853" s="12">
        <f>IF(C853="","",C853)</f>
        <v/>
      </c>
      <c r="S853" s="12">
        <f>IF(R853="","",R853+IF(O853&lt;&gt;"",O853,IF(H853="",0,H853)))</f>
        <v/>
      </c>
      <c r="T853" s="12">
        <f>IF(R853="","",MAX(Settings!$B$3,Settings!$B$4*IF(O853&lt;&gt;"",O853,IF(H853="",0,H853))))</f>
        <v/>
      </c>
      <c r="U853" s="11">
        <f>IF(AND(C853&lt;&gt;"",M853&lt;&gt;"",OR(H853&lt;&gt;"",O853&lt;&gt;"")),"COMPLETE",IF(OR(C853&lt;&gt;"",M853&lt;&gt;""),"PARTIAL","MISSING"))</f>
        <v/>
      </c>
      <c r="V853" s="11">
        <f>IF(Q853="UNKNOWN","Check fluid description",IF(AND(R853&lt;&gt;"",S853&lt;&gt;""),"Ready for contact screening","Needs TVD + thickness"))</f>
        <v/>
      </c>
    </row>
    <row r="854">
      <c r="A854" s="9" t="n"/>
      <c r="B854" s="9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9" t="n"/>
      <c r="N854" s="9" t="n"/>
      <c r="O854" s="10" t="n"/>
      <c r="P854" s="9" t="n"/>
      <c r="Q854" s="11">
        <f>IF(P854&lt;&gt;"",P854,IF(M854="","UNKNOWN",IF(AND(ISNUMBER(SEARCH("gas",LOWER(M854))),ISNUMBER(SEARCH("water",LOWER(M854)))),"GAS_WATER",IF(AND(ISNUMBER(SEARCH("oil",LOWER(M854))),ISNUMBER(SEARCH("water",LOWER(M854)))),"OIL_WATER",IF(ISNUMBER(SEARCH("gas",LOWER(M854))),"GAS",IF(ISNUMBER(SEARCH("water",LOWER(M854))),"WATER",IF(ISNUMBER(SEARCH("oil",LOWER(M854))),"OIL","UNKNOWN")))))))</f>
        <v/>
      </c>
      <c r="R854" s="12">
        <f>IF(C854="","",C854)</f>
        <v/>
      </c>
      <c r="S854" s="12">
        <f>IF(R854="","",R854+IF(O854&lt;&gt;"",O854,IF(H854="",0,H854)))</f>
        <v/>
      </c>
      <c r="T854" s="12">
        <f>IF(R854="","",MAX(Settings!$B$3,Settings!$B$4*IF(O854&lt;&gt;"",O854,IF(H854="",0,H854))))</f>
        <v/>
      </c>
      <c r="U854" s="11">
        <f>IF(AND(C854&lt;&gt;"",M854&lt;&gt;"",OR(H854&lt;&gt;"",O854&lt;&gt;"")),"COMPLETE",IF(OR(C854&lt;&gt;"",M854&lt;&gt;""),"PARTIAL","MISSING"))</f>
        <v/>
      </c>
      <c r="V854" s="11">
        <f>IF(Q854="UNKNOWN","Check fluid description",IF(AND(R854&lt;&gt;"",S854&lt;&gt;""),"Ready for contact screening","Needs TVD + thickness"))</f>
        <v/>
      </c>
    </row>
    <row r="855">
      <c r="A855" s="9" t="n"/>
      <c r="B855" s="9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9" t="n"/>
      <c r="N855" s="9" t="n"/>
      <c r="O855" s="10" t="n"/>
      <c r="P855" s="9" t="n"/>
      <c r="Q855" s="11">
        <f>IF(P855&lt;&gt;"",P855,IF(M855="","UNKNOWN",IF(AND(ISNUMBER(SEARCH("gas",LOWER(M855))),ISNUMBER(SEARCH("water",LOWER(M855)))),"GAS_WATER",IF(AND(ISNUMBER(SEARCH("oil",LOWER(M855))),ISNUMBER(SEARCH("water",LOWER(M855)))),"OIL_WATER",IF(ISNUMBER(SEARCH("gas",LOWER(M855))),"GAS",IF(ISNUMBER(SEARCH("water",LOWER(M855))),"WATER",IF(ISNUMBER(SEARCH("oil",LOWER(M855))),"OIL","UNKNOWN")))))))</f>
        <v/>
      </c>
      <c r="R855" s="12">
        <f>IF(C855="","",C855)</f>
        <v/>
      </c>
      <c r="S855" s="12">
        <f>IF(R855="","",R855+IF(O855&lt;&gt;"",O855,IF(H855="",0,H855)))</f>
        <v/>
      </c>
      <c r="T855" s="12">
        <f>IF(R855="","",MAX(Settings!$B$3,Settings!$B$4*IF(O855&lt;&gt;"",O855,IF(H855="",0,H855))))</f>
        <v/>
      </c>
      <c r="U855" s="11">
        <f>IF(AND(C855&lt;&gt;"",M855&lt;&gt;"",OR(H855&lt;&gt;"",O855&lt;&gt;"")),"COMPLETE",IF(OR(C855&lt;&gt;"",M855&lt;&gt;""),"PARTIAL","MISSING"))</f>
        <v/>
      </c>
      <c r="V855" s="11">
        <f>IF(Q855="UNKNOWN","Check fluid description",IF(AND(R855&lt;&gt;"",S855&lt;&gt;""),"Ready for contact screening","Needs TVD + thickness"))</f>
        <v/>
      </c>
    </row>
    <row r="856">
      <c r="A856" s="9" t="n"/>
      <c r="B856" s="9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9" t="n"/>
      <c r="N856" s="9" t="n"/>
      <c r="O856" s="10" t="n"/>
      <c r="P856" s="9" t="n"/>
      <c r="Q856" s="11">
        <f>IF(P856&lt;&gt;"",P856,IF(M856="","UNKNOWN",IF(AND(ISNUMBER(SEARCH("gas",LOWER(M856))),ISNUMBER(SEARCH("water",LOWER(M856)))),"GAS_WATER",IF(AND(ISNUMBER(SEARCH("oil",LOWER(M856))),ISNUMBER(SEARCH("water",LOWER(M856)))),"OIL_WATER",IF(ISNUMBER(SEARCH("gas",LOWER(M856))),"GAS",IF(ISNUMBER(SEARCH("water",LOWER(M856))),"WATER",IF(ISNUMBER(SEARCH("oil",LOWER(M856))),"OIL","UNKNOWN")))))))</f>
        <v/>
      </c>
      <c r="R856" s="12">
        <f>IF(C856="","",C856)</f>
        <v/>
      </c>
      <c r="S856" s="12">
        <f>IF(R856="","",R856+IF(O856&lt;&gt;"",O856,IF(H856="",0,H856)))</f>
        <v/>
      </c>
      <c r="T856" s="12">
        <f>IF(R856="","",MAX(Settings!$B$3,Settings!$B$4*IF(O856&lt;&gt;"",O856,IF(H856="",0,H856))))</f>
        <v/>
      </c>
      <c r="U856" s="11">
        <f>IF(AND(C856&lt;&gt;"",M856&lt;&gt;"",OR(H856&lt;&gt;"",O856&lt;&gt;"")),"COMPLETE",IF(OR(C856&lt;&gt;"",M856&lt;&gt;""),"PARTIAL","MISSING"))</f>
        <v/>
      </c>
      <c r="V856" s="11">
        <f>IF(Q856="UNKNOWN","Check fluid description",IF(AND(R856&lt;&gt;"",S856&lt;&gt;""),"Ready for contact screening","Needs TVD + thickness"))</f>
        <v/>
      </c>
    </row>
    <row r="857">
      <c r="A857" s="9" t="n"/>
      <c r="B857" s="9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9" t="n"/>
      <c r="N857" s="9" t="n"/>
      <c r="O857" s="10" t="n"/>
      <c r="P857" s="9" t="n"/>
      <c r="Q857" s="11">
        <f>IF(P857&lt;&gt;"",P857,IF(M857="","UNKNOWN",IF(AND(ISNUMBER(SEARCH("gas",LOWER(M857))),ISNUMBER(SEARCH("water",LOWER(M857)))),"GAS_WATER",IF(AND(ISNUMBER(SEARCH("oil",LOWER(M857))),ISNUMBER(SEARCH("water",LOWER(M857)))),"OIL_WATER",IF(ISNUMBER(SEARCH("gas",LOWER(M857))),"GAS",IF(ISNUMBER(SEARCH("water",LOWER(M857))),"WATER",IF(ISNUMBER(SEARCH("oil",LOWER(M857))),"OIL","UNKNOWN")))))))</f>
        <v/>
      </c>
      <c r="R857" s="12">
        <f>IF(C857="","",C857)</f>
        <v/>
      </c>
      <c r="S857" s="12">
        <f>IF(R857="","",R857+IF(O857&lt;&gt;"",O857,IF(H857="",0,H857)))</f>
        <v/>
      </c>
      <c r="T857" s="12">
        <f>IF(R857="","",MAX(Settings!$B$3,Settings!$B$4*IF(O857&lt;&gt;"",O857,IF(H857="",0,H857))))</f>
        <v/>
      </c>
      <c r="U857" s="11">
        <f>IF(AND(C857&lt;&gt;"",M857&lt;&gt;"",OR(H857&lt;&gt;"",O857&lt;&gt;"")),"COMPLETE",IF(OR(C857&lt;&gt;"",M857&lt;&gt;""),"PARTIAL","MISSING"))</f>
        <v/>
      </c>
      <c r="V857" s="11">
        <f>IF(Q857="UNKNOWN","Check fluid description",IF(AND(R857&lt;&gt;"",S857&lt;&gt;""),"Ready for contact screening","Needs TVD + thickness"))</f>
        <v/>
      </c>
    </row>
    <row r="858">
      <c r="A858" s="9" t="n"/>
      <c r="B858" s="9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9" t="n"/>
      <c r="N858" s="9" t="n"/>
      <c r="O858" s="10" t="n"/>
      <c r="P858" s="9" t="n"/>
      <c r="Q858" s="11">
        <f>IF(P858&lt;&gt;"",P858,IF(M858="","UNKNOWN",IF(AND(ISNUMBER(SEARCH("gas",LOWER(M858))),ISNUMBER(SEARCH("water",LOWER(M858)))),"GAS_WATER",IF(AND(ISNUMBER(SEARCH("oil",LOWER(M858))),ISNUMBER(SEARCH("water",LOWER(M858)))),"OIL_WATER",IF(ISNUMBER(SEARCH("gas",LOWER(M858))),"GAS",IF(ISNUMBER(SEARCH("water",LOWER(M858))),"WATER",IF(ISNUMBER(SEARCH("oil",LOWER(M858))),"OIL","UNKNOWN")))))))</f>
        <v/>
      </c>
      <c r="R858" s="12">
        <f>IF(C858="","",C858)</f>
        <v/>
      </c>
      <c r="S858" s="12">
        <f>IF(R858="","",R858+IF(O858&lt;&gt;"",O858,IF(H858="",0,H858)))</f>
        <v/>
      </c>
      <c r="T858" s="12">
        <f>IF(R858="","",MAX(Settings!$B$3,Settings!$B$4*IF(O858&lt;&gt;"",O858,IF(H858="",0,H858))))</f>
        <v/>
      </c>
      <c r="U858" s="11">
        <f>IF(AND(C858&lt;&gt;"",M858&lt;&gt;"",OR(H858&lt;&gt;"",O858&lt;&gt;"")),"COMPLETE",IF(OR(C858&lt;&gt;"",M858&lt;&gt;""),"PARTIAL","MISSING"))</f>
        <v/>
      </c>
      <c r="V858" s="11">
        <f>IF(Q858="UNKNOWN","Check fluid description",IF(AND(R858&lt;&gt;"",S858&lt;&gt;""),"Ready for contact screening","Needs TVD + thickness"))</f>
        <v/>
      </c>
    </row>
    <row r="859">
      <c r="A859" s="9" t="n"/>
      <c r="B859" s="9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9" t="n"/>
      <c r="N859" s="9" t="n"/>
      <c r="O859" s="10" t="n"/>
      <c r="P859" s="9" t="n"/>
      <c r="Q859" s="11">
        <f>IF(P859&lt;&gt;"",P859,IF(M859="","UNKNOWN",IF(AND(ISNUMBER(SEARCH("gas",LOWER(M859))),ISNUMBER(SEARCH("water",LOWER(M859)))),"GAS_WATER",IF(AND(ISNUMBER(SEARCH("oil",LOWER(M859))),ISNUMBER(SEARCH("water",LOWER(M859)))),"OIL_WATER",IF(ISNUMBER(SEARCH("gas",LOWER(M859))),"GAS",IF(ISNUMBER(SEARCH("water",LOWER(M859))),"WATER",IF(ISNUMBER(SEARCH("oil",LOWER(M859))),"OIL","UNKNOWN")))))))</f>
        <v/>
      </c>
      <c r="R859" s="12">
        <f>IF(C859="","",C859)</f>
        <v/>
      </c>
      <c r="S859" s="12">
        <f>IF(R859="","",R859+IF(O859&lt;&gt;"",O859,IF(H859="",0,H859)))</f>
        <v/>
      </c>
      <c r="T859" s="12">
        <f>IF(R859="","",MAX(Settings!$B$3,Settings!$B$4*IF(O859&lt;&gt;"",O859,IF(H859="",0,H859))))</f>
        <v/>
      </c>
      <c r="U859" s="11">
        <f>IF(AND(C859&lt;&gt;"",M859&lt;&gt;"",OR(H859&lt;&gt;"",O859&lt;&gt;"")),"COMPLETE",IF(OR(C859&lt;&gt;"",M859&lt;&gt;""),"PARTIAL","MISSING"))</f>
        <v/>
      </c>
      <c r="V859" s="11">
        <f>IF(Q859="UNKNOWN","Check fluid description",IF(AND(R859&lt;&gt;"",S859&lt;&gt;""),"Ready for contact screening","Needs TVD + thickness"))</f>
        <v/>
      </c>
    </row>
    <row r="860">
      <c r="A860" s="9" t="n"/>
      <c r="B860" s="9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9" t="n"/>
      <c r="N860" s="9" t="n"/>
      <c r="O860" s="10" t="n"/>
      <c r="P860" s="9" t="n"/>
      <c r="Q860" s="11">
        <f>IF(P860&lt;&gt;"",P860,IF(M860="","UNKNOWN",IF(AND(ISNUMBER(SEARCH("gas",LOWER(M860))),ISNUMBER(SEARCH("water",LOWER(M860)))),"GAS_WATER",IF(AND(ISNUMBER(SEARCH("oil",LOWER(M860))),ISNUMBER(SEARCH("water",LOWER(M860)))),"OIL_WATER",IF(ISNUMBER(SEARCH("gas",LOWER(M860))),"GAS",IF(ISNUMBER(SEARCH("water",LOWER(M860))),"WATER",IF(ISNUMBER(SEARCH("oil",LOWER(M860))),"OIL","UNKNOWN")))))))</f>
        <v/>
      </c>
      <c r="R860" s="12">
        <f>IF(C860="","",C860)</f>
        <v/>
      </c>
      <c r="S860" s="12">
        <f>IF(R860="","",R860+IF(O860&lt;&gt;"",O860,IF(H860="",0,H860)))</f>
        <v/>
      </c>
      <c r="T860" s="12">
        <f>IF(R860="","",MAX(Settings!$B$3,Settings!$B$4*IF(O860&lt;&gt;"",O860,IF(H860="",0,H860))))</f>
        <v/>
      </c>
      <c r="U860" s="11">
        <f>IF(AND(C860&lt;&gt;"",M860&lt;&gt;"",OR(H860&lt;&gt;"",O860&lt;&gt;"")),"COMPLETE",IF(OR(C860&lt;&gt;"",M860&lt;&gt;""),"PARTIAL","MISSING"))</f>
        <v/>
      </c>
      <c r="V860" s="11">
        <f>IF(Q860="UNKNOWN","Check fluid description",IF(AND(R860&lt;&gt;"",S860&lt;&gt;""),"Ready for contact screening","Needs TVD + thickness"))</f>
        <v/>
      </c>
    </row>
    <row r="861">
      <c r="A861" s="9" t="n"/>
      <c r="B861" s="9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9" t="n"/>
      <c r="N861" s="9" t="n"/>
      <c r="O861" s="10" t="n"/>
      <c r="P861" s="9" t="n"/>
      <c r="Q861" s="11">
        <f>IF(P861&lt;&gt;"",P861,IF(M861="","UNKNOWN",IF(AND(ISNUMBER(SEARCH("gas",LOWER(M861))),ISNUMBER(SEARCH("water",LOWER(M861)))),"GAS_WATER",IF(AND(ISNUMBER(SEARCH("oil",LOWER(M861))),ISNUMBER(SEARCH("water",LOWER(M861)))),"OIL_WATER",IF(ISNUMBER(SEARCH("gas",LOWER(M861))),"GAS",IF(ISNUMBER(SEARCH("water",LOWER(M861))),"WATER",IF(ISNUMBER(SEARCH("oil",LOWER(M861))),"OIL","UNKNOWN")))))))</f>
        <v/>
      </c>
      <c r="R861" s="12">
        <f>IF(C861="","",C861)</f>
        <v/>
      </c>
      <c r="S861" s="12">
        <f>IF(R861="","",R861+IF(O861&lt;&gt;"",O861,IF(H861="",0,H861)))</f>
        <v/>
      </c>
      <c r="T861" s="12">
        <f>IF(R861="","",MAX(Settings!$B$3,Settings!$B$4*IF(O861&lt;&gt;"",O861,IF(H861="",0,H861))))</f>
        <v/>
      </c>
      <c r="U861" s="11">
        <f>IF(AND(C861&lt;&gt;"",M861&lt;&gt;"",OR(H861&lt;&gt;"",O861&lt;&gt;"")),"COMPLETE",IF(OR(C861&lt;&gt;"",M861&lt;&gt;""),"PARTIAL","MISSING"))</f>
        <v/>
      </c>
      <c r="V861" s="11">
        <f>IF(Q861="UNKNOWN","Check fluid description",IF(AND(R861&lt;&gt;"",S861&lt;&gt;""),"Ready for contact screening","Needs TVD + thickness"))</f>
        <v/>
      </c>
    </row>
    <row r="862">
      <c r="A862" s="9" t="n"/>
      <c r="B862" s="9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9" t="n"/>
      <c r="N862" s="9" t="n"/>
      <c r="O862" s="10" t="n"/>
      <c r="P862" s="9" t="n"/>
      <c r="Q862" s="11">
        <f>IF(P862&lt;&gt;"",P862,IF(M862="","UNKNOWN",IF(AND(ISNUMBER(SEARCH("gas",LOWER(M862))),ISNUMBER(SEARCH("water",LOWER(M862)))),"GAS_WATER",IF(AND(ISNUMBER(SEARCH("oil",LOWER(M862))),ISNUMBER(SEARCH("water",LOWER(M862)))),"OIL_WATER",IF(ISNUMBER(SEARCH("gas",LOWER(M862))),"GAS",IF(ISNUMBER(SEARCH("water",LOWER(M862))),"WATER",IF(ISNUMBER(SEARCH("oil",LOWER(M862))),"OIL","UNKNOWN")))))))</f>
        <v/>
      </c>
      <c r="R862" s="12">
        <f>IF(C862="","",C862)</f>
        <v/>
      </c>
      <c r="S862" s="12">
        <f>IF(R862="","",R862+IF(O862&lt;&gt;"",O862,IF(H862="",0,H862)))</f>
        <v/>
      </c>
      <c r="T862" s="12">
        <f>IF(R862="","",MAX(Settings!$B$3,Settings!$B$4*IF(O862&lt;&gt;"",O862,IF(H862="",0,H862))))</f>
        <v/>
      </c>
      <c r="U862" s="11">
        <f>IF(AND(C862&lt;&gt;"",M862&lt;&gt;"",OR(H862&lt;&gt;"",O862&lt;&gt;"")),"COMPLETE",IF(OR(C862&lt;&gt;"",M862&lt;&gt;""),"PARTIAL","MISSING"))</f>
        <v/>
      </c>
      <c r="V862" s="11">
        <f>IF(Q862="UNKNOWN","Check fluid description",IF(AND(R862&lt;&gt;"",S862&lt;&gt;""),"Ready for contact screening","Needs TVD + thickness"))</f>
        <v/>
      </c>
    </row>
    <row r="863">
      <c r="A863" s="9" t="n"/>
      <c r="B863" s="9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9" t="n"/>
      <c r="N863" s="9" t="n"/>
      <c r="O863" s="10" t="n"/>
      <c r="P863" s="9" t="n"/>
      <c r="Q863" s="11">
        <f>IF(P863&lt;&gt;"",P863,IF(M863="","UNKNOWN",IF(AND(ISNUMBER(SEARCH("gas",LOWER(M863))),ISNUMBER(SEARCH("water",LOWER(M863)))),"GAS_WATER",IF(AND(ISNUMBER(SEARCH("oil",LOWER(M863))),ISNUMBER(SEARCH("water",LOWER(M863)))),"OIL_WATER",IF(ISNUMBER(SEARCH("gas",LOWER(M863))),"GAS",IF(ISNUMBER(SEARCH("water",LOWER(M863))),"WATER",IF(ISNUMBER(SEARCH("oil",LOWER(M863))),"OIL","UNKNOWN")))))))</f>
        <v/>
      </c>
      <c r="R863" s="12">
        <f>IF(C863="","",C863)</f>
        <v/>
      </c>
      <c r="S863" s="12">
        <f>IF(R863="","",R863+IF(O863&lt;&gt;"",O863,IF(H863="",0,H863)))</f>
        <v/>
      </c>
      <c r="T863" s="12">
        <f>IF(R863="","",MAX(Settings!$B$3,Settings!$B$4*IF(O863&lt;&gt;"",O863,IF(H863="",0,H863))))</f>
        <v/>
      </c>
      <c r="U863" s="11">
        <f>IF(AND(C863&lt;&gt;"",M863&lt;&gt;"",OR(H863&lt;&gt;"",O863&lt;&gt;"")),"COMPLETE",IF(OR(C863&lt;&gt;"",M863&lt;&gt;""),"PARTIAL","MISSING"))</f>
        <v/>
      </c>
      <c r="V863" s="11">
        <f>IF(Q863="UNKNOWN","Check fluid description",IF(AND(R863&lt;&gt;"",S863&lt;&gt;""),"Ready for contact screening","Needs TVD + thickness"))</f>
        <v/>
      </c>
    </row>
    <row r="864">
      <c r="A864" s="9" t="n"/>
      <c r="B864" s="9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9" t="n"/>
      <c r="N864" s="9" t="n"/>
      <c r="O864" s="10" t="n"/>
      <c r="P864" s="9" t="n"/>
      <c r="Q864" s="11">
        <f>IF(P864&lt;&gt;"",P864,IF(M864="","UNKNOWN",IF(AND(ISNUMBER(SEARCH("gas",LOWER(M864))),ISNUMBER(SEARCH("water",LOWER(M864)))),"GAS_WATER",IF(AND(ISNUMBER(SEARCH("oil",LOWER(M864))),ISNUMBER(SEARCH("water",LOWER(M864)))),"OIL_WATER",IF(ISNUMBER(SEARCH("gas",LOWER(M864))),"GAS",IF(ISNUMBER(SEARCH("water",LOWER(M864))),"WATER",IF(ISNUMBER(SEARCH("oil",LOWER(M864))),"OIL","UNKNOWN")))))))</f>
        <v/>
      </c>
      <c r="R864" s="12">
        <f>IF(C864="","",C864)</f>
        <v/>
      </c>
      <c r="S864" s="12">
        <f>IF(R864="","",R864+IF(O864&lt;&gt;"",O864,IF(H864="",0,H864)))</f>
        <v/>
      </c>
      <c r="T864" s="12">
        <f>IF(R864="","",MAX(Settings!$B$3,Settings!$B$4*IF(O864&lt;&gt;"",O864,IF(H864="",0,H864))))</f>
        <v/>
      </c>
      <c r="U864" s="11">
        <f>IF(AND(C864&lt;&gt;"",M864&lt;&gt;"",OR(H864&lt;&gt;"",O864&lt;&gt;"")),"COMPLETE",IF(OR(C864&lt;&gt;"",M864&lt;&gt;""),"PARTIAL","MISSING"))</f>
        <v/>
      </c>
      <c r="V864" s="11">
        <f>IF(Q864="UNKNOWN","Check fluid description",IF(AND(R864&lt;&gt;"",S864&lt;&gt;""),"Ready for contact screening","Needs TVD + thickness"))</f>
        <v/>
      </c>
    </row>
    <row r="865">
      <c r="A865" s="9" t="n"/>
      <c r="B865" s="9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9" t="n"/>
      <c r="N865" s="9" t="n"/>
      <c r="O865" s="10" t="n"/>
      <c r="P865" s="9" t="n"/>
      <c r="Q865" s="11">
        <f>IF(P865&lt;&gt;"",P865,IF(M865="","UNKNOWN",IF(AND(ISNUMBER(SEARCH("gas",LOWER(M865))),ISNUMBER(SEARCH("water",LOWER(M865)))),"GAS_WATER",IF(AND(ISNUMBER(SEARCH("oil",LOWER(M865))),ISNUMBER(SEARCH("water",LOWER(M865)))),"OIL_WATER",IF(ISNUMBER(SEARCH("gas",LOWER(M865))),"GAS",IF(ISNUMBER(SEARCH("water",LOWER(M865))),"WATER",IF(ISNUMBER(SEARCH("oil",LOWER(M865))),"OIL","UNKNOWN")))))))</f>
        <v/>
      </c>
      <c r="R865" s="12">
        <f>IF(C865="","",C865)</f>
        <v/>
      </c>
      <c r="S865" s="12">
        <f>IF(R865="","",R865+IF(O865&lt;&gt;"",O865,IF(H865="",0,H865)))</f>
        <v/>
      </c>
      <c r="T865" s="12">
        <f>IF(R865="","",MAX(Settings!$B$3,Settings!$B$4*IF(O865&lt;&gt;"",O865,IF(H865="",0,H865))))</f>
        <v/>
      </c>
      <c r="U865" s="11">
        <f>IF(AND(C865&lt;&gt;"",M865&lt;&gt;"",OR(H865&lt;&gt;"",O865&lt;&gt;"")),"COMPLETE",IF(OR(C865&lt;&gt;"",M865&lt;&gt;""),"PARTIAL","MISSING"))</f>
        <v/>
      </c>
      <c r="V865" s="11">
        <f>IF(Q865="UNKNOWN","Check fluid description",IF(AND(R865&lt;&gt;"",S865&lt;&gt;""),"Ready for contact screening","Needs TVD + thickness"))</f>
        <v/>
      </c>
    </row>
    <row r="866">
      <c r="A866" s="9" t="n"/>
      <c r="B866" s="9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9" t="n"/>
      <c r="N866" s="9" t="n"/>
      <c r="O866" s="10" t="n"/>
      <c r="P866" s="9" t="n"/>
      <c r="Q866" s="11">
        <f>IF(P866&lt;&gt;"",P866,IF(M866="","UNKNOWN",IF(AND(ISNUMBER(SEARCH("gas",LOWER(M866))),ISNUMBER(SEARCH("water",LOWER(M866)))),"GAS_WATER",IF(AND(ISNUMBER(SEARCH("oil",LOWER(M866))),ISNUMBER(SEARCH("water",LOWER(M866)))),"OIL_WATER",IF(ISNUMBER(SEARCH("gas",LOWER(M866))),"GAS",IF(ISNUMBER(SEARCH("water",LOWER(M866))),"WATER",IF(ISNUMBER(SEARCH("oil",LOWER(M866))),"OIL","UNKNOWN")))))))</f>
        <v/>
      </c>
      <c r="R866" s="12">
        <f>IF(C866="","",C866)</f>
        <v/>
      </c>
      <c r="S866" s="12">
        <f>IF(R866="","",R866+IF(O866&lt;&gt;"",O866,IF(H866="",0,H866)))</f>
        <v/>
      </c>
      <c r="T866" s="12">
        <f>IF(R866="","",MAX(Settings!$B$3,Settings!$B$4*IF(O866&lt;&gt;"",O866,IF(H866="",0,H866))))</f>
        <v/>
      </c>
      <c r="U866" s="11">
        <f>IF(AND(C866&lt;&gt;"",M866&lt;&gt;"",OR(H866&lt;&gt;"",O866&lt;&gt;"")),"COMPLETE",IF(OR(C866&lt;&gt;"",M866&lt;&gt;""),"PARTIAL","MISSING"))</f>
        <v/>
      </c>
      <c r="V866" s="11">
        <f>IF(Q866="UNKNOWN","Check fluid description",IF(AND(R866&lt;&gt;"",S866&lt;&gt;""),"Ready for contact screening","Needs TVD + thickness"))</f>
        <v/>
      </c>
    </row>
    <row r="867">
      <c r="A867" s="9" t="n"/>
      <c r="B867" s="9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9" t="n"/>
      <c r="N867" s="9" t="n"/>
      <c r="O867" s="10" t="n"/>
      <c r="P867" s="9" t="n"/>
      <c r="Q867" s="11">
        <f>IF(P867&lt;&gt;"",P867,IF(M867="","UNKNOWN",IF(AND(ISNUMBER(SEARCH("gas",LOWER(M867))),ISNUMBER(SEARCH("water",LOWER(M867)))),"GAS_WATER",IF(AND(ISNUMBER(SEARCH("oil",LOWER(M867))),ISNUMBER(SEARCH("water",LOWER(M867)))),"OIL_WATER",IF(ISNUMBER(SEARCH("gas",LOWER(M867))),"GAS",IF(ISNUMBER(SEARCH("water",LOWER(M867))),"WATER",IF(ISNUMBER(SEARCH("oil",LOWER(M867))),"OIL","UNKNOWN")))))))</f>
        <v/>
      </c>
      <c r="R867" s="12">
        <f>IF(C867="","",C867)</f>
        <v/>
      </c>
      <c r="S867" s="12">
        <f>IF(R867="","",R867+IF(O867&lt;&gt;"",O867,IF(H867="",0,H867)))</f>
        <v/>
      </c>
      <c r="T867" s="12">
        <f>IF(R867="","",MAX(Settings!$B$3,Settings!$B$4*IF(O867&lt;&gt;"",O867,IF(H867="",0,H867))))</f>
        <v/>
      </c>
      <c r="U867" s="11">
        <f>IF(AND(C867&lt;&gt;"",M867&lt;&gt;"",OR(H867&lt;&gt;"",O867&lt;&gt;"")),"COMPLETE",IF(OR(C867&lt;&gt;"",M867&lt;&gt;""),"PARTIAL","MISSING"))</f>
        <v/>
      </c>
      <c r="V867" s="11">
        <f>IF(Q867="UNKNOWN","Check fluid description",IF(AND(R867&lt;&gt;"",S867&lt;&gt;""),"Ready for contact screening","Needs TVD + thickness"))</f>
        <v/>
      </c>
    </row>
    <row r="868">
      <c r="A868" s="9" t="n"/>
      <c r="B868" s="9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9" t="n"/>
      <c r="N868" s="9" t="n"/>
      <c r="O868" s="10" t="n"/>
      <c r="P868" s="9" t="n"/>
      <c r="Q868" s="11">
        <f>IF(P868&lt;&gt;"",P868,IF(M868="","UNKNOWN",IF(AND(ISNUMBER(SEARCH("gas",LOWER(M868))),ISNUMBER(SEARCH("water",LOWER(M868)))),"GAS_WATER",IF(AND(ISNUMBER(SEARCH("oil",LOWER(M868))),ISNUMBER(SEARCH("water",LOWER(M868)))),"OIL_WATER",IF(ISNUMBER(SEARCH("gas",LOWER(M868))),"GAS",IF(ISNUMBER(SEARCH("water",LOWER(M868))),"WATER",IF(ISNUMBER(SEARCH("oil",LOWER(M868))),"OIL","UNKNOWN")))))))</f>
        <v/>
      </c>
      <c r="R868" s="12">
        <f>IF(C868="","",C868)</f>
        <v/>
      </c>
      <c r="S868" s="12">
        <f>IF(R868="","",R868+IF(O868&lt;&gt;"",O868,IF(H868="",0,H868)))</f>
        <v/>
      </c>
      <c r="T868" s="12">
        <f>IF(R868="","",MAX(Settings!$B$3,Settings!$B$4*IF(O868&lt;&gt;"",O868,IF(H868="",0,H868))))</f>
        <v/>
      </c>
      <c r="U868" s="11">
        <f>IF(AND(C868&lt;&gt;"",M868&lt;&gt;"",OR(H868&lt;&gt;"",O868&lt;&gt;"")),"COMPLETE",IF(OR(C868&lt;&gt;"",M868&lt;&gt;""),"PARTIAL","MISSING"))</f>
        <v/>
      </c>
      <c r="V868" s="11">
        <f>IF(Q868="UNKNOWN","Check fluid description",IF(AND(R868&lt;&gt;"",S868&lt;&gt;""),"Ready for contact screening","Needs TVD + thickness"))</f>
        <v/>
      </c>
    </row>
    <row r="869">
      <c r="A869" s="9" t="n"/>
      <c r="B869" s="9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9" t="n"/>
      <c r="N869" s="9" t="n"/>
      <c r="O869" s="10" t="n"/>
      <c r="P869" s="9" t="n"/>
      <c r="Q869" s="11">
        <f>IF(P869&lt;&gt;"",P869,IF(M869="","UNKNOWN",IF(AND(ISNUMBER(SEARCH("gas",LOWER(M869))),ISNUMBER(SEARCH("water",LOWER(M869)))),"GAS_WATER",IF(AND(ISNUMBER(SEARCH("oil",LOWER(M869))),ISNUMBER(SEARCH("water",LOWER(M869)))),"OIL_WATER",IF(ISNUMBER(SEARCH("gas",LOWER(M869))),"GAS",IF(ISNUMBER(SEARCH("water",LOWER(M869))),"WATER",IF(ISNUMBER(SEARCH("oil",LOWER(M869))),"OIL","UNKNOWN")))))))</f>
        <v/>
      </c>
      <c r="R869" s="12">
        <f>IF(C869="","",C869)</f>
        <v/>
      </c>
      <c r="S869" s="12">
        <f>IF(R869="","",R869+IF(O869&lt;&gt;"",O869,IF(H869="",0,H869)))</f>
        <v/>
      </c>
      <c r="T869" s="12">
        <f>IF(R869="","",MAX(Settings!$B$3,Settings!$B$4*IF(O869&lt;&gt;"",O869,IF(H869="",0,H869))))</f>
        <v/>
      </c>
      <c r="U869" s="11">
        <f>IF(AND(C869&lt;&gt;"",M869&lt;&gt;"",OR(H869&lt;&gt;"",O869&lt;&gt;"")),"COMPLETE",IF(OR(C869&lt;&gt;"",M869&lt;&gt;""),"PARTIAL","MISSING"))</f>
        <v/>
      </c>
      <c r="V869" s="11">
        <f>IF(Q869="UNKNOWN","Check fluid description",IF(AND(R869&lt;&gt;"",S869&lt;&gt;""),"Ready for contact screening","Needs TVD + thickness"))</f>
        <v/>
      </c>
    </row>
    <row r="870">
      <c r="A870" s="9" t="n"/>
      <c r="B870" s="9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9" t="n"/>
      <c r="N870" s="9" t="n"/>
      <c r="O870" s="10" t="n"/>
      <c r="P870" s="9" t="n"/>
      <c r="Q870" s="11">
        <f>IF(P870&lt;&gt;"",P870,IF(M870="","UNKNOWN",IF(AND(ISNUMBER(SEARCH("gas",LOWER(M870))),ISNUMBER(SEARCH("water",LOWER(M870)))),"GAS_WATER",IF(AND(ISNUMBER(SEARCH("oil",LOWER(M870))),ISNUMBER(SEARCH("water",LOWER(M870)))),"OIL_WATER",IF(ISNUMBER(SEARCH("gas",LOWER(M870))),"GAS",IF(ISNUMBER(SEARCH("water",LOWER(M870))),"WATER",IF(ISNUMBER(SEARCH("oil",LOWER(M870))),"OIL","UNKNOWN")))))))</f>
        <v/>
      </c>
      <c r="R870" s="12">
        <f>IF(C870="","",C870)</f>
        <v/>
      </c>
      <c r="S870" s="12">
        <f>IF(R870="","",R870+IF(O870&lt;&gt;"",O870,IF(H870="",0,H870)))</f>
        <v/>
      </c>
      <c r="T870" s="12">
        <f>IF(R870="","",MAX(Settings!$B$3,Settings!$B$4*IF(O870&lt;&gt;"",O870,IF(H870="",0,H870))))</f>
        <v/>
      </c>
      <c r="U870" s="11">
        <f>IF(AND(C870&lt;&gt;"",M870&lt;&gt;"",OR(H870&lt;&gt;"",O870&lt;&gt;"")),"COMPLETE",IF(OR(C870&lt;&gt;"",M870&lt;&gt;""),"PARTIAL","MISSING"))</f>
        <v/>
      </c>
      <c r="V870" s="11">
        <f>IF(Q870="UNKNOWN","Check fluid description",IF(AND(R870&lt;&gt;"",S870&lt;&gt;""),"Ready for contact screening","Needs TVD + thickness"))</f>
        <v/>
      </c>
    </row>
    <row r="871">
      <c r="A871" s="9" t="n"/>
      <c r="B871" s="9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9" t="n"/>
      <c r="N871" s="9" t="n"/>
      <c r="O871" s="10" t="n"/>
      <c r="P871" s="9" t="n"/>
      <c r="Q871" s="11">
        <f>IF(P871&lt;&gt;"",P871,IF(M871="","UNKNOWN",IF(AND(ISNUMBER(SEARCH("gas",LOWER(M871))),ISNUMBER(SEARCH("water",LOWER(M871)))),"GAS_WATER",IF(AND(ISNUMBER(SEARCH("oil",LOWER(M871))),ISNUMBER(SEARCH("water",LOWER(M871)))),"OIL_WATER",IF(ISNUMBER(SEARCH("gas",LOWER(M871))),"GAS",IF(ISNUMBER(SEARCH("water",LOWER(M871))),"WATER",IF(ISNUMBER(SEARCH("oil",LOWER(M871))),"OIL","UNKNOWN")))))))</f>
        <v/>
      </c>
      <c r="R871" s="12">
        <f>IF(C871="","",C871)</f>
        <v/>
      </c>
      <c r="S871" s="12">
        <f>IF(R871="","",R871+IF(O871&lt;&gt;"",O871,IF(H871="",0,H871)))</f>
        <v/>
      </c>
      <c r="T871" s="12">
        <f>IF(R871="","",MAX(Settings!$B$3,Settings!$B$4*IF(O871&lt;&gt;"",O871,IF(H871="",0,H871))))</f>
        <v/>
      </c>
      <c r="U871" s="11">
        <f>IF(AND(C871&lt;&gt;"",M871&lt;&gt;"",OR(H871&lt;&gt;"",O871&lt;&gt;"")),"COMPLETE",IF(OR(C871&lt;&gt;"",M871&lt;&gt;""),"PARTIAL","MISSING"))</f>
        <v/>
      </c>
      <c r="V871" s="11">
        <f>IF(Q871="UNKNOWN","Check fluid description",IF(AND(R871&lt;&gt;"",S871&lt;&gt;""),"Ready for contact screening","Needs TVD + thickness"))</f>
        <v/>
      </c>
    </row>
    <row r="872">
      <c r="A872" s="9" t="n"/>
      <c r="B872" s="9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9" t="n"/>
      <c r="N872" s="9" t="n"/>
      <c r="O872" s="10" t="n"/>
      <c r="P872" s="9" t="n"/>
      <c r="Q872" s="11">
        <f>IF(P872&lt;&gt;"",P872,IF(M872="","UNKNOWN",IF(AND(ISNUMBER(SEARCH("gas",LOWER(M872))),ISNUMBER(SEARCH("water",LOWER(M872)))),"GAS_WATER",IF(AND(ISNUMBER(SEARCH("oil",LOWER(M872))),ISNUMBER(SEARCH("water",LOWER(M872)))),"OIL_WATER",IF(ISNUMBER(SEARCH("gas",LOWER(M872))),"GAS",IF(ISNUMBER(SEARCH("water",LOWER(M872))),"WATER",IF(ISNUMBER(SEARCH("oil",LOWER(M872))),"OIL","UNKNOWN")))))))</f>
        <v/>
      </c>
      <c r="R872" s="12">
        <f>IF(C872="","",C872)</f>
        <v/>
      </c>
      <c r="S872" s="12">
        <f>IF(R872="","",R872+IF(O872&lt;&gt;"",O872,IF(H872="",0,H872)))</f>
        <v/>
      </c>
      <c r="T872" s="12">
        <f>IF(R872="","",MAX(Settings!$B$3,Settings!$B$4*IF(O872&lt;&gt;"",O872,IF(H872="",0,H872))))</f>
        <v/>
      </c>
      <c r="U872" s="11">
        <f>IF(AND(C872&lt;&gt;"",M872&lt;&gt;"",OR(H872&lt;&gt;"",O872&lt;&gt;"")),"COMPLETE",IF(OR(C872&lt;&gt;"",M872&lt;&gt;""),"PARTIAL","MISSING"))</f>
        <v/>
      </c>
      <c r="V872" s="11">
        <f>IF(Q872="UNKNOWN","Check fluid description",IF(AND(R872&lt;&gt;"",S872&lt;&gt;""),"Ready for contact screening","Needs TVD + thickness"))</f>
        <v/>
      </c>
    </row>
    <row r="873">
      <c r="A873" s="9" t="n"/>
      <c r="B873" s="9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9" t="n"/>
      <c r="N873" s="9" t="n"/>
      <c r="O873" s="10" t="n"/>
      <c r="P873" s="9" t="n"/>
      <c r="Q873" s="11">
        <f>IF(P873&lt;&gt;"",P873,IF(M873="","UNKNOWN",IF(AND(ISNUMBER(SEARCH("gas",LOWER(M873))),ISNUMBER(SEARCH("water",LOWER(M873)))),"GAS_WATER",IF(AND(ISNUMBER(SEARCH("oil",LOWER(M873))),ISNUMBER(SEARCH("water",LOWER(M873)))),"OIL_WATER",IF(ISNUMBER(SEARCH("gas",LOWER(M873))),"GAS",IF(ISNUMBER(SEARCH("water",LOWER(M873))),"WATER",IF(ISNUMBER(SEARCH("oil",LOWER(M873))),"OIL","UNKNOWN")))))))</f>
        <v/>
      </c>
      <c r="R873" s="12">
        <f>IF(C873="","",C873)</f>
        <v/>
      </c>
      <c r="S873" s="12">
        <f>IF(R873="","",R873+IF(O873&lt;&gt;"",O873,IF(H873="",0,H873)))</f>
        <v/>
      </c>
      <c r="T873" s="12">
        <f>IF(R873="","",MAX(Settings!$B$3,Settings!$B$4*IF(O873&lt;&gt;"",O873,IF(H873="",0,H873))))</f>
        <v/>
      </c>
      <c r="U873" s="11">
        <f>IF(AND(C873&lt;&gt;"",M873&lt;&gt;"",OR(H873&lt;&gt;"",O873&lt;&gt;"")),"COMPLETE",IF(OR(C873&lt;&gt;"",M873&lt;&gt;""),"PARTIAL","MISSING"))</f>
        <v/>
      </c>
      <c r="V873" s="11">
        <f>IF(Q873="UNKNOWN","Check fluid description",IF(AND(R873&lt;&gt;"",S873&lt;&gt;""),"Ready for contact screening","Needs TVD + thickness"))</f>
        <v/>
      </c>
    </row>
    <row r="874">
      <c r="A874" s="9" t="n"/>
      <c r="B874" s="9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9" t="n"/>
      <c r="N874" s="9" t="n"/>
      <c r="O874" s="10" t="n"/>
      <c r="P874" s="9" t="n"/>
      <c r="Q874" s="11">
        <f>IF(P874&lt;&gt;"",P874,IF(M874="","UNKNOWN",IF(AND(ISNUMBER(SEARCH("gas",LOWER(M874))),ISNUMBER(SEARCH("water",LOWER(M874)))),"GAS_WATER",IF(AND(ISNUMBER(SEARCH("oil",LOWER(M874))),ISNUMBER(SEARCH("water",LOWER(M874)))),"OIL_WATER",IF(ISNUMBER(SEARCH("gas",LOWER(M874))),"GAS",IF(ISNUMBER(SEARCH("water",LOWER(M874))),"WATER",IF(ISNUMBER(SEARCH("oil",LOWER(M874))),"OIL","UNKNOWN")))))))</f>
        <v/>
      </c>
      <c r="R874" s="12">
        <f>IF(C874="","",C874)</f>
        <v/>
      </c>
      <c r="S874" s="12">
        <f>IF(R874="","",R874+IF(O874&lt;&gt;"",O874,IF(H874="",0,H874)))</f>
        <v/>
      </c>
      <c r="T874" s="12">
        <f>IF(R874="","",MAX(Settings!$B$3,Settings!$B$4*IF(O874&lt;&gt;"",O874,IF(H874="",0,H874))))</f>
        <v/>
      </c>
      <c r="U874" s="11">
        <f>IF(AND(C874&lt;&gt;"",M874&lt;&gt;"",OR(H874&lt;&gt;"",O874&lt;&gt;"")),"COMPLETE",IF(OR(C874&lt;&gt;"",M874&lt;&gt;""),"PARTIAL","MISSING"))</f>
        <v/>
      </c>
      <c r="V874" s="11">
        <f>IF(Q874="UNKNOWN","Check fluid description",IF(AND(R874&lt;&gt;"",S874&lt;&gt;""),"Ready for contact screening","Needs TVD + thickness"))</f>
        <v/>
      </c>
    </row>
    <row r="875">
      <c r="A875" s="9" t="n"/>
      <c r="B875" s="9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9" t="n"/>
      <c r="N875" s="9" t="n"/>
      <c r="O875" s="10" t="n"/>
      <c r="P875" s="9" t="n"/>
      <c r="Q875" s="11">
        <f>IF(P875&lt;&gt;"",P875,IF(M875="","UNKNOWN",IF(AND(ISNUMBER(SEARCH("gas",LOWER(M875))),ISNUMBER(SEARCH("water",LOWER(M875)))),"GAS_WATER",IF(AND(ISNUMBER(SEARCH("oil",LOWER(M875))),ISNUMBER(SEARCH("water",LOWER(M875)))),"OIL_WATER",IF(ISNUMBER(SEARCH("gas",LOWER(M875))),"GAS",IF(ISNUMBER(SEARCH("water",LOWER(M875))),"WATER",IF(ISNUMBER(SEARCH("oil",LOWER(M875))),"OIL","UNKNOWN")))))))</f>
        <v/>
      </c>
      <c r="R875" s="12">
        <f>IF(C875="","",C875)</f>
        <v/>
      </c>
      <c r="S875" s="12">
        <f>IF(R875="","",R875+IF(O875&lt;&gt;"",O875,IF(H875="",0,H875)))</f>
        <v/>
      </c>
      <c r="T875" s="12">
        <f>IF(R875="","",MAX(Settings!$B$3,Settings!$B$4*IF(O875&lt;&gt;"",O875,IF(H875="",0,H875))))</f>
        <v/>
      </c>
      <c r="U875" s="11">
        <f>IF(AND(C875&lt;&gt;"",M875&lt;&gt;"",OR(H875&lt;&gt;"",O875&lt;&gt;"")),"COMPLETE",IF(OR(C875&lt;&gt;"",M875&lt;&gt;""),"PARTIAL","MISSING"))</f>
        <v/>
      </c>
      <c r="V875" s="11">
        <f>IF(Q875="UNKNOWN","Check fluid description",IF(AND(R875&lt;&gt;"",S875&lt;&gt;""),"Ready for contact screening","Needs TVD + thickness"))</f>
        <v/>
      </c>
    </row>
    <row r="876">
      <c r="A876" s="9" t="n"/>
      <c r="B876" s="9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9" t="n"/>
      <c r="N876" s="9" t="n"/>
      <c r="O876" s="10" t="n"/>
      <c r="P876" s="9" t="n"/>
      <c r="Q876" s="11">
        <f>IF(P876&lt;&gt;"",P876,IF(M876="","UNKNOWN",IF(AND(ISNUMBER(SEARCH("gas",LOWER(M876))),ISNUMBER(SEARCH("water",LOWER(M876)))),"GAS_WATER",IF(AND(ISNUMBER(SEARCH("oil",LOWER(M876))),ISNUMBER(SEARCH("water",LOWER(M876)))),"OIL_WATER",IF(ISNUMBER(SEARCH("gas",LOWER(M876))),"GAS",IF(ISNUMBER(SEARCH("water",LOWER(M876))),"WATER",IF(ISNUMBER(SEARCH("oil",LOWER(M876))),"OIL","UNKNOWN")))))))</f>
        <v/>
      </c>
      <c r="R876" s="12">
        <f>IF(C876="","",C876)</f>
        <v/>
      </c>
      <c r="S876" s="12">
        <f>IF(R876="","",R876+IF(O876&lt;&gt;"",O876,IF(H876="",0,H876)))</f>
        <v/>
      </c>
      <c r="T876" s="12">
        <f>IF(R876="","",MAX(Settings!$B$3,Settings!$B$4*IF(O876&lt;&gt;"",O876,IF(H876="",0,H876))))</f>
        <v/>
      </c>
      <c r="U876" s="11">
        <f>IF(AND(C876&lt;&gt;"",M876&lt;&gt;"",OR(H876&lt;&gt;"",O876&lt;&gt;"")),"COMPLETE",IF(OR(C876&lt;&gt;"",M876&lt;&gt;""),"PARTIAL","MISSING"))</f>
        <v/>
      </c>
      <c r="V876" s="11">
        <f>IF(Q876="UNKNOWN","Check fluid description",IF(AND(R876&lt;&gt;"",S876&lt;&gt;""),"Ready for contact screening","Needs TVD + thickness"))</f>
        <v/>
      </c>
    </row>
    <row r="877">
      <c r="A877" s="9" t="n"/>
      <c r="B877" s="9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9" t="n"/>
      <c r="N877" s="9" t="n"/>
      <c r="O877" s="10" t="n"/>
      <c r="P877" s="9" t="n"/>
      <c r="Q877" s="11">
        <f>IF(P877&lt;&gt;"",P877,IF(M877="","UNKNOWN",IF(AND(ISNUMBER(SEARCH("gas",LOWER(M877))),ISNUMBER(SEARCH("water",LOWER(M877)))),"GAS_WATER",IF(AND(ISNUMBER(SEARCH("oil",LOWER(M877))),ISNUMBER(SEARCH("water",LOWER(M877)))),"OIL_WATER",IF(ISNUMBER(SEARCH("gas",LOWER(M877))),"GAS",IF(ISNUMBER(SEARCH("water",LOWER(M877))),"WATER",IF(ISNUMBER(SEARCH("oil",LOWER(M877))),"OIL","UNKNOWN")))))))</f>
        <v/>
      </c>
      <c r="R877" s="12">
        <f>IF(C877="","",C877)</f>
        <v/>
      </c>
      <c r="S877" s="12">
        <f>IF(R877="","",R877+IF(O877&lt;&gt;"",O877,IF(H877="",0,H877)))</f>
        <v/>
      </c>
      <c r="T877" s="12">
        <f>IF(R877="","",MAX(Settings!$B$3,Settings!$B$4*IF(O877&lt;&gt;"",O877,IF(H877="",0,H877))))</f>
        <v/>
      </c>
      <c r="U877" s="11">
        <f>IF(AND(C877&lt;&gt;"",M877&lt;&gt;"",OR(H877&lt;&gt;"",O877&lt;&gt;"")),"COMPLETE",IF(OR(C877&lt;&gt;"",M877&lt;&gt;""),"PARTIAL","MISSING"))</f>
        <v/>
      </c>
      <c r="V877" s="11">
        <f>IF(Q877="UNKNOWN","Check fluid description",IF(AND(R877&lt;&gt;"",S877&lt;&gt;""),"Ready for contact screening","Needs TVD + thickness"))</f>
        <v/>
      </c>
    </row>
    <row r="878">
      <c r="A878" s="9" t="n"/>
      <c r="B878" s="9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9" t="n"/>
      <c r="N878" s="9" t="n"/>
      <c r="O878" s="10" t="n"/>
      <c r="P878" s="9" t="n"/>
      <c r="Q878" s="11">
        <f>IF(P878&lt;&gt;"",P878,IF(M878="","UNKNOWN",IF(AND(ISNUMBER(SEARCH("gas",LOWER(M878))),ISNUMBER(SEARCH("water",LOWER(M878)))),"GAS_WATER",IF(AND(ISNUMBER(SEARCH("oil",LOWER(M878))),ISNUMBER(SEARCH("water",LOWER(M878)))),"OIL_WATER",IF(ISNUMBER(SEARCH("gas",LOWER(M878))),"GAS",IF(ISNUMBER(SEARCH("water",LOWER(M878))),"WATER",IF(ISNUMBER(SEARCH("oil",LOWER(M878))),"OIL","UNKNOWN")))))))</f>
        <v/>
      </c>
      <c r="R878" s="12">
        <f>IF(C878="","",C878)</f>
        <v/>
      </c>
      <c r="S878" s="12">
        <f>IF(R878="","",R878+IF(O878&lt;&gt;"",O878,IF(H878="",0,H878)))</f>
        <v/>
      </c>
      <c r="T878" s="12">
        <f>IF(R878="","",MAX(Settings!$B$3,Settings!$B$4*IF(O878&lt;&gt;"",O878,IF(H878="",0,H878))))</f>
        <v/>
      </c>
      <c r="U878" s="11">
        <f>IF(AND(C878&lt;&gt;"",M878&lt;&gt;"",OR(H878&lt;&gt;"",O878&lt;&gt;"")),"COMPLETE",IF(OR(C878&lt;&gt;"",M878&lt;&gt;""),"PARTIAL","MISSING"))</f>
        <v/>
      </c>
      <c r="V878" s="11">
        <f>IF(Q878="UNKNOWN","Check fluid description",IF(AND(R878&lt;&gt;"",S878&lt;&gt;""),"Ready for contact screening","Needs TVD + thickness"))</f>
        <v/>
      </c>
    </row>
    <row r="879">
      <c r="A879" s="9" t="n"/>
      <c r="B879" s="9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9" t="n"/>
      <c r="N879" s="9" t="n"/>
      <c r="O879" s="10" t="n"/>
      <c r="P879" s="9" t="n"/>
      <c r="Q879" s="11">
        <f>IF(P879&lt;&gt;"",P879,IF(M879="","UNKNOWN",IF(AND(ISNUMBER(SEARCH("gas",LOWER(M879))),ISNUMBER(SEARCH("water",LOWER(M879)))),"GAS_WATER",IF(AND(ISNUMBER(SEARCH("oil",LOWER(M879))),ISNUMBER(SEARCH("water",LOWER(M879)))),"OIL_WATER",IF(ISNUMBER(SEARCH("gas",LOWER(M879))),"GAS",IF(ISNUMBER(SEARCH("water",LOWER(M879))),"WATER",IF(ISNUMBER(SEARCH("oil",LOWER(M879))),"OIL","UNKNOWN")))))))</f>
        <v/>
      </c>
      <c r="R879" s="12">
        <f>IF(C879="","",C879)</f>
        <v/>
      </c>
      <c r="S879" s="12">
        <f>IF(R879="","",R879+IF(O879&lt;&gt;"",O879,IF(H879="",0,H879)))</f>
        <v/>
      </c>
      <c r="T879" s="12">
        <f>IF(R879="","",MAX(Settings!$B$3,Settings!$B$4*IF(O879&lt;&gt;"",O879,IF(H879="",0,H879))))</f>
        <v/>
      </c>
      <c r="U879" s="11">
        <f>IF(AND(C879&lt;&gt;"",M879&lt;&gt;"",OR(H879&lt;&gt;"",O879&lt;&gt;"")),"COMPLETE",IF(OR(C879&lt;&gt;"",M879&lt;&gt;""),"PARTIAL","MISSING"))</f>
        <v/>
      </c>
      <c r="V879" s="11">
        <f>IF(Q879="UNKNOWN","Check fluid description",IF(AND(R879&lt;&gt;"",S879&lt;&gt;""),"Ready for contact screening","Needs TVD + thickness"))</f>
        <v/>
      </c>
    </row>
    <row r="880">
      <c r="A880" s="9" t="n"/>
      <c r="B880" s="9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9" t="n"/>
      <c r="N880" s="9" t="n"/>
      <c r="O880" s="10" t="n"/>
      <c r="P880" s="9" t="n"/>
      <c r="Q880" s="11">
        <f>IF(P880&lt;&gt;"",P880,IF(M880="","UNKNOWN",IF(AND(ISNUMBER(SEARCH("gas",LOWER(M880))),ISNUMBER(SEARCH("water",LOWER(M880)))),"GAS_WATER",IF(AND(ISNUMBER(SEARCH("oil",LOWER(M880))),ISNUMBER(SEARCH("water",LOWER(M880)))),"OIL_WATER",IF(ISNUMBER(SEARCH("gas",LOWER(M880))),"GAS",IF(ISNUMBER(SEARCH("water",LOWER(M880))),"WATER",IF(ISNUMBER(SEARCH("oil",LOWER(M880))),"OIL","UNKNOWN")))))))</f>
        <v/>
      </c>
      <c r="R880" s="12">
        <f>IF(C880="","",C880)</f>
        <v/>
      </c>
      <c r="S880" s="12">
        <f>IF(R880="","",R880+IF(O880&lt;&gt;"",O880,IF(H880="",0,H880)))</f>
        <v/>
      </c>
      <c r="T880" s="12">
        <f>IF(R880="","",MAX(Settings!$B$3,Settings!$B$4*IF(O880&lt;&gt;"",O880,IF(H880="",0,H880))))</f>
        <v/>
      </c>
      <c r="U880" s="11">
        <f>IF(AND(C880&lt;&gt;"",M880&lt;&gt;"",OR(H880&lt;&gt;"",O880&lt;&gt;"")),"COMPLETE",IF(OR(C880&lt;&gt;"",M880&lt;&gt;""),"PARTIAL","MISSING"))</f>
        <v/>
      </c>
      <c r="V880" s="11">
        <f>IF(Q880="UNKNOWN","Check fluid description",IF(AND(R880&lt;&gt;"",S880&lt;&gt;""),"Ready for contact screening","Needs TVD + thickness"))</f>
        <v/>
      </c>
    </row>
    <row r="881">
      <c r="A881" s="9" t="n"/>
      <c r="B881" s="9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9" t="n"/>
      <c r="N881" s="9" t="n"/>
      <c r="O881" s="10" t="n"/>
      <c r="P881" s="9" t="n"/>
      <c r="Q881" s="11">
        <f>IF(P881&lt;&gt;"",P881,IF(M881="","UNKNOWN",IF(AND(ISNUMBER(SEARCH("gas",LOWER(M881))),ISNUMBER(SEARCH("water",LOWER(M881)))),"GAS_WATER",IF(AND(ISNUMBER(SEARCH("oil",LOWER(M881))),ISNUMBER(SEARCH("water",LOWER(M881)))),"OIL_WATER",IF(ISNUMBER(SEARCH("gas",LOWER(M881))),"GAS",IF(ISNUMBER(SEARCH("water",LOWER(M881))),"WATER",IF(ISNUMBER(SEARCH("oil",LOWER(M881))),"OIL","UNKNOWN")))))))</f>
        <v/>
      </c>
      <c r="R881" s="12">
        <f>IF(C881="","",C881)</f>
        <v/>
      </c>
      <c r="S881" s="12">
        <f>IF(R881="","",R881+IF(O881&lt;&gt;"",O881,IF(H881="",0,H881)))</f>
        <v/>
      </c>
      <c r="T881" s="12">
        <f>IF(R881="","",MAX(Settings!$B$3,Settings!$B$4*IF(O881&lt;&gt;"",O881,IF(H881="",0,H881))))</f>
        <v/>
      </c>
      <c r="U881" s="11">
        <f>IF(AND(C881&lt;&gt;"",M881&lt;&gt;"",OR(H881&lt;&gt;"",O881&lt;&gt;"")),"COMPLETE",IF(OR(C881&lt;&gt;"",M881&lt;&gt;""),"PARTIAL","MISSING"))</f>
        <v/>
      </c>
      <c r="V881" s="11">
        <f>IF(Q881="UNKNOWN","Check fluid description",IF(AND(R881&lt;&gt;"",S881&lt;&gt;""),"Ready for contact screening","Needs TVD + thickness"))</f>
        <v/>
      </c>
    </row>
    <row r="882">
      <c r="A882" s="9" t="n"/>
      <c r="B882" s="9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9" t="n"/>
      <c r="N882" s="9" t="n"/>
      <c r="O882" s="10" t="n"/>
      <c r="P882" s="9" t="n"/>
      <c r="Q882" s="11">
        <f>IF(P882&lt;&gt;"",P882,IF(M882="","UNKNOWN",IF(AND(ISNUMBER(SEARCH("gas",LOWER(M882))),ISNUMBER(SEARCH("water",LOWER(M882)))),"GAS_WATER",IF(AND(ISNUMBER(SEARCH("oil",LOWER(M882))),ISNUMBER(SEARCH("water",LOWER(M882)))),"OIL_WATER",IF(ISNUMBER(SEARCH("gas",LOWER(M882))),"GAS",IF(ISNUMBER(SEARCH("water",LOWER(M882))),"WATER",IF(ISNUMBER(SEARCH("oil",LOWER(M882))),"OIL","UNKNOWN")))))))</f>
        <v/>
      </c>
      <c r="R882" s="12">
        <f>IF(C882="","",C882)</f>
        <v/>
      </c>
      <c r="S882" s="12">
        <f>IF(R882="","",R882+IF(O882&lt;&gt;"",O882,IF(H882="",0,H882)))</f>
        <v/>
      </c>
      <c r="T882" s="12">
        <f>IF(R882="","",MAX(Settings!$B$3,Settings!$B$4*IF(O882&lt;&gt;"",O882,IF(H882="",0,H882))))</f>
        <v/>
      </c>
      <c r="U882" s="11">
        <f>IF(AND(C882&lt;&gt;"",M882&lt;&gt;"",OR(H882&lt;&gt;"",O882&lt;&gt;"")),"COMPLETE",IF(OR(C882&lt;&gt;"",M882&lt;&gt;""),"PARTIAL","MISSING"))</f>
        <v/>
      </c>
      <c r="V882" s="11">
        <f>IF(Q882="UNKNOWN","Check fluid description",IF(AND(R882&lt;&gt;"",S882&lt;&gt;""),"Ready for contact screening","Needs TVD + thickness"))</f>
        <v/>
      </c>
    </row>
    <row r="883">
      <c r="A883" s="9" t="n"/>
      <c r="B883" s="9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9" t="n"/>
      <c r="N883" s="9" t="n"/>
      <c r="O883" s="10" t="n"/>
      <c r="P883" s="9" t="n"/>
      <c r="Q883" s="11">
        <f>IF(P883&lt;&gt;"",P883,IF(M883="","UNKNOWN",IF(AND(ISNUMBER(SEARCH("gas",LOWER(M883))),ISNUMBER(SEARCH("water",LOWER(M883)))),"GAS_WATER",IF(AND(ISNUMBER(SEARCH("oil",LOWER(M883))),ISNUMBER(SEARCH("water",LOWER(M883)))),"OIL_WATER",IF(ISNUMBER(SEARCH("gas",LOWER(M883))),"GAS",IF(ISNUMBER(SEARCH("water",LOWER(M883))),"WATER",IF(ISNUMBER(SEARCH("oil",LOWER(M883))),"OIL","UNKNOWN")))))))</f>
        <v/>
      </c>
      <c r="R883" s="12">
        <f>IF(C883="","",C883)</f>
        <v/>
      </c>
      <c r="S883" s="12">
        <f>IF(R883="","",R883+IF(O883&lt;&gt;"",O883,IF(H883="",0,H883)))</f>
        <v/>
      </c>
      <c r="T883" s="12">
        <f>IF(R883="","",MAX(Settings!$B$3,Settings!$B$4*IF(O883&lt;&gt;"",O883,IF(H883="",0,H883))))</f>
        <v/>
      </c>
      <c r="U883" s="11">
        <f>IF(AND(C883&lt;&gt;"",M883&lt;&gt;"",OR(H883&lt;&gt;"",O883&lt;&gt;"")),"COMPLETE",IF(OR(C883&lt;&gt;"",M883&lt;&gt;""),"PARTIAL","MISSING"))</f>
        <v/>
      </c>
      <c r="V883" s="11">
        <f>IF(Q883="UNKNOWN","Check fluid description",IF(AND(R883&lt;&gt;"",S883&lt;&gt;""),"Ready for contact screening","Needs TVD + thickness"))</f>
        <v/>
      </c>
    </row>
    <row r="884">
      <c r="A884" s="9" t="n"/>
      <c r="B884" s="9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9" t="n"/>
      <c r="N884" s="9" t="n"/>
      <c r="O884" s="10" t="n"/>
      <c r="P884" s="9" t="n"/>
      <c r="Q884" s="11">
        <f>IF(P884&lt;&gt;"",P884,IF(M884="","UNKNOWN",IF(AND(ISNUMBER(SEARCH("gas",LOWER(M884))),ISNUMBER(SEARCH("water",LOWER(M884)))),"GAS_WATER",IF(AND(ISNUMBER(SEARCH("oil",LOWER(M884))),ISNUMBER(SEARCH("water",LOWER(M884)))),"OIL_WATER",IF(ISNUMBER(SEARCH("gas",LOWER(M884))),"GAS",IF(ISNUMBER(SEARCH("water",LOWER(M884))),"WATER",IF(ISNUMBER(SEARCH("oil",LOWER(M884))),"OIL","UNKNOWN")))))))</f>
        <v/>
      </c>
      <c r="R884" s="12">
        <f>IF(C884="","",C884)</f>
        <v/>
      </c>
      <c r="S884" s="12">
        <f>IF(R884="","",R884+IF(O884&lt;&gt;"",O884,IF(H884="",0,H884)))</f>
        <v/>
      </c>
      <c r="T884" s="12">
        <f>IF(R884="","",MAX(Settings!$B$3,Settings!$B$4*IF(O884&lt;&gt;"",O884,IF(H884="",0,H884))))</f>
        <v/>
      </c>
      <c r="U884" s="11">
        <f>IF(AND(C884&lt;&gt;"",M884&lt;&gt;"",OR(H884&lt;&gt;"",O884&lt;&gt;"")),"COMPLETE",IF(OR(C884&lt;&gt;"",M884&lt;&gt;""),"PARTIAL","MISSING"))</f>
        <v/>
      </c>
      <c r="V884" s="11">
        <f>IF(Q884="UNKNOWN","Check fluid description",IF(AND(R884&lt;&gt;"",S884&lt;&gt;""),"Ready for contact screening","Needs TVD + thickness"))</f>
        <v/>
      </c>
    </row>
    <row r="885">
      <c r="A885" s="9" t="n"/>
      <c r="B885" s="9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9" t="n"/>
      <c r="N885" s="9" t="n"/>
      <c r="O885" s="10" t="n"/>
      <c r="P885" s="9" t="n"/>
      <c r="Q885" s="11">
        <f>IF(P885&lt;&gt;"",P885,IF(M885="","UNKNOWN",IF(AND(ISNUMBER(SEARCH("gas",LOWER(M885))),ISNUMBER(SEARCH("water",LOWER(M885)))),"GAS_WATER",IF(AND(ISNUMBER(SEARCH("oil",LOWER(M885))),ISNUMBER(SEARCH("water",LOWER(M885)))),"OIL_WATER",IF(ISNUMBER(SEARCH("gas",LOWER(M885))),"GAS",IF(ISNUMBER(SEARCH("water",LOWER(M885))),"WATER",IF(ISNUMBER(SEARCH("oil",LOWER(M885))),"OIL","UNKNOWN")))))))</f>
        <v/>
      </c>
      <c r="R885" s="12">
        <f>IF(C885="","",C885)</f>
        <v/>
      </c>
      <c r="S885" s="12">
        <f>IF(R885="","",R885+IF(O885&lt;&gt;"",O885,IF(H885="",0,H885)))</f>
        <v/>
      </c>
      <c r="T885" s="12">
        <f>IF(R885="","",MAX(Settings!$B$3,Settings!$B$4*IF(O885&lt;&gt;"",O885,IF(H885="",0,H885))))</f>
        <v/>
      </c>
      <c r="U885" s="11">
        <f>IF(AND(C885&lt;&gt;"",M885&lt;&gt;"",OR(H885&lt;&gt;"",O885&lt;&gt;"")),"COMPLETE",IF(OR(C885&lt;&gt;"",M885&lt;&gt;""),"PARTIAL","MISSING"))</f>
        <v/>
      </c>
      <c r="V885" s="11">
        <f>IF(Q885="UNKNOWN","Check fluid description",IF(AND(R885&lt;&gt;"",S885&lt;&gt;""),"Ready for contact screening","Needs TVD + thickness"))</f>
        <v/>
      </c>
    </row>
    <row r="886">
      <c r="A886" s="9" t="n"/>
      <c r="B886" s="9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9" t="n"/>
      <c r="N886" s="9" t="n"/>
      <c r="O886" s="10" t="n"/>
      <c r="P886" s="9" t="n"/>
      <c r="Q886" s="11">
        <f>IF(P886&lt;&gt;"",P886,IF(M886="","UNKNOWN",IF(AND(ISNUMBER(SEARCH("gas",LOWER(M886))),ISNUMBER(SEARCH("water",LOWER(M886)))),"GAS_WATER",IF(AND(ISNUMBER(SEARCH("oil",LOWER(M886))),ISNUMBER(SEARCH("water",LOWER(M886)))),"OIL_WATER",IF(ISNUMBER(SEARCH("gas",LOWER(M886))),"GAS",IF(ISNUMBER(SEARCH("water",LOWER(M886))),"WATER",IF(ISNUMBER(SEARCH("oil",LOWER(M886))),"OIL","UNKNOWN")))))))</f>
        <v/>
      </c>
      <c r="R886" s="12">
        <f>IF(C886="","",C886)</f>
        <v/>
      </c>
      <c r="S886" s="12">
        <f>IF(R886="","",R886+IF(O886&lt;&gt;"",O886,IF(H886="",0,H886)))</f>
        <v/>
      </c>
      <c r="T886" s="12">
        <f>IF(R886="","",MAX(Settings!$B$3,Settings!$B$4*IF(O886&lt;&gt;"",O886,IF(H886="",0,H886))))</f>
        <v/>
      </c>
      <c r="U886" s="11">
        <f>IF(AND(C886&lt;&gt;"",M886&lt;&gt;"",OR(H886&lt;&gt;"",O886&lt;&gt;"")),"COMPLETE",IF(OR(C886&lt;&gt;"",M886&lt;&gt;""),"PARTIAL","MISSING"))</f>
        <v/>
      </c>
      <c r="V886" s="11">
        <f>IF(Q886="UNKNOWN","Check fluid description",IF(AND(R886&lt;&gt;"",S886&lt;&gt;""),"Ready for contact screening","Needs TVD + thickness"))</f>
        <v/>
      </c>
    </row>
    <row r="887">
      <c r="A887" s="9" t="n"/>
      <c r="B887" s="9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9" t="n"/>
      <c r="N887" s="9" t="n"/>
      <c r="O887" s="10" t="n"/>
      <c r="P887" s="9" t="n"/>
      <c r="Q887" s="11">
        <f>IF(P887&lt;&gt;"",P887,IF(M887="","UNKNOWN",IF(AND(ISNUMBER(SEARCH("gas",LOWER(M887))),ISNUMBER(SEARCH("water",LOWER(M887)))),"GAS_WATER",IF(AND(ISNUMBER(SEARCH("oil",LOWER(M887))),ISNUMBER(SEARCH("water",LOWER(M887)))),"OIL_WATER",IF(ISNUMBER(SEARCH("gas",LOWER(M887))),"GAS",IF(ISNUMBER(SEARCH("water",LOWER(M887))),"WATER",IF(ISNUMBER(SEARCH("oil",LOWER(M887))),"OIL","UNKNOWN")))))))</f>
        <v/>
      </c>
      <c r="R887" s="12">
        <f>IF(C887="","",C887)</f>
        <v/>
      </c>
      <c r="S887" s="12">
        <f>IF(R887="","",R887+IF(O887&lt;&gt;"",O887,IF(H887="",0,H887)))</f>
        <v/>
      </c>
      <c r="T887" s="12">
        <f>IF(R887="","",MAX(Settings!$B$3,Settings!$B$4*IF(O887&lt;&gt;"",O887,IF(H887="",0,H887))))</f>
        <v/>
      </c>
      <c r="U887" s="11">
        <f>IF(AND(C887&lt;&gt;"",M887&lt;&gt;"",OR(H887&lt;&gt;"",O887&lt;&gt;"")),"COMPLETE",IF(OR(C887&lt;&gt;"",M887&lt;&gt;""),"PARTIAL","MISSING"))</f>
        <v/>
      </c>
      <c r="V887" s="11">
        <f>IF(Q887="UNKNOWN","Check fluid description",IF(AND(R887&lt;&gt;"",S887&lt;&gt;""),"Ready for contact screening","Needs TVD + thickness"))</f>
        <v/>
      </c>
    </row>
    <row r="888">
      <c r="A888" s="9" t="n"/>
      <c r="B888" s="9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9" t="n"/>
      <c r="N888" s="9" t="n"/>
      <c r="O888" s="10" t="n"/>
      <c r="P888" s="9" t="n"/>
      <c r="Q888" s="11">
        <f>IF(P888&lt;&gt;"",P888,IF(M888="","UNKNOWN",IF(AND(ISNUMBER(SEARCH("gas",LOWER(M888))),ISNUMBER(SEARCH("water",LOWER(M888)))),"GAS_WATER",IF(AND(ISNUMBER(SEARCH("oil",LOWER(M888))),ISNUMBER(SEARCH("water",LOWER(M888)))),"OIL_WATER",IF(ISNUMBER(SEARCH("gas",LOWER(M888))),"GAS",IF(ISNUMBER(SEARCH("water",LOWER(M888))),"WATER",IF(ISNUMBER(SEARCH("oil",LOWER(M888))),"OIL","UNKNOWN")))))))</f>
        <v/>
      </c>
      <c r="R888" s="12">
        <f>IF(C888="","",C888)</f>
        <v/>
      </c>
      <c r="S888" s="12">
        <f>IF(R888="","",R888+IF(O888&lt;&gt;"",O888,IF(H888="",0,H888)))</f>
        <v/>
      </c>
      <c r="T888" s="12">
        <f>IF(R888="","",MAX(Settings!$B$3,Settings!$B$4*IF(O888&lt;&gt;"",O888,IF(H888="",0,H888))))</f>
        <v/>
      </c>
      <c r="U888" s="11">
        <f>IF(AND(C888&lt;&gt;"",M888&lt;&gt;"",OR(H888&lt;&gt;"",O888&lt;&gt;"")),"COMPLETE",IF(OR(C888&lt;&gt;"",M888&lt;&gt;""),"PARTIAL","MISSING"))</f>
        <v/>
      </c>
      <c r="V888" s="11">
        <f>IF(Q888="UNKNOWN","Check fluid description",IF(AND(R888&lt;&gt;"",S888&lt;&gt;""),"Ready for contact screening","Needs TVD + thickness"))</f>
        <v/>
      </c>
    </row>
    <row r="889">
      <c r="A889" s="9" t="n"/>
      <c r="B889" s="9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9" t="n"/>
      <c r="N889" s="9" t="n"/>
      <c r="O889" s="10" t="n"/>
      <c r="P889" s="9" t="n"/>
      <c r="Q889" s="11">
        <f>IF(P889&lt;&gt;"",P889,IF(M889="","UNKNOWN",IF(AND(ISNUMBER(SEARCH("gas",LOWER(M889))),ISNUMBER(SEARCH("water",LOWER(M889)))),"GAS_WATER",IF(AND(ISNUMBER(SEARCH("oil",LOWER(M889))),ISNUMBER(SEARCH("water",LOWER(M889)))),"OIL_WATER",IF(ISNUMBER(SEARCH("gas",LOWER(M889))),"GAS",IF(ISNUMBER(SEARCH("water",LOWER(M889))),"WATER",IF(ISNUMBER(SEARCH("oil",LOWER(M889))),"OIL","UNKNOWN")))))))</f>
        <v/>
      </c>
      <c r="R889" s="12">
        <f>IF(C889="","",C889)</f>
        <v/>
      </c>
      <c r="S889" s="12">
        <f>IF(R889="","",R889+IF(O889&lt;&gt;"",O889,IF(H889="",0,H889)))</f>
        <v/>
      </c>
      <c r="T889" s="12">
        <f>IF(R889="","",MAX(Settings!$B$3,Settings!$B$4*IF(O889&lt;&gt;"",O889,IF(H889="",0,H889))))</f>
        <v/>
      </c>
      <c r="U889" s="11">
        <f>IF(AND(C889&lt;&gt;"",M889&lt;&gt;"",OR(H889&lt;&gt;"",O889&lt;&gt;"")),"COMPLETE",IF(OR(C889&lt;&gt;"",M889&lt;&gt;""),"PARTIAL","MISSING"))</f>
        <v/>
      </c>
      <c r="V889" s="11">
        <f>IF(Q889="UNKNOWN","Check fluid description",IF(AND(R889&lt;&gt;"",S889&lt;&gt;""),"Ready for contact screening","Needs TVD + thickness"))</f>
        <v/>
      </c>
    </row>
    <row r="890">
      <c r="A890" s="9" t="n"/>
      <c r="B890" s="9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9" t="n"/>
      <c r="N890" s="9" t="n"/>
      <c r="O890" s="10" t="n"/>
      <c r="P890" s="9" t="n"/>
      <c r="Q890" s="11">
        <f>IF(P890&lt;&gt;"",P890,IF(M890="","UNKNOWN",IF(AND(ISNUMBER(SEARCH("gas",LOWER(M890))),ISNUMBER(SEARCH("water",LOWER(M890)))),"GAS_WATER",IF(AND(ISNUMBER(SEARCH("oil",LOWER(M890))),ISNUMBER(SEARCH("water",LOWER(M890)))),"OIL_WATER",IF(ISNUMBER(SEARCH("gas",LOWER(M890))),"GAS",IF(ISNUMBER(SEARCH("water",LOWER(M890))),"WATER",IF(ISNUMBER(SEARCH("oil",LOWER(M890))),"OIL","UNKNOWN")))))))</f>
        <v/>
      </c>
      <c r="R890" s="12">
        <f>IF(C890="","",C890)</f>
        <v/>
      </c>
      <c r="S890" s="12">
        <f>IF(R890="","",R890+IF(O890&lt;&gt;"",O890,IF(H890="",0,H890)))</f>
        <v/>
      </c>
      <c r="T890" s="12">
        <f>IF(R890="","",MAX(Settings!$B$3,Settings!$B$4*IF(O890&lt;&gt;"",O890,IF(H890="",0,H890))))</f>
        <v/>
      </c>
      <c r="U890" s="11">
        <f>IF(AND(C890&lt;&gt;"",M890&lt;&gt;"",OR(H890&lt;&gt;"",O890&lt;&gt;"")),"COMPLETE",IF(OR(C890&lt;&gt;"",M890&lt;&gt;""),"PARTIAL","MISSING"))</f>
        <v/>
      </c>
      <c r="V890" s="11">
        <f>IF(Q890="UNKNOWN","Check fluid description",IF(AND(R890&lt;&gt;"",S890&lt;&gt;""),"Ready for contact screening","Needs TVD + thickness"))</f>
        <v/>
      </c>
    </row>
    <row r="891">
      <c r="A891" s="9" t="n"/>
      <c r="B891" s="9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9" t="n"/>
      <c r="N891" s="9" t="n"/>
      <c r="O891" s="10" t="n"/>
      <c r="P891" s="9" t="n"/>
      <c r="Q891" s="11">
        <f>IF(P891&lt;&gt;"",P891,IF(M891="","UNKNOWN",IF(AND(ISNUMBER(SEARCH("gas",LOWER(M891))),ISNUMBER(SEARCH("water",LOWER(M891)))),"GAS_WATER",IF(AND(ISNUMBER(SEARCH("oil",LOWER(M891))),ISNUMBER(SEARCH("water",LOWER(M891)))),"OIL_WATER",IF(ISNUMBER(SEARCH("gas",LOWER(M891))),"GAS",IF(ISNUMBER(SEARCH("water",LOWER(M891))),"WATER",IF(ISNUMBER(SEARCH("oil",LOWER(M891))),"OIL","UNKNOWN")))))))</f>
        <v/>
      </c>
      <c r="R891" s="12">
        <f>IF(C891="","",C891)</f>
        <v/>
      </c>
      <c r="S891" s="12">
        <f>IF(R891="","",R891+IF(O891&lt;&gt;"",O891,IF(H891="",0,H891)))</f>
        <v/>
      </c>
      <c r="T891" s="12">
        <f>IF(R891="","",MAX(Settings!$B$3,Settings!$B$4*IF(O891&lt;&gt;"",O891,IF(H891="",0,H891))))</f>
        <v/>
      </c>
      <c r="U891" s="11">
        <f>IF(AND(C891&lt;&gt;"",M891&lt;&gt;"",OR(H891&lt;&gt;"",O891&lt;&gt;"")),"COMPLETE",IF(OR(C891&lt;&gt;"",M891&lt;&gt;""),"PARTIAL","MISSING"))</f>
        <v/>
      </c>
      <c r="V891" s="11">
        <f>IF(Q891="UNKNOWN","Check fluid description",IF(AND(R891&lt;&gt;"",S891&lt;&gt;""),"Ready for contact screening","Needs TVD + thickness"))</f>
        <v/>
      </c>
    </row>
    <row r="892">
      <c r="A892" s="9" t="n"/>
      <c r="B892" s="9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9" t="n"/>
      <c r="N892" s="9" t="n"/>
      <c r="O892" s="10" t="n"/>
      <c r="P892" s="9" t="n"/>
      <c r="Q892" s="11">
        <f>IF(P892&lt;&gt;"",P892,IF(M892="","UNKNOWN",IF(AND(ISNUMBER(SEARCH("gas",LOWER(M892))),ISNUMBER(SEARCH("water",LOWER(M892)))),"GAS_WATER",IF(AND(ISNUMBER(SEARCH("oil",LOWER(M892))),ISNUMBER(SEARCH("water",LOWER(M892)))),"OIL_WATER",IF(ISNUMBER(SEARCH("gas",LOWER(M892))),"GAS",IF(ISNUMBER(SEARCH("water",LOWER(M892))),"WATER",IF(ISNUMBER(SEARCH("oil",LOWER(M892))),"OIL","UNKNOWN")))))))</f>
        <v/>
      </c>
      <c r="R892" s="12">
        <f>IF(C892="","",C892)</f>
        <v/>
      </c>
      <c r="S892" s="12">
        <f>IF(R892="","",R892+IF(O892&lt;&gt;"",O892,IF(H892="",0,H892)))</f>
        <v/>
      </c>
      <c r="T892" s="12">
        <f>IF(R892="","",MAX(Settings!$B$3,Settings!$B$4*IF(O892&lt;&gt;"",O892,IF(H892="",0,H892))))</f>
        <v/>
      </c>
      <c r="U892" s="11">
        <f>IF(AND(C892&lt;&gt;"",M892&lt;&gt;"",OR(H892&lt;&gt;"",O892&lt;&gt;"")),"COMPLETE",IF(OR(C892&lt;&gt;"",M892&lt;&gt;""),"PARTIAL","MISSING"))</f>
        <v/>
      </c>
      <c r="V892" s="11">
        <f>IF(Q892="UNKNOWN","Check fluid description",IF(AND(R892&lt;&gt;"",S892&lt;&gt;""),"Ready for contact screening","Needs TVD + thickness"))</f>
        <v/>
      </c>
    </row>
    <row r="893">
      <c r="A893" s="9" t="n"/>
      <c r="B893" s="9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9" t="n"/>
      <c r="N893" s="9" t="n"/>
      <c r="O893" s="10" t="n"/>
      <c r="P893" s="9" t="n"/>
      <c r="Q893" s="11">
        <f>IF(P893&lt;&gt;"",P893,IF(M893="","UNKNOWN",IF(AND(ISNUMBER(SEARCH("gas",LOWER(M893))),ISNUMBER(SEARCH("water",LOWER(M893)))),"GAS_WATER",IF(AND(ISNUMBER(SEARCH("oil",LOWER(M893))),ISNUMBER(SEARCH("water",LOWER(M893)))),"OIL_WATER",IF(ISNUMBER(SEARCH("gas",LOWER(M893))),"GAS",IF(ISNUMBER(SEARCH("water",LOWER(M893))),"WATER",IF(ISNUMBER(SEARCH("oil",LOWER(M893))),"OIL","UNKNOWN")))))))</f>
        <v/>
      </c>
      <c r="R893" s="12">
        <f>IF(C893="","",C893)</f>
        <v/>
      </c>
      <c r="S893" s="12">
        <f>IF(R893="","",R893+IF(O893&lt;&gt;"",O893,IF(H893="",0,H893)))</f>
        <v/>
      </c>
      <c r="T893" s="12">
        <f>IF(R893="","",MAX(Settings!$B$3,Settings!$B$4*IF(O893&lt;&gt;"",O893,IF(H893="",0,H893))))</f>
        <v/>
      </c>
      <c r="U893" s="11">
        <f>IF(AND(C893&lt;&gt;"",M893&lt;&gt;"",OR(H893&lt;&gt;"",O893&lt;&gt;"")),"COMPLETE",IF(OR(C893&lt;&gt;"",M893&lt;&gt;""),"PARTIAL","MISSING"))</f>
        <v/>
      </c>
      <c r="V893" s="11">
        <f>IF(Q893="UNKNOWN","Check fluid description",IF(AND(R893&lt;&gt;"",S893&lt;&gt;""),"Ready for contact screening","Needs TVD + thickness"))</f>
        <v/>
      </c>
    </row>
    <row r="894">
      <c r="A894" s="9" t="n"/>
      <c r="B894" s="9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9" t="n"/>
      <c r="N894" s="9" t="n"/>
      <c r="O894" s="10" t="n"/>
      <c r="P894" s="9" t="n"/>
      <c r="Q894" s="11">
        <f>IF(P894&lt;&gt;"",P894,IF(M894="","UNKNOWN",IF(AND(ISNUMBER(SEARCH("gas",LOWER(M894))),ISNUMBER(SEARCH("water",LOWER(M894)))),"GAS_WATER",IF(AND(ISNUMBER(SEARCH("oil",LOWER(M894))),ISNUMBER(SEARCH("water",LOWER(M894)))),"OIL_WATER",IF(ISNUMBER(SEARCH("gas",LOWER(M894))),"GAS",IF(ISNUMBER(SEARCH("water",LOWER(M894))),"WATER",IF(ISNUMBER(SEARCH("oil",LOWER(M894))),"OIL","UNKNOWN")))))))</f>
        <v/>
      </c>
      <c r="R894" s="12">
        <f>IF(C894="","",C894)</f>
        <v/>
      </c>
      <c r="S894" s="12">
        <f>IF(R894="","",R894+IF(O894&lt;&gt;"",O894,IF(H894="",0,H894)))</f>
        <v/>
      </c>
      <c r="T894" s="12">
        <f>IF(R894="","",MAX(Settings!$B$3,Settings!$B$4*IF(O894&lt;&gt;"",O894,IF(H894="",0,H894))))</f>
        <v/>
      </c>
      <c r="U894" s="11">
        <f>IF(AND(C894&lt;&gt;"",M894&lt;&gt;"",OR(H894&lt;&gt;"",O894&lt;&gt;"")),"COMPLETE",IF(OR(C894&lt;&gt;"",M894&lt;&gt;""),"PARTIAL","MISSING"))</f>
        <v/>
      </c>
      <c r="V894" s="11">
        <f>IF(Q894="UNKNOWN","Check fluid description",IF(AND(R894&lt;&gt;"",S894&lt;&gt;""),"Ready for contact screening","Needs TVD + thickness"))</f>
        <v/>
      </c>
    </row>
    <row r="895">
      <c r="A895" s="9" t="n"/>
      <c r="B895" s="9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9" t="n"/>
      <c r="N895" s="9" t="n"/>
      <c r="O895" s="10" t="n"/>
      <c r="P895" s="9" t="n"/>
      <c r="Q895" s="11">
        <f>IF(P895&lt;&gt;"",P895,IF(M895="","UNKNOWN",IF(AND(ISNUMBER(SEARCH("gas",LOWER(M895))),ISNUMBER(SEARCH("water",LOWER(M895)))),"GAS_WATER",IF(AND(ISNUMBER(SEARCH("oil",LOWER(M895))),ISNUMBER(SEARCH("water",LOWER(M895)))),"OIL_WATER",IF(ISNUMBER(SEARCH("gas",LOWER(M895))),"GAS",IF(ISNUMBER(SEARCH("water",LOWER(M895))),"WATER",IF(ISNUMBER(SEARCH("oil",LOWER(M895))),"OIL","UNKNOWN")))))))</f>
        <v/>
      </c>
      <c r="R895" s="12">
        <f>IF(C895="","",C895)</f>
        <v/>
      </c>
      <c r="S895" s="12">
        <f>IF(R895="","",R895+IF(O895&lt;&gt;"",O895,IF(H895="",0,H895)))</f>
        <v/>
      </c>
      <c r="T895" s="12">
        <f>IF(R895="","",MAX(Settings!$B$3,Settings!$B$4*IF(O895&lt;&gt;"",O895,IF(H895="",0,H895))))</f>
        <v/>
      </c>
      <c r="U895" s="11">
        <f>IF(AND(C895&lt;&gt;"",M895&lt;&gt;"",OR(H895&lt;&gt;"",O895&lt;&gt;"")),"COMPLETE",IF(OR(C895&lt;&gt;"",M895&lt;&gt;""),"PARTIAL","MISSING"))</f>
        <v/>
      </c>
      <c r="V895" s="11">
        <f>IF(Q895="UNKNOWN","Check fluid description",IF(AND(R895&lt;&gt;"",S895&lt;&gt;""),"Ready for contact screening","Needs TVD + thickness"))</f>
        <v/>
      </c>
    </row>
    <row r="896">
      <c r="A896" s="9" t="n"/>
      <c r="B896" s="9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9" t="n"/>
      <c r="N896" s="9" t="n"/>
      <c r="O896" s="10" t="n"/>
      <c r="P896" s="9" t="n"/>
      <c r="Q896" s="11">
        <f>IF(P896&lt;&gt;"",P896,IF(M896="","UNKNOWN",IF(AND(ISNUMBER(SEARCH("gas",LOWER(M896))),ISNUMBER(SEARCH("water",LOWER(M896)))),"GAS_WATER",IF(AND(ISNUMBER(SEARCH("oil",LOWER(M896))),ISNUMBER(SEARCH("water",LOWER(M896)))),"OIL_WATER",IF(ISNUMBER(SEARCH("gas",LOWER(M896))),"GAS",IF(ISNUMBER(SEARCH("water",LOWER(M896))),"WATER",IF(ISNUMBER(SEARCH("oil",LOWER(M896))),"OIL","UNKNOWN")))))))</f>
        <v/>
      </c>
      <c r="R896" s="12">
        <f>IF(C896="","",C896)</f>
        <v/>
      </c>
      <c r="S896" s="12">
        <f>IF(R896="","",R896+IF(O896&lt;&gt;"",O896,IF(H896="",0,H896)))</f>
        <v/>
      </c>
      <c r="T896" s="12">
        <f>IF(R896="","",MAX(Settings!$B$3,Settings!$B$4*IF(O896&lt;&gt;"",O896,IF(H896="",0,H896))))</f>
        <v/>
      </c>
      <c r="U896" s="11">
        <f>IF(AND(C896&lt;&gt;"",M896&lt;&gt;"",OR(H896&lt;&gt;"",O896&lt;&gt;"")),"COMPLETE",IF(OR(C896&lt;&gt;"",M896&lt;&gt;""),"PARTIAL","MISSING"))</f>
        <v/>
      </c>
      <c r="V896" s="11">
        <f>IF(Q896="UNKNOWN","Check fluid description",IF(AND(R896&lt;&gt;"",S896&lt;&gt;""),"Ready for contact screening","Needs TVD + thickness"))</f>
        <v/>
      </c>
    </row>
    <row r="897">
      <c r="A897" s="9" t="n"/>
      <c r="B897" s="9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9" t="n"/>
      <c r="N897" s="9" t="n"/>
      <c r="O897" s="10" t="n"/>
      <c r="P897" s="9" t="n"/>
      <c r="Q897" s="11">
        <f>IF(P897&lt;&gt;"",P897,IF(M897="","UNKNOWN",IF(AND(ISNUMBER(SEARCH("gas",LOWER(M897))),ISNUMBER(SEARCH("water",LOWER(M897)))),"GAS_WATER",IF(AND(ISNUMBER(SEARCH("oil",LOWER(M897))),ISNUMBER(SEARCH("water",LOWER(M897)))),"OIL_WATER",IF(ISNUMBER(SEARCH("gas",LOWER(M897))),"GAS",IF(ISNUMBER(SEARCH("water",LOWER(M897))),"WATER",IF(ISNUMBER(SEARCH("oil",LOWER(M897))),"OIL","UNKNOWN")))))))</f>
        <v/>
      </c>
      <c r="R897" s="12">
        <f>IF(C897="","",C897)</f>
        <v/>
      </c>
      <c r="S897" s="12">
        <f>IF(R897="","",R897+IF(O897&lt;&gt;"",O897,IF(H897="",0,H897)))</f>
        <v/>
      </c>
      <c r="T897" s="12">
        <f>IF(R897="","",MAX(Settings!$B$3,Settings!$B$4*IF(O897&lt;&gt;"",O897,IF(H897="",0,H897))))</f>
        <v/>
      </c>
      <c r="U897" s="11">
        <f>IF(AND(C897&lt;&gt;"",M897&lt;&gt;"",OR(H897&lt;&gt;"",O897&lt;&gt;"")),"COMPLETE",IF(OR(C897&lt;&gt;"",M897&lt;&gt;""),"PARTIAL","MISSING"))</f>
        <v/>
      </c>
      <c r="V897" s="11">
        <f>IF(Q897="UNKNOWN","Check fluid description",IF(AND(R897&lt;&gt;"",S897&lt;&gt;""),"Ready for contact screening","Needs TVD + thickness"))</f>
        <v/>
      </c>
    </row>
    <row r="898">
      <c r="A898" s="9" t="n"/>
      <c r="B898" s="9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9" t="n"/>
      <c r="N898" s="9" t="n"/>
      <c r="O898" s="10" t="n"/>
      <c r="P898" s="9" t="n"/>
      <c r="Q898" s="11">
        <f>IF(P898&lt;&gt;"",P898,IF(M898="","UNKNOWN",IF(AND(ISNUMBER(SEARCH("gas",LOWER(M898))),ISNUMBER(SEARCH("water",LOWER(M898)))),"GAS_WATER",IF(AND(ISNUMBER(SEARCH("oil",LOWER(M898))),ISNUMBER(SEARCH("water",LOWER(M898)))),"OIL_WATER",IF(ISNUMBER(SEARCH("gas",LOWER(M898))),"GAS",IF(ISNUMBER(SEARCH("water",LOWER(M898))),"WATER",IF(ISNUMBER(SEARCH("oil",LOWER(M898))),"OIL","UNKNOWN")))))))</f>
        <v/>
      </c>
      <c r="R898" s="12">
        <f>IF(C898="","",C898)</f>
        <v/>
      </c>
      <c r="S898" s="12">
        <f>IF(R898="","",R898+IF(O898&lt;&gt;"",O898,IF(H898="",0,H898)))</f>
        <v/>
      </c>
      <c r="T898" s="12">
        <f>IF(R898="","",MAX(Settings!$B$3,Settings!$B$4*IF(O898&lt;&gt;"",O898,IF(H898="",0,H898))))</f>
        <v/>
      </c>
      <c r="U898" s="11">
        <f>IF(AND(C898&lt;&gt;"",M898&lt;&gt;"",OR(H898&lt;&gt;"",O898&lt;&gt;"")),"COMPLETE",IF(OR(C898&lt;&gt;"",M898&lt;&gt;""),"PARTIAL","MISSING"))</f>
        <v/>
      </c>
      <c r="V898" s="11">
        <f>IF(Q898="UNKNOWN","Check fluid description",IF(AND(R898&lt;&gt;"",S898&lt;&gt;""),"Ready for contact screening","Needs TVD + thickness"))</f>
        <v/>
      </c>
    </row>
    <row r="899">
      <c r="A899" s="9" t="n"/>
      <c r="B899" s="9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9" t="n"/>
      <c r="N899" s="9" t="n"/>
      <c r="O899" s="10" t="n"/>
      <c r="P899" s="9" t="n"/>
      <c r="Q899" s="11">
        <f>IF(P899&lt;&gt;"",P899,IF(M899="","UNKNOWN",IF(AND(ISNUMBER(SEARCH("gas",LOWER(M899))),ISNUMBER(SEARCH("water",LOWER(M899)))),"GAS_WATER",IF(AND(ISNUMBER(SEARCH("oil",LOWER(M899))),ISNUMBER(SEARCH("water",LOWER(M899)))),"OIL_WATER",IF(ISNUMBER(SEARCH("gas",LOWER(M899))),"GAS",IF(ISNUMBER(SEARCH("water",LOWER(M899))),"WATER",IF(ISNUMBER(SEARCH("oil",LOWER(M899))),"OIL","UNKNOWN")))))))</f>
        <v/>
      </c>
      <c r="R899" s="12">
        <f>IF(C899="","",C899)</f>
        <v/>
      </c>
      <c r="S899" s="12">
        <f>IF(R899="","",R899+IF(O899&lt;&gt;"",O899,IF(H899="",0,H899)))</f>
        <v/>
      </c>
      <c r="T899" s="12">
        <f>IF(R899="","",MAX(Settings!$B$3,Settings!$B$4*IF(O899&lt;&gt;"",O899,IF(H899="",0,H899))))</f>
        <v/>
      </c>
      <c r="U899" s="11">
        <f>IF(AND(C899&lt;&gt;"",M899&lt;&gt;"",OR(H899&lt;&gt;"",O899&lt;&gt;"")),"COMPLETE",IF(OR(C899&lt;&gt;"",M899&lt;&gt;""),"PARTIAL","MISSING"))</f>
        <v/>
      </c>
      <c r="V899" s="11">
        <f>IF(Q899="UNKNOWN","Check fluid description",IF(AND(R899&lt;&gt;"",S899&lt;&gt;""),"Ready for contact screening","Needs TVD + thickness"))</f>
        <v/>
      </c>
    </row>
    <row r="900">
      <c r="A900" s="9" t="n"/>
      <c r="B900" s="9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9" t="n"/>
      <c r="N900" s="9" t="n"/>
      <c r="O900" s="10" t="n"/>
      <c r="P900" s="9" t="n"/>
      <c r="Q900" s="11">
        <f>IF(P900&lt;&gt;"",P900,IF(M900="","UNKNOWN",IF(AND(ISNUMBER(SEARCH("gas",LOWER(M900))),ISNUMBER(SEARCH("water",LOWER(M900)))),"GAS_WATER",IF(AND(ISNUMBER(SEARCH("oil",LOWER(M900))),ISNUMBER(SEARCH("water",LOWER(M900)))),"OIL_WATER",IF(ISNUMBER(SEARCH("gas",LOWER(M900))),"GAS",IF(ISNUMBER(SEARCH("water",LOWER(M900))),"WATER",IF(ISNUMBER(SEARCH("oil",LOWER(M900))),"OIL","UNKNOWN")))))))</f>
        <v/>
      </c>
      <c r="R900" s="12">
        <f>IF(C900="","",C900)</f>
        <v/>
      </c>
      <c r="S900" s="12">
        <f>IF(R900="","",R900+IF(O900&lt;&gt;"",O900,IF(H900="",0,H900)))</f>
        <v/>
      </c>
      <c r="T900" s="12">
        <f>IF(R900="","",MAX(Settings!$B$3,Settings!$B$4*IF(O900&lt;&gt;"",O900,IF(H900="",0,H900))))</f>
        <v/>
      </c>
      <c r="U900" s="11">
        <f>IF(AND(C900&lt;&gt;"",M900&lt;&gt;"",OR(H900&lt;&gt;"",O900&lt;&gt;"")),"COMPLETE",IF(OR(C900&lt;&gt;"",M900&lt;&gt;""),"PARTIAL","MISSING"))</f>
        <v/>
      </c>
      <c r="V900" s="11">
        <f>IF(Q900="UNKNOWN","Check fluid description",IF(AND(R900&lt;&gt;"",S900&lt;&gt;""),"Ready for contact screening","Needs TVD + thickness"))</f>
        <v/>
      </c>
    </row>
    <row r="901">
      <c r="A901" s="9" t="n"/>
      <c r="B901" s="9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9" t="n"/>
      <c r="N901" s="9" t="n"/>
      <c r="O901" s="10" t="n"/>
      <c r="P901" s="9" t="n"/>
      <c r="Q901" s="11">
        <f>IF(P901&lt;&gt;"",P901,IF(M901="","UNKNOWN",IF(AND(ISNUMBER(SEARCH("gas",LOWER(M901))),ISNUMBER(SEARCH("water",LOWER(M901)))),"GAS_WATER",IF(AND(ISNUMBER(SEARCH("oil",LOWER(M901))),ISNUMBER(SEARCH("water",LOWER(M901)))),"OIL_WATER",IF(ISNUMBER(SEARCH("gas",LOWER(M901))),"GAS",IF(ISNUMBER(SEARCH("water",LOWER(M901))),"WATER",IF(ISNUMBER(SEARCH("oil",LOWER(M901))),"OIL","UNKNOWN")))))))</f>
        <v/>
      </c>
      <c r="R901" s="12">
        <f>IF(C901="","",C901)</f>
        <v/>
      </c>
      <c r="S901" s="12">
        <f>IF(R901="","",R901+IF(O901&lt;&gt;"",O901,IF(H901="",0,H901)))</f>
        <v/>
      </c>
      <c r="T901" s="12">
        <f>IF(R901="","",MAX(Settings!$B$3,Settings!$B$4*IF(O901&lt;&gt;"",O901,IF(H901="",0,H901))))</f>
        <v/>
      </c>
      <c r="U901" s="11">
        <f>IF(AND(C901&lt;&gt;"",M901&lt;&gt;"",OR(H901&lt;&gt;"",O901&lt;&gt;"")),"COMPLETE",IF(OR(C901&lt;&gt;"",M901&lt;&gt;""),"PARTIAL","MISSING"))</f>
        <v/>
      </c>
      <c r="V901" s="11">
        <f>IF(Q901="UNKNOWN","Check fluid description",IF(AND(R901&lt;&gt;"",S901&lt;&gt;""),"Ready for contact screening","Needs TVD + thickness"))</f>
        <v/>
      </c>
    </row>
    <row r="902">
      <c r="A902" s="9" t="n"/>
      <c r="B902" s="9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9" t="n"/>
      <c r="N902" s="9" t="n"/>
      <c r="O902" s="10" t="n"/>
      <c r="P902" s="9" t="n"/>
      <c r="Q902" s="11">
        <f>IF(P902&lt;&gt;"",P902,IF(M902="","UNKNOWN",IF(AND(ISNUMBER(SEARCH("gas",LOWER(M902))),ISNUMBER(SEARCH("water",LOWER(M902)))),"GAS_WATER",IF(AND(ISNUMBER(SEARCH("oil",LOWER(M902))),ISNUMBER(SEARCH("water",LOWER(M902)))),"OIL_WATER",IF(ISNUMBER(SEARCH("gas",LOWER(M902))),"GAS",IF(ISNUMBER(SEARCH("water",LOWER(M902))),"WATER",IF(ISNUMBER(SEARCH("oil",LOWER(M902))),"OIL","UNKNOWN")))))))</f>
        <v/>
      </c>
      <c r="R902" s="12">
        <f>IF(C902="","",C902)</f>
        <v/>
      </c>
      <c r="S902" s="12">
        <f>IF(R902="","",R902+IF(O902&lt;&gt;"",O902,IF(H902="",0,H902)))</f>
        <v/>
      </c>
      <c r="T902" s="12">
        <f>IF(R902="","",MAX(Settings!$B$3,Settings!$B$4*IF(O902&lt;&gt;"",O902,IF(H902="",0,H902))))</f>
        <v/>
      </c>
      <c r="U902" s="11">
        <f>IF(AND(C902&lt;&gt;"",M902&lt;&gt;"",OR(H902&lt;&gt;"",O902&lt;&gt;"")),"COMPLETE",IF(OR(C902&lt;&gt;"",M902&lt;&gt;""),"PARTIAL","MISSING"))</f>
        <v/>
      </c>
      <c r="V902" s="11">
        <f>IF(Q902="UNKNOWN","Check fluid description",IF(AND(R902&lt;&gt;"",S902&lt;&gt;""),"Ready for contact screening","Needs TVD + thickness"))</f>
        <v/>
      </c>
    </row>
    <row r="903">
      <c r="A903" s="9" t="n"/>
      <c r="B903" s="9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9" t="n"/>
      <c r="N903" s="9" t="n"/>
      <c r="O903" s="10" t="n"/>
      <c r="P903" s="9" t="n"/>
      <c r="Q903" s="11">
        <f>IF(P903&lt;&gt;"",P903,IF(M903="","UNKNOWN",IF(AND(ISNUMBER(SEARCH("gas",LOWER(M903))),ISNUMBER(SEARCH("water",LOWER(M903)))),"GAS_WATER",IF(AND(ISNUMBER(SEARCH("oil",LOWER(M903))),ISNUMBER(SEARCH("water",LOWER(M903)))),"OIL_WATER",IF(ISNUMBER(SEARCH("gas",LOWER(M903))),"GAS",IF(ISNUMBER(SEARCH("water",LOWER(M903))),"WATER",IF(ISNUMBER(SEARCH("oil",LOWER(M903))),"OIL","UNKNOWN")))))))</f>
        <v/>
      </c>
      <c r="R903" s="12">
        <f>IF(C903="","",C903)</f>
        <v/>
      </c>
      <c r="S903" s="12">
        <f>IF(R903="","",R903+IF(O903&lt;&gt;"",O903,IF(H903="",0,H903)))</f>
        <v/>
      </c>
      <c r="T903" s="12">
        <f>IF(R903="","",MAX(Settings!$B$3,Settings!$B$4*IF(O903&lt;&gt;"",O903,IF(H903="",0,H903))))</f>
        <v/>
      </c>
      <c r="U903" s="11">
        <f>IF(AND(C903&lt;&gt;"",M903&lt;&gt;"",OR(H903&lt;&gt;"",O903&lt;&gt;"")),"COMPLETE",IF(OR(C903&lt;&gt;"",M903&lt;&gt;""),"PARTIAL","MISSING"))</f>
        <v/>
      </c>
      <c r="V903" s="11">
        <f>IF(Q903="UNKNOWN","Check fluid description",IF(AND(R903&lt;&gt;"",S903&lt;&gt;""),"Ready for contact screening","Needs TVD + thickness"))</f>
        <v/>
      </c>
    </row>
    <row r="904">
      <c r="A904" s="9" t="n"/>
      <c r="B904" s="9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9" t="n"/>
      <c r="N904" s="9" t="n"/>
      <c r="O904" s="10" t="n"/>
      <c r="P904" s="9" t="n"/>
      <c r="Q904" s="11">
        <f>IF(P904&lt;&gt;"",P904,IF(M904="","UNKNOWN",IF(AND(ISNUMBER(SEARCH("gas",LOWER(M904))),ISNUMBER(SEARCH("water",LOWER(M904)))),"GAS_WATER",IF(AND(ISNUMBER(SEARCH("oil",LOWER(M904))),ISNUMBER(SEARCH("water",LOWER(M904)))),"OIL_WATER",IF(ISNUMBER(SEARCH("gas",LOWER(M904))),"GAS",IF(ISNUMBER(SEARCH("water",LOWER(M904))),"WATER",IF(ISNUMBER(SEARCH("oil",LOWER(M904))),"OIL","UNKNOWN")))))))</f>
        <v/>
      </c>
      <c r="R904" s="12">
        <f>IF(C904="","",C904)</f>
        <v/>
      </c>
      <c r="S904" s="12">
        <f>IF(R904="","",R904+IF(O904&lt;&gt;"",O904,IF(H904="",0,H904)))</f>
        <v/>
      </c>
      <c r="T904" s="12">
        <f>IF(R904="","",MAX(Settings!$B$3,Settings!$B$4*IF(O904&lt;&gt;"",O904,IF(H904="",0,H904))))</f>
        <v/>
      </c>
      <c r="U904" s="11">
        <f>IF(AND(C904&lt;&gt;"",M904&lt;&gt;"",OR(H904&lt;&gt;"",O904&lt;&gt;"")),"COMPLETE",IF(OR(C904&lt;&gt;"",M904&lt;&gt;""),"PARTIAL","MISSING"))</f>
        <v/>
      </c>
      <c r="V904" s="11">
        <f>IF(Q904="UNKNOWN","Check fluid description",IF(AND(R904&lt;&gt;"",S904&lt;&gt;""),"Ready for contact screening","Needs TVD + thickness"))</f>
        <v/>
      </c>
    </row>
    <row r="905">
      <c r="A905" s="9" t="n"/>
      <c r="B905" s="9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9" t="n"/>
      <c r="N905" s="9" t="n"/>
      <c r="O905" s="10" t="n"/>
      <c r="P905" s="9" t="n"/>
      <c r="Q905" s="11">
        <f>IF(P905&lt;&gt;"",P905,IF(M905="","UNKNOWN",IF(AND(ISNUMBER(SEARCH("gas",LOWER(M905))),ISNUMBER(SEARCH("water",LOWER(M905)))),"GAS_WATER",IF(AND(ISNUMBER(SEARCH("oil",LOWER(M905))),ISNUMBER(SEARCH("water",LOWER(M905)))),"OIL_WATER",IF(ISNUMBER(SEARCH("gas",LOWER(M905))),"GAS",IF(ISNUMBER(SEARCH("water",LOWER(M905))),"WATER",IF(ISNUMBER(SEARCH("oil",LOWER(M905))),"OIL","UNKNOWN")))))))</f>
        <v/>
      </c>
      <c r="R905" s="12">
        <f>IF(C905="","",C905)</f>
        <v/>
      </c>
      <c r="S905" s="12">
        <f>IF(R905="","",R905+IF(O905&lt;&gt;"",O905,IF(H905="",0,H905)))</f>
        <v/>
      </c>
      <c r="T905" s="12">
        <f>IF(R905="","",MAX(Settings!$B$3,Settings!$B$4*IF(O905&lt;&gt;"",O905,IF(H905="",0,H905))))</f>
        <v/>
      </c>
      <c r="U905" s="11">
        <f>IF(AND(C905&lt;&gt;"",M905&lt;&gt;"",OR(H905&lt;&gt;"",O905&lt;&gt;"")),"COMPLETE",IF(OR(C905&lt;&gt;"",M905&lt;&gt;""),"PARTIAL","MISSING"))</f>
        <v/>
      </c>
      <c r="V905" s="11">
        <f>IF(Q905="UNKNOWN","Check fluid description",IF(AND(R905&lt;&gt;"",S905&lt;&gt;""),"Ready for contact screening","Needs TVD + thickness"))</f>
        <v/>
      </c>
    </row>
    <row r="906">
      <c r="A906" s="9" t="n"/>
      <c r="B906" s="9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9" t="n"/>
      <c r="N906" s="9" t="n"/>
      <c r="O906" s="10" t="n"/>
      <c r="P906" s="9" t="n"/>
      <c r="Q906" s="11">
        <f>IF(P906&lt;&gt;"",P906,IF(M906="","UNKNOWN",IF(AND(ISNUMBER(SEARCH("gas",LOWER(M906))),ISNUMBER(SEARCH("water",LOWER(M906)))),"GAS_WATER",IF(AND(ISNUMBER(SEARCH("oil",LOWER(M906))),ISNUMBER(SEARCH("water",LOWER(M906)))),"OIL_WATER",IF(ISNUMBER(SEARCH("gas",LOWER(M906))),"GAS",IF(ISNUMBER(SEARCH("water",LOWER(M906))),"WATER",IF(ISNUMBER(SEARCH("oil",LOWER(M906))),"OIL","UNKNOWN")))))))</f>
        <v/>
      </c>
      <c r="R906" s="12">
        <f>IF(C906="","",C906)</f>
        <v/>
      </c>
      <c r="S906" s="12">
        <f>IF(R906="","",R906+IF(O906&lt;&gt;"",O906,IF(H906="",0,H906)))</f>
        <v/>
      </c>
      <c r="T906" s="12">
        <f>IF(R906="","",MAX(Settings!$B$3,Settings!$B$4*IF(O906&lt;&gt;"",O906,IF(H906="",0,H906))))</f>
        <v/>
      </c>
      <c r="U906" s="11">
        <f>IF(AND(C906&lt;&gt;"",M906&lt;&gt;"",OR(H906&lt;&gt;"",O906&lt;&gt;"")),"COMPLETE",IF(OR(C906&lt;&gt;"",M906&lt;&gt;""),"PARTIAL","MISSING"))</f>
        <v/>
      </c>
      <c r="V906" s="11">
        <f>IF(Q906="UNKNOWN","Check fluid description",IF(AND(R906&lt;&gt;"",S906&lt;&gt;""),"Ready for contact screening","Needs TVD + thickness"))</f>
        <v/>
      </c>
    </row>
    <row r="907">
      <c r="A907" s="9" t="n"/>
      <c r="B907" s="9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9" t="n"/>
      <c r="N907" s="9" t="n"/>
      <c r="O907" s="10" t="n"/>
      <c r="P907" s="9" t="n"/>
      <c r="Q907" s="11">
        <f>IF(P907&lt;&gt;"",P907,IF(M907="","UNKNOWN",IF(AND(ISNUMBER(SEARCH("gas",LOWER(M907))),ISNUMBER(SEARCH("water",LOWER(M907)))),"GAS_WATER",IF(AND(ISNUMBER(SEARCH("oil",LOWER(M907))),ISNUMBER(SEARCH("water",LOWER(M907)))),"OIL_WATER",IF(ISNUMBER(SEARCH("gas",LOWER(M907))),"GAS",IF(ISNUMBER(SEARCH("water",LOWER(M907))),"WATER",IF(ISNUMBER(SEARCH("oil",LOWER(M907))),"OIL","UNKNOWN")))))))</f>
        <v/>
      </c>
      <c r="R907" s="12">
        <f>IF(C907="","",C907)</f>
        <v/>
      </c>
      <c r="S907" s="12">
        <f>IF(R907="","",R907+IF(O907&lt;&gt;"",O907,IF(H907="",0,H907)))</f>
        <v/>
      </c>
      <c r="T907" s="12">
        <f>IF(R907="","",MAX(Settings!$B$3,Settings!$B$4*IF(O907&lt;&gt;"",O907,IF(H907="",0,H907))))</f>
        <v/>
      </c>
      <c r="U907" s="11">
        <f>IF(AND(C907&lt;&gt;"",M907&lt;&gt;"",OR(H907&lt;&gt;"",O907&lt;&gt;"")),"COMPLETE",IF(OR(C907&lt;&gt;"",M907&lt;&gt;""),"PARTIAL","MISSING"))</f>
        <v/>
      </c>
      <c r="V907" s="11">
        <f>IF(Q907="UNKNOWN","Check fluid description",IF(AND(R907&lt;&gt;"",S907&lt;&gt;""),"Ready for contact screening","Needs TVD + thickness"))</f>
        <v/>
      </c>
    </row>
    <row r="908">
      <c r="A908" s="9" t="n"/>
      <c r="B908" s="9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9" t="n"/>
      <c r="N908" s="9" t="n"/>
      <c r="O908" s="10" t="n"/>
      <c r="P908" s="9" t="n"/>
      <c r="Q908" s="11">
        <f>IF(P908&lt;&gt;"",P908,IF(M908="","UNKNOWN",IF(AND(ISNUMBER(SEARCH("gas",LOWER(M908))),ISNUMBER(SEARCH("water",LOWER(M908)))),"GAS_WATER",IF(AND(ISNUMBER(SEARCH("oil",LOWER(M908))),ISNUMBER(SEARCH("water",LOWER(M908)))),"OIL_WATER",IF(ISNUMBER(SEARCH("gas",LOWER(M908))),"GAS",IF(ISNUMBER(SEARCH("water",LOWER(M908))),"WATER",IF(ISNUMBER(SEARCH("oil",LOWER(M908))),"OIL","UNKNOWN")))))))</f>
        <v/>
      </c>
      <c r="R908" s="12">
        <f>IF(C908="","",C908)</f>
        <v/>
      </c>
      <c r="S908" s="12">
        <f>IF(R908="","",R908+IF(O908&lt;&gt;"",O908,IF(H908="",0,H908)))</f>
        <v/>
      </c>
      <c r="T908" s="12">
        <f>IF(R908="","",MAX(Settings!$B$3,Settings!$B$4*IF(O908&lt;&gt;"",O908,IF(H908="",0,H908))))</f>
        <v/>
      </c>
      <c r="U908" s="11">
        <f>IF(AND(C908&lt;&gt;"",M908&lt;&gt;"",OR(H908&lt;&gt;"",O908&lt;&gt;"")),"COMPLETE",IF(OR(C908&lt;&gt;"",M908&lt;&gt;""),"PARTIAL","MISSING"))</f>
        <v/>
      </c>
      <c r="V908" s="11">
        <f>IF(Q908="UNKNOWN","Check fluid description",IF(AND(R908&lt;&gt;"",S908&lt;&gt;""),"Ready for contact screening","Needs TVD + thickness"))</f>
        <v/>
      </c>
    </row>
    <row r="909">
      <c r="A909" s="9" t="n"/>
      <c r="B909" s="9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9" t="n"/>
      <c r="N909" s="9" t="n"/>
      <c r="O909" s="10" t="n"/>
      <c r="P909" s="9" t="n"/>
      <c r="Q909" s="11">
        <f>IF(P909&lt;&gt;"",P909,IF(M909="","UNKNOWN",IF(AND(ISNUMBER(SEARCH("gas",LOWER(M909))),ISNUMBER(SEARCH("water",LOWER(M909)))),"GAS_WATER",IF(AND(ISNUMBER(SEARCH("oil",LOWER(M909))),ISNUMBER(SEARCH("water",LOWER(M909)))),"OIL_WATER",IF(ISNUMBER(SEARCH("gas",LOWER(M909))),"GAS",IF(ISNUMBER(SEARCH("water",LOWER(M909))),"WATER",IF(ISNUMBER(SEARCH("oil",LOWER(M909))),"OIL","UNKNOWN")))))))</f>
        <v/>
      </c>
      <c r="R909" s="12">
        <f>IF(C909="","",C909)</f>
        <v/>
      </c>
      <c r="S909" s="12">
        <f>IF(R909="","",R909+IF(O909&lt;&gt;"",O909,IF(H909="",0,H909)))</f>
        <v/>
      </c>
      <c r="T909" s="12">
        <f>IF(R909="","",MAX(Settings!$B$3,Settings!$B$4*IF(O909&lt;&gt;"",O909,IF(H909="",0,H909))))</f>
        <v/>
      </c>
      <c r="U909" s="11">
        <f>IF(AND(C909&lt;&gt;"",M909&lt;&gt;"",OR(H909&lt;&gt;"",O909&lt;&gt;"")),"COMPLETE",IF(OR(C909&lt;&gt;"",M909&lt;&gt;""),"PARTIAL","MISSING"))</f>
        <v/>
      </c>
      <c r="V909" s="11">
        <f>IF(Q909="UNKNOWN","Check fluid description",IF(AND(R909&lt;&gt;"",S909&lt;&gt;""),"Ready for contact screening","Needs TVD + thickness"))</f>
        <v/>
      </c>
    </row>
    <row r="910">
      <c r="A910" s="9" t="n"/>
      <c r="B910" s="9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9" t="n"/>
      <c r="N910" s="9" t="n"/>
      <c r="O910" s="10" t="n"/>
      <c r="P910" s="9" t="n"/>
      <c r="Q910" s="11">
        <f>IF(P910&lt;&gt;"",P910,IF(M910="","UNKNOWN",IF(AND(ISNUMBER(SEARCH("gas",LOWER(M910))),ISNUMBER(SEARCH("water",LOWER(M910)))),"GAS_WATER",IF(AND(ISNUMBER(SEARCH("oil",LOWER(M910))),ISNUMBER(SEARCH("water",LOWER(M910)))),"OIL_WATER",IF(ISNUMBER(SEARCH("gas",LOWER(M910))),"GAS",IF(ISNUMBER(SEARCH("water",LOWER(M910))),"WATER",IF(ISNUMBER(SEARCH("oil",LOWER(M910))),"OIL","UNKNOWN")))))))</f>
        <v/>
      </c>
      <c r="R910" s="12">
        <f>IF(C910="","",C910)</f>
        <v/>
      </c>
      <c r="S910" s="12">
        <f>IF(R910="","",R910+IF(O910&lt;&gt;"",O910,IF(H910="",0,H910)))</f>
        <v/>
      </c>
      <c r="T910" s="12">
        <f>IF(R910="","",MAX(Settings!$B$3,Settings!$B$4*IF(O910&lt;&gt;"",O910,IF(H910="",0,H910))))</f>
        <v/>
      </c>
      <c r="U910" s="11">
        <f>IF(AND(C910&lt;&gt;"",M910&lt;&gt;"",OR(H910&lt;&gt;"",O910&lt;&gt;"")),"COMPLETE",IF(OR(C910&lt;&gt;"",M910&lt;&gt;""),"PARTIAL","MISSING"))</f>
        <v/>
      </c>
      <c r="V910" s="11">
        <f>IF(Q910="UNKNOWN","Check fluid description",IF(AND(R910&lt;&gt;"",S910&lt;&gt;""),"Ready for contact screening","Needs TVD + thickness"))</f>
        <v/>
      </c>
    </row>
    <row r="911">
      <c r="A911" s="9" t="n"/>
      <c r="B911" s="9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9" t="n"/>
      <c r="N911" s="9" t="n"/>
      <c r="O911" s="10" t="n"/>
      <c r="P911" s="9" t="n"/>
      <c r="Q911" s="11">
        <f>IF(P911&lt;&gt;"",P911,IF(M911="","UNKNOWN",IF(AND(ISNUMBER(SEARCH("gas",LOWER(M911))),ISNUMBER(SEARCH("water",LOWER(M911)))),"GAS_WATER",IF(AND(ISNUMBER(SEARCH("oil",LOWER(M911))),ISNUMBER(SEARCH("water",LOWER(M911)))),"OIL_WATER",IF(ISNUMBER(SEARCH("gas",LOWER(M911))),"GAS",IF(ISNUMBER(SEARCH("water",LOWER(M911))),"WATER",IF(ISNUMBER(SEARCH("oil",LOWER(M911))),"OIL","UNKNOWN")))))))</f>
        <v/>
      </c>
      <c r="R911" s="12">
        <f>IF(C911="","",C911)</f>
        <v/>
      </c>
      <c r="S911" s="12">
        <f>IF(R911="","",R911+IF(O911&lt;&gt;"",O911,IF(H911="",0,H911)))</f>
        <v/>
      </c>
      <c r="T911" s="12">
        <f>IF(R911="","",MAX(Settings!$B$3,Settings!$B$4*IF(O911&lt;&gt;"",O911,IF(H911="",0,H911))))</f>
        <v/>
      </c>
      <c r="U911" s="11">
        <f>IF(AND(C911&lt;&gt;"",M911&lt;&gt;"",OR(H911&lt;&gt;"",O911&lt;&gt;"")),"COMPLETE",IF(OR(C911&lt;&gt;"",M911&lt;&gt;""),"PARTIAL","MISSING"))</f>
        <v/>
      </c>
      <c r="V911" s="11">
        <f>IF(Q911="UNKNOWN","Check fluid description",IF(AND(R911&lt;&gt;"",S911&lt;&gt;""),"Ready for contact screening","Needs TVD + thickness"))</f>
        <v/>
      </c>
    </row>
    <row r="912">
      <c r="A912" s="9" t="n"/>
      <c r="B912" s="9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9" t="n"/>
      <c r="N912" s="9" t="n"/>
      <c r="O912" s="10" t="n"/>
      <c r="P912" s="9" t="n"/>
      <c r="Q912" s="11">
        <f>IF(P912&lt;&gt;"",P912,IF(M912="","UNKNOWN",IF(AND(ISNUMBER(SEARCH("gas",LOWER(M912))),ISNUMBER(SEARCH("water",LOWER(M912)))),"GAS_WATER",IF(AND(ISNUMBER(SEARCH("oil",LOWER(M912))),ISNUMBER(SEARCH("water",LOWER(M912)))),"OIL_WATER",IF(ISNUMBER(SEARCH("gas",LOWER(M912))),"GAS",IF(ISNUMBER(SEARCH("water",LOWER(M912))),"WATER",IF(ISNUMBER(SEARCH("oil",LOWER(M912))),"OIL","UNKNOWN")))))))</f>
        <v/>
      </c>
      <c r="R912" s="12">
        <f>IF(C912="","",C912)</f>
        <v/>
      </c>
      <c r="S912" s="12">
        <f>IF(R912="","",R912+IF(O912&lt;&gt;"",O912,IF(H912="",0,H912)))</f>
        <v/>
      </c>
      <c r="T912" s="12">
        <f>IF(R912="","",MAX(Settings!$B$3,Settings!$B$4*IF(O912&lt;&gt;"",O912,IF(H912="",0,H912))))</f>
        <v/>
      </c>
      <c r="U912" s="11">
        <f>IF(AND(C912&lt;&gt;"",M912&lt;&gt;"",OR(H912&lt;&gt;"",O912&lt;&gt;"")),"COMPLETE",IF(OR(C912&lt;&gt;"",M912&lt;&gt;""),"PARTIAL","MISSING"))</f>
        <v/>
      </c>
      <c r="V912" s="11">
        <f>IF(Q912="UNKNOWN","Check fluid description",IF(AND(R912&lt;&gt;"",S912&lt;&gt;""),"Ready for contact screening","Needs TVD + thickness"))</f>
        <v/>
      </c>
    </row>
    <row r="913">
      <c r="A913" s="9" t="n"/>
      <c r="B913" s="9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9" t="n"/>
      <c r="N913" s="9" t="n"/>
      <c r="O913" s="10" t="n"/>
      <c r="P913" s="9" t="n"/>
      <c r="Q913" s="11">
        <f>IF(P913&lt;&gt;"",P913,IF(M913="","UNKNOWN",IF(AND(ISNUMBER(SEARCH("gas",LOWER(M913))),ISNUMBER(SEARCH("water",LOWER(M913)))),"GAS_WATER",IF(AND(ISNUMBER(SEARCH("oil",LOWER(M913))),ISNUMBER(SEARCH("water",LOWER(M913)))),"OIL_WATER",IF(ISNUMBER(SEARCH("gas",LOWER(M913))),"GAS",IF(ISNUMBER(SEARCH("water",LOWER(M913))),"WATER",IF(ISNUMBER(SEARCH("oil",LOWER(M913))),"OIL","UNKNOWN")))))))</f>
        <v/>
      </c>
      <c r="R913" s="12">
        <f>IF(C913="","",C913)</f>
        <v/>
      </c>
      <c r="S913" s="12">
        <f>IF(R913="","",R913+IF(O913&lt;&gt;"",O913,IF(H913="",0,H913)))</f>
        <v/>
      </c>
      <c r="T913" s="12">
        <f>IF(R913="","",MAX(Settings!$B$3,Settings!$B$4*IF(O913&lt;&gt;"",O913,IF(H913="",0,H913))))</f>
        <v/>
      </c>
      <c r="U913" s="11">
        <f>IF(AND(C913&lt;&gt;"",M913&lt;&gt;"",OR(H913&lt;&gt;"",O913&lt;&gt;"")),"COMPLETE",IF(OR(C913&lt;&gt;"",M913&lt;&gt;""),"PARTIAL","MISSING"))</f>
        <v/>
      </c>
      <c r="V913" s="11">
        <f>IF(Q913="UNKNOWN","Check fluid description",IF(AND(R913&lt;&gt;"",S913&lt;&gt;""),"Ready for contact screening","Needs TVD + thickness"))</f>
        <v/>
      </c>
    </row>
    <row r="914">
      <c r="A914" s="9" t="n"/>
      <c r="B914" s="9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9" t="n"/>
      <c r="N914" s="9" t="n"/>
      <c r="O914" s="10" t="n"/>
      <c r="P914" s="9" t="n"/>
      <c r="Q914" s="11">
        <f>IF(P914&lt;&gt;"",P914,IF(M914="","UNKNOWN",IF(AND(ISNUMBER(SEARCH("gas",LOWER(M914))),ISNUMBER(SEARCH("water",LOWER(M914)))),"GAS_WATER",IF(AND(ISNUMBER(SEARCH("oil",LOWER(M914))),ISNUMBER(SEARCH("water",LOWER(M914)))),"OIL_WATER",IF(ISNUMBER(SEARCH("gas",LOWER(M914))),"GAS",IF(ISNUMBER(SEARCH("water",LOWER(M914))),"WATER",IF(ISNUMBER(SEARCH("oil",LOWER(M914))),"OIL","UNKNOWN")))))))</f>
        <v/>
      </c>
      <c r="R914" s="12">
        <f>IF(C914="","",C914)</f>
        <v/>
      </c>
      <c r="S914" s="12">
        <f>IF(R914="","",R914+IF(O914&lt;&gt;"",O914,IF(H914="",0,H914)))</f>
        <v/>
      </c>
      <c r="T914" s="12">
        <f>IF(R914="","",MAX(Settings!$B$3,Settings!$B$4*IF(O914&lt;&gt;"",O914,IF(H914="",0,H914))))</f>
        <v/>
      </c>
      <c r="U914" s="11">
        <f>IF(AND(C914&lt;&gt;"",M914&lt;&gt;"",OR(H914&lt;&gt;"",O914&lt;&gt;"")),"COMPLETE",IF(OR(C914&lt;&gt;"",M914&lt;&gt;""),"PARTIAL","MISSING"))</f>
        <v/>
      </c>
      <c r="V914" s="11">
        <f>IF(Q914="UNKNOWN","Check fluid description",IF(AND(R914&lt;&gt;"",S914&lt;&gt;""),"Ready for contact screening","Needs TVD + thickness"))</f>
        <v/>
      </c>
    </row>
    <row r="915">
      <c r="A915" s="9" t="n"/>
      <c r="B915" s="9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9" t="n"/>
      <c r="N915" s="9" t="n"/>
      <c r="O915" s="10" t="n"/>
      <c r="P915" s="9" t="n"/>
      <c r="Q915" s="11">
        <f>IF(P915&lt;&gt;"",P915,IF(M915="","UNKNOWN",IF(AND(ISNUMBER(SEARCH("gas",LOWER(M915))),ISNUMBER(SEARCH("water",LOWER(M915)))),"GAS_WATER",IF(AND(ISNUMBER(SEARCH("oil",LOWER(M915))),ISNUMBER(SEARCH("water",LOWER(M915)))),"OIL_WATER",IF(ISNUMBER(SEARCH("gas",LOWER(M915))),"GAS",IF(ISNUMBER(SEARCH("water",LOWER(M915))),"WATER",IF(ISNUMBER(SEARCH("oil",LOWER(M915))),"OIL","UNKNOWN")))))))</f>
        <v/>
      </c>
      <c r="R915" s="12">
        <f>IF(C915="","",C915)</f>
        <v/>
      </c>
      <c r="S915" s="12">
        <f>IF(R915="","",R915+IF(O915&lt;&gt;"",O915,IF(H915="",0,H915)))</f>
        <v/>
      </c>
      <c r="T915" s="12">
        <f>IF(R915="","",MAX(Settings!$B$3,Settings!$B$4*IF(O915&lt;&gt;"",O915,IF(H915="",0,H915))))</f>
        <v/>
      </c>
      <c r="U915" s="11">
        <f>IF(AND(C915&lt;&gt;"",M915&lt;&gt;"",OR(H915&lt;&gt;"",O915&lt;&gt;"")),"COMPLETE",IF(OR(C915&lt;&gt;"",M915&lt;&gt;""),"PARTIAL","MISSING"))</f>
        <v/>
      </c>
      <c r="V915" s="11">
        <f>IF(Q915="UNKNOWN","Check fluid description",IF(AND(R915&lt;&gt;"",S915&lt;&gt;""),"Ready for contact screening","Needs TVD + thickness"))</f>
        <v/>
      </c>
    </row>
    <row r="916">
      <c r="A916" s="9" t="n"/>
      <c r="B916" s="9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9" t="n"/>
      <c r="N916" s="9" t="n"/>
      <c r="O916" s="10" t="n"/>
      <c r="P916" s="9" t="n"/>
      <c r="Q916" s="11">
        <f>IF(P916&lt;&gt;"",P916,IF(M916="","UNKNOWN",IF(AND(ISNUMBER(SEARCH("gas",LOWER(M916))),ISNUMBER(SEARCH("water",LOWER(M916)))),"GAS_WATER",IF(AND(ISNUMBER(SEARCH("oil",LOWER(M916))),ISNUMBER(SEARCH("water",LOWER(M916)))),"OIL_WATER",IF(ISNUMBER(SEARCH("gas",LOWER(M916))),"GAS",IF(ISNUMBER(SEARCH("water",LOWER(M916))),"WATER",IF(ISNUMBER(SEARCH("oil",LOWER(M916))),"OIL","UNKNOWN")))))))</f>
        <v/>
      </c>
      <c r="R916" s="12">
        <f>IF(C916="","",C916)</f>
        <v/>
      </c>
      <c r="S916" s="12">
        <f>IF(R916="","",R916+IF(O916&lt;&gt;"",O916,IF(H916="",0,H916)))</f>
        <v/>
      </c>
      <c r="T916" s="12">
        <f>IF(R916="","",MAX(Settings!$B$3,Settings!$B$4*IF(O916&lt;&gt;"",O916,IF(H916="",0,H916))))</f>
        <v/>
      </c>
      <c r="U916" s="11">
        <f>IF(AND(C916&lt;&gt;"",M916&lt;&gt;"",OR(H916&lt;&gt;"",O916&lt;&gt;"")),"COMPLETE",IF(OR(C916&lt;&gt;"",M916&lt;&gt;""),"PARTIAL","MISSING"))</f>
        <v/>
      </c>
      <c r="V916" s="11">
        <f>IF(Q916="UNKNOWN","Check fluid description",IF(AND(R916&lt;&gt;"",S916&lt;&gt;""),"Ready for contact screening","Needs TVD + thickness"))</f>
        <v/>
      </c>
    </row>
    <row r="917">
      <c r="A917" s="9" t="n"/>
      <c r="B917" s="9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9" t="n"/>
      <c r="N917" s="9" t="n"/>
      <c r="O917" s="10" t="n"/>
      <c r="P917" s="9" t="n"/>
      <c r="Q917" s="11">
        <f>IF(P917&lt;&gt;"",P917,IF(M917="","UNKNOWN",IF(AND(ISNUMBER(SEARCH("gas",LOWER(M917))),ISNUMBER(SEARCH("water",LOWER(M917)))),"GAS_WATER",IF(AND(ISNUMBER(SEARCH("oil",LOWER(M917))),ISNUMBER(SEARCH("water",LOWER(M917)))),"OIL_WATER",IF(ISNUMBER(SEARCH("gas",LOWER(M917))),"GAS",IF(ISNUMBER(SEARCH("water",LOWER(M917))),"WATER",IF(ISNUMBER(SEARCH("oil",LOWER(M917))),"OIL","UNKNOWN")))))))</f>
        <v/>
      </c>
      <c r="R917" s="12">
        <f>IF(C917="","",C917)</f>
        <v/>
      </c>
      <c r="S917" s="12">
        <f>IF(R917="","",R917+IF(O917&lt;&gt;"",O917,IF(H917="",0,H917)))</f>
        <v/>
      </c>
      <c r="T917" s="12">
        <f>IF(R917="","",MAX(Settings!$B$3,Settings!$B$4*IF(O917&lt;&gt;"",O917,IF(H917="",0,H917))))</f>
        <v/>
      </c>
      <c r="U917" s="11">
        <f>IF(AND(C917&lt;&gt;"",M917&lt;&gt;"",OR(H917&lt;&gt;"",O917&lt;&gt;"")),"COMPLETE",IF(OR(C917&lt;&gt;"",M917&lt;&gt;""),"PARTIAL","MISSING"))</f>
        <v/>
      </c>
      <c r="V917" s="11">
        <f>IF(Q917="UNKNOWN","Check fluid description",IF(AND(R917&lt;&gt;"",S917&lt;&gt;""),"Ready for contact screening","Needs TVD + thickness"))</f>
        <v/>
      </c>
    </row>
    <row r="918">
      <c r="A918" s="9" t="n"/>
      <c r="B918" s="9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9" t="n"/>
      <c r="N918" s="9" t="n"/>
      <c r="O918" s="10" t="n"/>
      <c r="P918" s="9" t="n"/>
      <c r="Q918" s="11">
        <f>IF(P918&lt;&gt;"",P918,IF(M918="","UNKNOWN",IF(AND(ISNUMBER(SEARCH("gas",LOWER(M918))),ISNUMBER(SEARCH("water",LOWER(M918)))),"GAS_WATER",IF(AND(ISNUMBER(SEARCH("oil",LOWER(M918))),ISNUMBER(SEARCH("water",LOWER(M918)))),"OIL_WATER",IF(ISNUMBER(SEARCH("gas",LOWER(M918))),"GAS",IF(ISNUMBER(SEARCH("water",LOWER(M918))),"WATER",IF(ISNUMBER(SEARCH("oil",LOWER(M918))),"OIL","UNKNOWN")))))))</f>
        <v/>
      </c>
      <c r="R918" s="12">
        <f>IF(C918="","",C918)</f>
        <v/>
      </c>
      <c r="S918" s="12">
        <f>IF(R918="","",R918+IF(O918&lt;&gt;"",O918,IF(H918="",0,H918)))</f>
        <v/>
      </c>
      <c r="T918" s="12">
        <f>IF(R918="","",MAX(Settings!$B$3,Settings!$B$4*IF(O918&lt;&gt;"",O918,IF(H918="",0,H918))))</f>
        <v/>
      </c>
      <c r="U918" s="11">
        <f>IF(AND(C918&lt;&gt;"",M918&lt;&gt;"",OR(H918&lt;&gt;"",O918&lt;&gt;"")),"COMPLETE",IF(OR(C918&lt;&gt;"",M918&lt;&gt;""),"PARTIAL","MISSING"))</f>
        <v/>
      </c>
      <c r="V918" s="11">
        <f>IF(Q918="UNKNOWN","Check fluid description",IF(AND(R918&lt;&gt;"",S918&lt;&gt;""),"Ready for contact screening","Needs TVD + thickness"))</f>
        <v/>
      </c>
    </row>
    <row r="919">
      <c r="A919" s="9" t="n"/>
      <c r="B919" s="9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9" t="n"/>
      <c r="N919" s="9" t="n"/>
      <c r="O919" s="10" t="n"/>
      <c r="P919" s="9" t="n"/>
      <c r="Q919" s="11">
        <f>IF(P919&lt;&gt;"",P919,IF(M919="","UNKNOWN",IF(AND(ISNUMBER(SEARCH("gas",LOWER(M919))),ISNUMBER(SEARCH("water",LOWER(M919)))),"GAS_WATER",IF(AND(ISNUMBER(SEARCH("oil",LOWER(M919))),ISNUMBER(SEARCH("water",LOWER(M919)))),"OIL_WATER",IF(ISNUMBER(SEARCH("gas",LOWER(M919))),"GAS",IF(ISNUMBER(SEARCH("water",LOWER(M919))),"WATER",IF(ISNUMBER(SEARCH("oil",LOWER(M919))),"OIL","UNKNOWN")))))))</f>
        <v/>
      </c>
      <c r="R919" s="12">
        <f>IF(C919="","",C919)</f>
        <v/>
      </c>
      <c r="S919" s="12">
        <f>IF(R919="","",R919+IF(O919&lt;&gt;"",O919,IF(H919="",0,H919)))</f>
        <v/>
      </c>
      <c r="T919" s="12">
        <f>IF(R919="","",MAX(Settings!$B$3,Settings!$B$4*IF(O919&lt;&gt;"",O919,IF(H919="",0,H919))))</f>
        <v/>
      </c>
      <c r="U919" s="11">
        <f>IF(AND(C919&lt;&gt;"",M919&lt;&gt;"",OR(H919&lt;&gt;"",O919&lt;&gt;"")),"COMPLETE",IF(OR(C919&lt;&gt;"",M919&lt;&gt;""),"PARTIAL","MISSING"))</f>
        <v/>
      </c>
      <c r="V919" s="11">
        <f>IF(Q919="UNKNOWN","Check fluid description",IF(AND(R919&lt;&gt;"",S919&lt;&gt;""),"Ready for contact screening","Needs TVD + thickness"))</f>
        <v/>
      </c>
    </row>
    <row r="920">
      <c r="A920" s="9" t="n"/>
      <c r="B920" s="9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9" t="n"/>
      <c r="N920" s="9" t="n"/>
      <c r="O920" s="10" t="n"/>
      <c r="P920" s="9" t="n"/>
      <c r="Q920" s="11">
        <f>IF(P920&lt;&gt;"",P920,IF(M920="","UNKNOWN",IF(AND(ISNUMBER(SEARCH("gas",LOWER(M920))),ISNUMBER(SEARCH("water",LOWER(M920)))),"GAS_WATER",IF(AND(ISNUMBER(SEARCH("oil",LOWER(M920))),ISNUMBER(SEARCH("water",LOWER(M920)))),"OIL_WATER",IF(ISNUMBER(SEARCH("gas",LOWER(M920))),"GAS",IF(ISNUMBER(SEARCH("water",LOWER(M920))),"WATER",IF(ISNUMBER(SEARCH("oil",LOWER(M920))),"OIL","UNKNOWN")))))))</f>
        <v/>
      </c>
      <c r="R920" s="12">
        <f>IF(C920="","",C920)</f>
        <v/>
      </c>
      <c r="S920" s="12">
        <f>IF(R920="","",R920+IF(O920&lt;&gt;"",O920,IF(H920="",0,H920)))</f>
        <v/>
      </c>
      <c r="T920" s="12">
        <f>IF(R920="","",MAX(Settings!$B$3,Settings!$B$4*IF(O920&lt;&gt;"",O920,IF(H920="",0,H920))))</f>
        <v/>
      </c>
      <c r="U920" s="11">
        <f>IF(AND(C920&lt;&gt;"",M920&lt;&gt;"",OR(H920&lt;&gt;"",O920&lt;&gt;"")),"COMPLETE",IF(OR(C920&lt;&gt;"",M920&lt;&gt;""),"PARTIAL","MISSING"))</f>
        <v/>
      </c>
      <c r="V920" s="11">
        <f>IF(Q920="UNKNOWN","Check fluid description",IF(AND(R920&lt;&gt;"",S920&lt;&gt;""),"Ready for contact screening","Needs TVD + thickness"))</f>
        <v/>
      </c>
    </row>
    <row r="921">
      <c r="A921" s="9" t="n"/>
      <c r="B921" s="9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9" t="n"/>
      <c r="N921" s="9" t="n"/>
      <c r="O921" s="10" t="n"/>
      <c r="P921" s="9" t="n"/>
      <c r="Q921" s="11">
        <f>IF(P921&lt;&gt;"",P921,IF(M921="","UNKNOWN",IF(AND(ISNUMBER(SEARCH("gas",LOWER(M921))),ISNUMBER(SEARCH("water",LOWER(M921)))),"GAS_WATER",IF(AND(ISNUMBER(SEARCH("oil",LOWER(M921))),ISNUMBER(SEARCH("water",LOWER(M921)))),"OIL_WATER",IF(ISNUMBER(SEARCH("gas",LOWER(M921))),"GAS",IF(ISNUMBER(SEARCH("water",LOWER(M921))),"WATER",IF(ISNUMBER(SEARCH("oil",LOWER(M921))),"OIL","UNKNOWN")))))))</f>
        <v/>
      </c>
      <c r="R921" s="12">
        <f>IF(C921="","",C921)</f>
        <v/>
      </c>
      <c r="S921" s="12">
        <f>IF(R921="","",R921+IF(O921&lt;&gt;"",O921,IF(H921="",0,H921)))</f>
        <v/>
      </c>
      <c r="T921" s="12">
        <f>IF(R921="","",MAX(Settings!$B$3,Settings!$B$4*IF(O921&lt;&gt;"",O921,IF(H921="",0,H921))))</f>
        <v/>
      </c>
      <c r="U921" s="11">
        <f>IF(AND(C921&lt;&gt;"",M921&lt;&gt;"",OR(H921&lt;&gt;"",O921&lt;&gt;"")),"COMPLETE",IF(OR(C921&lt;&gt;"",M921&lt;&gt;""),"PARTIAL","MISSING"))</f>
        <v/>
      </c>
      <c r="V921" s="11">
        <f>IF(Q921="UNKNOWN","Check fluid description",IF(AND(R921&lt;&gt;"",S921&lt;&gt;""),"Ready for contact screening","Needs TVD + thickness"))</f>
        <v/>
      </c>
    </row>
    <row r="922">
      <c r="A922" s="9" t="n"/>
      <c r="B922" s="9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9" t="n"/>
      <c r="N922" s="9" t="n"/>
      <c r="O922" s="10" t="n"/>
      <c r="P922" s="9" t="n"/>
      <c r="Q922" s="11">
        <f>IF(P922&lt;&gt;"",P922,IF(M922="","UNKNOWN",IF(AND(ISNUMBER(SEARCH("gas",LOWER(M922))),ISNUMBER(SEARCH("water",LOWER(M922)))),"GAS_WATER",IF(AND(ISNUMBER(SEARCH("oil",LOWER(M922))),ISNUMBER(SEARCH("water",LOWER(M922)))),"OIL_WATER",IF(ISNUMBER(SEARCH("gas",LOWER(M922))),"GAS",IF(ISNUMBER(SEARCH("water",LOWER(M922))),"WATER",IF(ISNUMBER(SEARCH("oil",LOWER(M922))),"OIL","UNKNOWN")))))))</f>
        <v/>
      </c>
      <c r="R922" s="12">
        <f>IF(C922="","",C922)</f>
        <v/>
      </c>
      <c r="S922" s="12">
        <f>IF(R922="","",R922+IF(O922&lt;&gt;"",O922,IF(H922="",0,H922)))</f>
        <v/>
      </c>
      <c r="T922" s="12">
        <f>IF(R922="","",MAX(Settings!$B$3,Settings!$B$4*IF(O922&lt;&gt;"",O922,IF(H922="",0,H922))))</f>
        <v/>
      </c>
      <c r="U922" s="11">
        <f>IF(AND(C922&lt;&gt;"",M922&lt;&gt;"",OR(H922&lt;&gt;"",O922&lt;&gt;"")),"COMPLETE",IF(OR(C922&lt;&gt;"",M922&lt;&gt;""),"PARTIAL","MISSING"))</f>
        <v/>
      </c>
      <c r="V922" s="11">
        <f>IF(Q922="UNKNOWN","Check fluid description",IF(AND(R922&lt;&gt;"",S922&lt;&gt;""),"Ready for contact screening","Needs TVD + thickness"))</f>
        <v/>
      </c>
    </row>
    <row r="923">
      <c r="A923" s="9" t="n"/>
      <c r="B923" s="9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9" t="n"/>
      <c r="N923" s="9" t="n"/>
      <c r="O923" s="10" t="n"/>
      <c r="P923" s="9" t="n"/>
      <c r="Q923" s="11">
        <f>IF(P923&lt;&gt;"",P923,IF(M923="","UNKNOWN",IF(AND(ISNUMBER(SEARCH("gas",LOWER(M923))),ISNUMBER(SEARCH("water",LOWER(M923)))),"GAS_WATER",IF(AND(ISNUMBER(SEARCH("oil",LOWER(M923))),ISNUMBER(SEARCH("water",LOWER(M923)))),"OIL_WATER",IF(ISNUMBER(SEARCH("gas",LOWER(M923))),"GAS",IF(ISNUMBER(SEARCH("water",LOWER(M923))),"WATER",IF(ISNUMBER(SEARCH("oil",LOWER(M923))),"OIL","UNKNOWN")))))))</f>
        <v/>
      </c>
      <c r="R923" s="12">
        <f>IF(C923="","",C923)</f>
        <v/>
      </c>
      <c r="S923" s="12">
        <f>IF(R923="","",R923+IF(O923&lt;&gt;"",O923,IF(H923="",0,H923)))</f>
        <v/>
      </c>
      <c r="T923" s="12">
        <f>IF(R923="","",MAX(Settings!$B$3,Settings!$B$4*IF(O923&lt;&gt;"",O923,IF(H923="",0,H923))))</f>
        <v/>
      </c>
      <c r="U923" s="11">
        <f>IF(AND(C923&lt;&gt;"",M923&lt;&gt;"",OR(H923&lt;&gt;"",O923&lt;&gt;"")),"COMPLETE",IF(OR(C923&lt;&gt;"",M923&lt;&gt;""),"PARTIAL","MISSING"))</f>
        <v/>
      </c>
      <c r="V923" s="11">
        <f>IF(Q923="UNKNOWN","Check fluid description",IF(AND(R923&lt;&gt;"",S923&lt;&gt;""),"Ready for contact screening","Needs TVD + thickness"))</f>
        <v/>
      </c>
    </row>
    <row r="924">
      <c r="A924" s="9" t="n"/>
      <c r="B924" s="9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9" t="n"/>
      <c r="N924" s="9" t="n"/>
      <c r="O924" s="10" t="n"/>
      <c r="P924" s="9" t="n"/>
      <c r="Q924" s="11">
        <f>IF(P924&lt;&gt;"",P924,IF(M924="","UNKNOWN",IF(AND(ISNUMBER(SEARCH("gas",LOWER(M924))),ISNUMBER(SEARCH("water",LOWER(M924)))),"GAS_WATER",IF(AND(ISNUMBER(SEARCH("oil",LOWER(M924))),ISNUMBER(SEARCH("water",LOWER(M924)))),"OIL_WATER",IF(ISNUMBER(SEARCH("gas",LOWER(M924))),"GAS",IF(ISNUMBER(SEARCH("water",LOWER(M924))),"WATER",IF(ISNUMBER(SEARCH("oil",LOWER(M924))),"OIL","UNKNOWN")))))))</f>
        <v/>
      </c>
      <c r="R924" s="12">
        <f>IF(C924="","",C924)</f>
        <v/>
      </c>
      <c r="S924" s="12">
        <f>IF(R924="","",R924+IF(O924&lt;&gt;"",O924,IF(H924="",0,H924)))</f>
        <v/>
      </c>
      <c r="T924" s="12">
        <f>IF(R924="","",MAX(Settings!$B$3,Settings!$B$4*IF(O924&lt;&gt;"",O924,IF(H924="",0,H924))))</f>
        <v/>
      </c>
      <c r="U924" s="11">
        <f>IF(AND(C924&lt;&gt;"",M924&lt;&gt;"",OR(H924&lt;&gt;"",O924&lt;&gt;"")),"COMPLETE",IF(OR(C924&lt;&gt;"",M924&lt;&gt;""),"PARTIAL","MISSING"))</f>
        <v/>
      </c>
      <c r="V924" s="11">
        <f>IF(Q924="UNKNOWN","Check fluid description",IF(AND(R924&lt;&gt;"",S924&lt;&gt;""),"Ready for contact screening","Needs TVD + thickness"))</f>
        <v/>
      </c>
    </row>
    <row r="925">
      <c r="A925" s="9" t="n"/>
      <c r="B925" s="9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9" t="n"/>
      <c r="N925" s="9" t="n"/>
      <c r="O925" s="10" t="n"/>
      <c r="P925" s="9" t="n"/>
      <c r="Q925" s="11">
        <f>IF(P925&lt;&gt;"",P925,IF(M925="","UNKNOWN",IF(AND(ISNUMBER(SEARCH("gas",LOWER(M925))),ISNUMBER(SEARCH("water",LOWER(M925)))),"GAS_WATER",IF(AND(ISNUMBER(SEARCH("oil",LOWER(M925))),ISNUMBER(SEARCH("water",LOWER(M925)))),"OIL_WATER",IF(ISNUMBER(SEARCH("gas",LOWER(M925))),"GAS",IF(ISNUMBER(SEARCH("water",LOWER(M925))),"WATER",IF(ISNUMBER(SEARCH("oil",LOWER(M925))),"OIL","UNKNOWN")))))))</f>
        <v/>
      </c>
      <c r="R925" s="12">
        <f>IF(C925="","",C925)</f>
        <v/>
      </c>
      <c r="S925" s="12">
        <f>IF(R925="","",R925+IF(O925&lt;&gt;"",O925,IF(H925="",0,H925)))</f>
        <v/>
      </c>
      <c r="T925" s="12">
        <f>IF(R925="","",MAX(Settings!$B$3,Settings!$B$4*IF(O925&lt;&gt;"",O925,IF(H925="",0,H925))))</f>
        <v/>
      </c>
      <c r="U925" s="11">
        <f>IF(AND(C925&lt;&gt;"",M925&lt;&gt;"",OR(H925&lt;&gt;"",O925&lt;&gt;"")),"COMPLETE",IF(OR(C925&lt;&gt;"",M925&lt;&gt;""),"PARTIAL","MISSING"))</f>
        <v/>
      </c>
      <c r="V925" s="11">
        <f>IF(Q925="UNKNOWN","Check fluid description",IF(AND(R925&lt;&gt;"",S925&lt;&gt;""),"Ready for contact screening","Needs TVD + thickness"))</f>
        <v/>
      </c>
    </row>
    <row r="926">
      <c r="A926" s="9" t="n"/>
      <c r="B926" s="9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9" t="n"/>
      <c r="N926" s="9" t="n"/>
      <c r="O926" s="10" t="n"/>
      <c r="P926" s="9" t="n"/>
      <c r="Q926" s="11">
        <f>IF(P926&lt;&gt;"",P926,IF(M926="","UNKNOWN",IF(AND(ISNUMBER(SEARCH("gas",LOWER(M926))),ISNUMBER(SEARCH("water",LOWER(M926)))),"GAS_WATER",IF(AND(ISNUMBER(SEARCH("oil",LOWER(M926))),ISNUMBER(SEARCH("water",LOWER(M926)))),"OIL_WATER",IF(ISNUMBER(SEARCH("gas",LOWER(M926))),"GAS",IF(ISNUMBER(SEARCH("water",LOWER(M926))),"WATER",IF(ISNUMBER(SEARCH("oil",LOWER(M926))),"OIL","UNKNOWN")))))))</f>
        <v/>
      </c>
      <c r="R926" s="12">
        <f>IF(C926="","",C926)</f>
        <v/>
      </c>
      <c r="S926" s="12">
        <f>IF(R926="","",R926+IF(O926&lt;&gt;"",O926,IF(H926="",0,H926)))</f>
        <v/>
      </c>
      <c r="T926" s="12">
        <f>IF(R926="","",MAX(Settings!$B$3,Settings!$B$4*IF(O926&lt;&gt;"",O926,IF(H926="",0,H926))))</f>
        <v/>
      </c>
      <c r="U926" s="11">
        <f>IF(AND(C926&lt;&gt;"",M926&lt;&gt;"",OR(H926&lt;&gt;"",O926&lt;&gt;"")),"COMPLETE",IF(OR(C926&lt;&gt;"",M926&lt;&gt;""),"PARTIAL","MISSING"))</f>
        <v/>
      </c>
      <c r="V926" s="11">
        <f>IF(Q926="UNKNOWN","Check fluid description",IF(AND(R926&lt;&gt;"",S926&lt;&gt;""),"Ready for contact screening","Needs TVD + thickness"))</f>
        <v/>
      </c>
    </row>
    <row r="927">
      <c r="A927" s="9" t="n"/>
      <c r="B927" s="9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9" t="n"/>
      <c r="N927" s="9" t="n"/>
      <c r="O927" s="10" t="n"/>
      <c r="P927" s="9" t="n"/>
      <c r="Q927" s="11">
        <f>IF(P927&lt;&gt;"",P927,IF(M927="","UNKNOWN",IF(AND(ISNUMBER(SEARCH("gas",LOWER(M927))),ISNUMBER(SEARCH("water",LOWER(M927)))),"GAS_WATER",IF(AND(ISNUMBER(SEARCH("oil",LOWER(M927))),ISNUMBER(SEARCH("water",LOWER(M927)))),"OIL_WATER",IF(ISNUMBER(SEARCH("gas",LOWER(M927))),"GAS",IF(ISNUMBER(SEARCH("water",LOWER(M927))),"WATER",IF(ISNUMBER(SEARCH("oil",LOWER(M927))),"OIL","UNKNOWN")))))))</f>
        <v/>
      </c>
      <c r="R927" s="12">
        <f>IF(C927="","",C927)</f>
        <v/>
      </c>
      <c r="S927" s="12">
        <f>IF(R927="","",R927+IF(O927&lt;&gt;"",O927,IF(H927="",0,H927)))</f>
        <v/>
      </c>
      <c r="T927" s="12">
        <f>IF(R927="","",MAX(Settings!$B$3,Settings!$B$4*IF(O927&lt;&gt;"",O927,IF(H927="",0,H927))))</f>
        <v/>
      </c>
      <c r="U927" s="11">
        <f>IF(AND(C927&lt;&gt;"",M927&lt;&gt;"",OR(H927&lt;&gt;"",O927&lt;&gt;"")),"COMPLETE",IF(OR(C927&lt;&gt;"",M927&lt;&gt;""),"PARTIAL","MISSING"))</f>
        <v/>
      </c>
      <c r="V927" s="11">
        <f>IF(Q927="UNKNOWN","Check fluid description",IF(AND(R927&lt;&gt;"",S927&lt;&gt;""),"Ready for contact screening","Needs TVD + thickness"))</f>
        <v/>
      </c>
    </row>
    <row r="928">
      <c r="A928" s="9" t="n"/>
      <c r="B928" s="9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9" t="n"/>
      <c r="N928" s="9" t="n"/>
      <c r="O928" s="10" t="n"/>
      <c r="P928" s="9" t="n"/>
      <c r="Q928" s="11">
        <f>IF(P928&lt;&gt;"",P928,IF(M928="","UNKNOWN",IF(AND(ISNUMBER(SEARCH("gas",LOWER(M928))),ISNUMBER(SEARCH("water",LOWER(M928)))),"GAS_WATER",IF(AND(ISNUMBER(SEARCH("oil",LOWER(M928))),ISNUMBER(SEARCH("water",LOWER(M928)))),"OIL_WATER",IF(ISNUMBER(SEARCH("gas",LOWER(M928))),"GAS",IF(ISNUMBER(SEARCH("water",LOWER(M928))),"WATER",IF(ISNUMBER(SEARCH("oil",LOWER(M928))),"OIL","UNKNOWN")))))))</f>
        <v/>
      </c>
      <c r="R928" s="12">
        <f>IF(C928="","",C928)</f>
        <v/>
      </c>
      <c r="S928" s="12">
        <f>IF(R928="","",R928+IF(O928&lt;&gt;"",O928,IF(H928="",0,H928)))</f>
        <v/>
      </c>
      <c r="T928" s="12">
        <f>IF(R928="","",MAX(Settings!$B$3,Settings!$B$4*IF(O928&lt;&gt;"",O928,IF(H928="",0,H928))))</f>
        <v/>
      </c>
      <c r="U928" s="11">
        <f>IF(AND(C928&lt;&gt;"",M928&lt;&gt;"",OR(H928&lt;&gt;"",O928&lt;&gt;"")),"COMPLETE",IF(OR(C928&lt;&gt;"",M928&lt;&gt;""),"PARTIAL","MISSING"))</f>
        <v/>
      </c>
      <c r="V928" s="11">
        <f>IF(Q928="UNKNOWN","Check fluid description",IF(AND(R928&lt;&gt;"",S928&lt;&gt;""),"Ready for contact screening","Needs TVD + thickness"))</f>
        <v/>
      </c>
    </row>
    <row r="929">
      <c r="A929" s="9" t="n"/>
      <c r="B929" s="9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9" t="n"/>
      <c r="N929" s="9" t="n"/>
      <c r="O929" s="10" t="n"/>
      <c r="P929" s="9" t="n"/>
      <c r="Q929" s="11">
        <f>IF(P929&lt;&gt;"",P929,IF(M929="","UNKNOWN",IF(AND(ISNUMBER(SEARCH("gas",LOWER(M929))),ISNUMBER(SEARCH("water",LOWER(M929)))),"GAS_WATER",IF(AND(ISNUMBER(SEARCH("oil",LOWER(M929))),ISNUMBER(SEARCH("water",LOWER(M929)))),"OIL_WATER",IF(ISNUMBER(SEARCH("gas",LOWER(M929))),"GAS",IF(ISNUMBER(SEARCH("water",LOWER(M929))),"WATER",IF(ISNUMBER(SEARCH("oil",LOWER(M929))),"OIL","UNKNOWN")))))))</f>
        <v/>
      </c>
      <c r="R929" s="12">
        <f>IF(C929="","",C929)</f>
        <v/>
      </c>
      <c r="S929" s="12">
        <f>IF(R929="","",R929+IF(O929&lt;&gt;"",O929,IF(H929="",0,H929)))</f>
        <v/>
      </c>
      <c r="T929" s="12">
        <f>IF(R929="","",MAX(Settings!$B$3,Settings!$B$4*IF(O929&lt;&gt;"",O929,IF(H929="",0,H929))))</f>
        <v/>
      </c>
      <c r="U929" s="11">
        <f>IF(AND(C929&lt;&gt;"",M929&lt;&gt;"",OR(H929&lt;&gt;"",O929&lt;&gt;"")),"COMPLETE",IF(OR(C929&lt;&gt;"",M929&lt;&gt;""),"PARTIAL","MISSING"))</f>
        <v/>
      </c>
      <c r="V929" s="11">
        <f>IF(Q929="UNKNOWN","Check fluid description",IF(AND(R929&lt;&gt;"",S929&lt;&gt;""),"Ready for contact screening","Needs TVD + thickness"))</f>
        <v/>
      </c>
    </row>
    <row r="930">
      <c r="A930" s="9" t="n"/>
      <c r="B930" s="9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9" t="n"/>
      <c r="N930" s="9" t="n"/>
      <c r="O930" s="10" t="n"/>
      <c r="P930" s="9" t="n"/>
      <c r="Q930" s="11">
        <f>IF(P930&lt;&gt;"",P930,IF(M930="","UNKNOWN",IF(AND(ISNUMBER(SEARCH("gas",LOWER(M930))),ISNUMBER(SEARCH("water",LOWER(M930)))),"GAS_WATER",IF(AND(ISNUMBER(SEARCH("oil",LOWER(M930))),ISNUMBER(SEARCH("water",LOWER(M930)))),"OIL_WATER",IF(ISNUMBER(SEARCH("gas",LOWER(M930))),"GAS",IF(ISNUMBER(SEARCH("water",LOWER(M930))),"WATER",IF(ISNUMBER(SEARCH("oil",LOWER(M930))),"OIL","UNKNOWN")))))))</f>
        <v/>
      </c>
      <c r="R930" s="12">
        <f>IF(C930="","",C930)</f>
        <v/>
      </c>
      <c r="S930" s="12">
        <f>IF(R930="","",R930+IF(O930&lt;&gt;"",O930,IF(H930="",0,H930)))</f>
        <v/>
      </c>
      <c r="T930" s="12">
        <f>IF(R930="","",MAX(Settings!$B$3,Settings!$B$4*IF(O930&lt;&gt;"",O930,IF(H930="",0,H930))))</f>
        <v/>
      </c>
      <c r="U930" s="11">
        <f>IF(AND(C930&lt;&gt;"",M930&lt;&gt;"",OR(H930&lt;&gt;"",O930&lt;&gt;"")),"COMPLETE",IF(OR(C930&lt;&gt;"",M930&lt;&gt;""),"PARTIAL","MISSING"))</f>
        <v/>
      </c>
      <c r="V930" s="11">
        <f>IF(Q930="UNKNOWN","Check fluid description",IF(AND(R930&lt;&gt;"",S930&lt;&gt;""),"Ready for contact screening","Needs TVD + thickness"))</f>
        <v/>
      </c>
    </row>
    <row r="931">
      <c r="A931" s="9" t="n"/>
      <c r="B931" s="9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9" t="n"/>
      <c r="N931" s="9" t="n"/>
      <c r="O931" s="10" t="n"/>
      <c r="P931" s="9" t="n"/>
      <c r="Q931" s="11">
        <f>IF(P931&lt;&gt;"",P931,IF(M931="","UNKNOWN",IF(AND(ISNUMBER(SEARCH("gas",LOWER(M931))),ISNUMBER(SEARCH("water",LOWER(M931)))),"GAS_WATER",IF(AND(ISNUMBER(SEARCH("oil",LOWER(M931))),ISNUMBER(SEARCH("water",LOWER(M931)))),"OIL_WATER",IF(ISNUMBER(SEARCH("gas",LOWER(M931))),"GAS",IF(ISNUMBER(SEARCH("water",LOWER(M931))),"WATER",IF(ISNUMBER(SEARCH("oil",LOWER(M931))),"OIL","UNKNOWN")))))))</f>
        <v/>
      </c>
      <c r="R931" s="12">
        <f>IF(C931="","",C931)</f>
        <v/>
      </c>
      <c r="S931" s="12">
        <f>IF(R931="","",R931+IF(O931&lt;&gt;"",O931,IF(H931="",0,H931)))</f>
        <v/>
      </c>
      <c r="T931" s="12">
        <f>IF(R931="","",MAX(Settings!$B$3,Settings!$B$4*IF(O931&lt;&gt;"",O931,IF(H931="",0,H931))))</f>
        <v/>
      </c>
      <c r="U931" s="11">
        <f>IF(AND(C931&lt;&gt;"",M931&lt;&gt;"",OR(H931&lt;&gt;"",O931&lt;&gt;"")),"COMPLETE",IF(OR(C931&lt;&gt;"",M931&lt;&gt;""),"PARTIAL","MISSING"))</f>
        <v/>
      </c>
      <c r="V931" s="11">
        <f>IF(Q931="UNKNOWN","Check fluid description",IF(AND(R931&lt;&gt;"",S931&lt;&gt;""),"Ready for contact screening","Needs TVD + thickness"))</f>
        <v/>
      </c>
    </row>
    <row r="932">
      <c r="A932" s="9" t="n"/>
      <c r="B932" s="9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9" t="n"/>
      <c r="N932" s="9" t="n"/>
      <c r="O932" s="10" t="n"/>
      <c r="P932" s="9" t="n"/>
      <c r="Q932" s="11">
        <f>IF(P932&lt;&gt;"",P932,IF(M932="","UNKNOWN",IF(AND(ISNUMBER(SEARCH("gas",LOWER(M932))),ISNUMBER(SEARCH("water",LOWER(M932)))),"GAS_WATER",IF(AND(ISNUMBER(SEARCH("oil",LOWER(M932))),ISNUMBER(SEARCH("water",LOWER(M932)))),"OIL_WATER",IF(ISNUMBER(SEARCH("gas",LOWER(M932))),"GAS",IF(ISNUMBER(SEARCH("water",LOWER(M932))),"WATER",IF(ISNUMBER(SEARCH("oil",LOWER(M932))),"OIL","UNKNOWN")))))))</f>
        <v/>
      </c>
      <c r="R932" s="12">
        <f>IF(C932="","",C932)</f>
        <v/>
      </c>
      <c r="S932" s="12">
        <f>IF(R932="","",R932+IF(O932&lt;&gt;"",O932,IF(H932="",0,H932)))</f>
        <v/>
      </c>
      <c r="T932" s="12">
        <f>IF(R932="","",MAX(Settings!$B$3,Settings!$B$4*IF(O932&lt;&gt;"",O932,IF(H932="",0,H932))))</f>
        <v/>
      </c>
      <c r="U932" s="11">
        <f>IF(AND(C932&lt;&gt;"",M932&lt;&gt;"",OR(H932&lt;&gt;"",O932&lt;&gt;"")),"COMPLETE",IF(OR(C932&lt;&gt;"",M932&lt;&gt;""),"PARTIAL","MISSING"))</f>
        <v/>
      </c>
      <c r="V932" s="11">
        <f>IF(Q932="UNKNOWN","Check fluid description",IF(AND(R932&lt;&gt;"",S932&lt;&gt;""),"Ready for contact screening","Needs TVD + thickness"))</f>
        <v/>
      </c>
    </row>
    <row r="933">
      <c r="A933" s="9" t="n"/>
      <c r="B933" s="9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9" t="n"/>
      <c r="N933" s="9" t="n"/>
      <c r="O933" s="10" t="n"/>
      <c r="P933" s="9" t="n"/>
      <c r="Q933" s="11">
        <f>IF(P933&lt;&gt;"",P933,IF(M933="","UNKNOWN",IF(AND(ISNUMBER(SEARCH("gas",LOWER(M933))),ISNUMBER(SEARCH("water",LOWER(M933)))),"GAS_WATER",IF(AND(ISNUMBER(SEARCH("oil",LOWER(M933))),ISNUMBER(SEARCH("water",LOWER(M933)))),"OIL_WATER",IF(ISNUMBER(SEARCH("gas",LOWER(M933))),"GAS",IF(ISNUMBER(SEARCH("water",LOWER(M933))),"WATER",IF(ISNUMBER(SEARCH("oil",LOWER(M933))),"OIL","UNKNOWN")))))))</f>
        <v/>
      </c>
      <c r="R933" s="12">
        <f>IF(C933="","",C933)</f>
        <v/>
      </c>
      <c r="S933" s="12">
        <f>IF(R933="","",R933+IF(O933&lt;&gt;"",O933,IF(H933="",0,H933)))</f>
        <v/>
      </c>
      <c r="T933" s="12">
        <f>IF(R933="","",MAX(Settings!$B$3,Settings!$B$4*IF(O933&lt;&gt;"",O933,IF(H933="",0,H933))))</f>
        <v/>
      </c>
      <c r="U933" s="11">
        <f>IF(AND(C933&lt;&gt;"",M933&lt;&gt;"",OR(H933&lt;&gt;"",O933&lt;&gt;"")),"COMPLETE",IF(OR(C933&lt;&gt;"",M933&lt;&gt;""),"PARTIAL","MISSING"))</f>
        <v/>
      </c>
      <c r="V933" s="11">
        <f>IF(Q933="UNKNOWN","Check fluid description",IF(AND(R933&lt;&gt;"",S933&lt;&gt;""),"Ready for contact screening","Needs TVD + thickness"))</f>
        <v/>
      </c>
    </row>
    <row r="934">
      <c r="A934" s="9" t="n"/>
      <c r="B934" s="9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9" t="n"/>
      <c r="N934" s="9" t="n"/>
      <c r="O934" s="10" t="n"/>
      <c r="P934" s="9" t="n"/>
      <c r="Q934" s="11">
        <f>IF(P934&lt;&gt;"",P934,IF(M934="","UNKNOWN",IF(AND(ISNUMBER(SEARCH("gas",LOWER(M934))),ISNUMBER(SEARCH("water",LOWER(M934)))),"GAS_WATER",IF(AND(ISNUMBER(SEARCH("oil",LOWER(M934))),ISNUMBER(SEARCH("water",LOWER(M934)))),"OIL_WATER",IF(ISNUMBER(SEARCH("gas",LOWER(M934))),"GAS",IF(ISNUMBER(SEARCH("water",LOWER(M934))),"WATER",IF(ISNUMBER(SEARCH("oil",LOWER(M934))),"OIL","UNKNOWN")))))))</f>
        <v/>
      </c>
      <c r="R934" s="12">
        <f>IF(C934="","",C934)</f>
        <v/>
      </c>
      <c r="S934" s="12">
        <f>IF(R934="","",R934+IF(O934&lt;&gt;"",O934,IF(H934="",0,H934)))</f>
        <v/>
      </c>
      <c r="T934" s="12">
        <f>IF(R934="","",MAX(Settings!$B$3,Settings!$B$4*IF(O934&lt;&gt;"",O934,IF(H934="",0,H934))))</f>
        <v/>
      </c>
      <c r="U934" s="11">
        <f>IF(AND(C934&lt;&gt;"",M934&lt;&gt;"",OR(H934&lt;&gt;"",O934&lt;&gt;"")),"COMPLETE",IF(OR(C934&lt;&gt;"",M934&lt;&gt;""),"PARTIAL","MISSING"))</f>
        <v/>
      </c>
      <c r="V934" s="11">
        <f>IF(Q934="UNKNOWN","Check fluid description",IF(AND(R934&lt;&gt;"",S934&lt;&gt;""),"Ready for contact screening","Needs TVD + thickness"))</f>
        <v/>
      </c>
    </row>
    <row r="935">
      <c r="A935" s="9" t="n"/>
      <c r="B935" s="9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9" t="n"/>
      <c r="N935" s="9" t="n"/>
      <c r="O935" s="10" t="n"/>
      <c r="P935" s="9" t="n"/>
      <c r="Q935" s="11">
        <f>IF(P935&lt;&gt;"",P935,IF(M935="","UNKNOWN",IF(AND(ISNUMBER(SEARCH("gas",LOWER(M935))),ISNUMBER(SEARCH("water",LOWER(M935)))),"GAS_WATER",IF(AND(ISNUMBER(SEARCH("oil",LOWER(M935))),ISNUMBER(SEARCH("water",LOWER(M935)))),"OIL_WATER",IF(ISNUMBER(SEARCH("gas",LOWER(M935))),"GAS",IF(ISNUMBER(SEARCH("water",LOWER(M935))),"WATER",IF(ISNUMBER(SEARCH("oil",LOWER(M935))),"OIL","UNKNOWN")))))))</f>
        <v/>
      </c>
      <c r="R935" s="12">
        <f>IF(C935="","",C935)</f>
        <v/>
      </c>
      <c r="S935" s="12">
        <f>IF(R935="","",R935+IF(O935&lt;&gt;"",O935,IF(H935="",0,H935)))</f>
        <v/>
      </c>
      <c r="T935" s="12">
        <f>IF(R935="","",MAX(Settings!$B$3,Settings!$B$4*IF(O935&lt;&gt;"",O935,IF(H935="",0,H935))))</f>
        <v/>
      </c>
      <c r="U935" s="11">
        <f>IF(AND(C935&lt;&gt;"",M935&lt;&gt;"",OR(H935&lt;&gt;"",O935&lt;&gt;"")),"COMPLETE",IF(OR(C935&lt;&gt;"",M935&lt;&gt;""),"PARTIAL","MISSING"))</f>
        <v/>
      </c>
      <c r="V935" s="11">
        <f>IF(Q935="UNKNOWN","Check fluid description",IF(AND(R935&lt;&gt;"",S935&lt;&gt;""),"Ready for contact screening","Needs TVD + thickness"))</f>
        <v/>
      </c>
    </row>
    <row r="936">
      <c r="A936" s="9" t="n"/>
      <c r="B936" s="9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9" t="n"/>
      <c r="N936" s="9" t="n"/>
      <c r="O936" s="10" t="n"/>
      <c r="P936" s="9" t="n"/>
      <c r="Q936" s="11">
        <f>IF(P936&lt;&gt;"",P936,IF(M936="","UNKNOWN",IF(AND(ISNUMBER(SEARCH("gas",LOWER(M936))),ISNUMBER(SEARCH("water",LOWER(M936)))),"GAS_WATER",IF(AND(ISNUMBER(SEARCH("oil",LOWER(M936))),ISNUMBER(SEARCH("water",LOWER(M936)))),"OIL_WATER",IF(ISNUMBER(SEARCH("gas",LOWER(M936))),"GAS",IF(ISNUMBER(SEARCH("water",LOWER(M936))),"WATER",IF(ISNUMBER(SEARCH("oil",LOWER(M936))),"OIL","UNKNOWN")))))))</f>
        <v/>
      </c>
      <c r="R936" s="12">
        <f>IF(C936="","",C936)</f>
        <v/>
      </c>
      <c r="S936" s="12">
        <f>IF(R936="","",R936+IF(O936&lt;&gt;"",O936,IF(H936="",0,H936)))</f>
        <v/>
      </c>
      <c r="T936" s="12">
        <f>IF(R936="","",MAX(Settings!$B$3,Settings!$B$4*IF(O936&lt;&gt;"",O936,IF(H936="",0,H936))))</f>
        <v/>
      </c>
      <c r="U936" s="11">
        <f>IF(AND(C936&lt;&gt;"",M936&lt;&gt;"",OR(H936&lt;&gt;"",O936&lt;&gt;"")),"COMPLETE",IF(OR(C936&lt;&gt;"",M936&lt;&gt;""),"PARTIAL","MISSING"))</f>
        <v/>
      </c>
      <c r="V936" s="11">
        <f>IF(Q936="UNKNOWN","Check fluid description",IF(AND(R936&lt;&gt;"",S936&lt;&gt;""),"Ready for contact screening","Needs TVD + thickness"))</f>
        <v/>
      </c>
    </row>
    <row r="937">
      <c r="A937" s="9" t="n"/>
      <c r="B937" s="9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9" t="n"/>
      <c r="N937" s="9" t="n"/>
      <c r="O937" s="10" t="n"/>
      <c r="P937" s="9" t="n"/>
      <c r="Q937" s="11">
        <f>IF(P937&lt;&gt;"",P937,IF(M937="","UNKNOWN",IF(AND(ISNUMBER(SEARCH("gas",LOWER(M937))),ISNUMBER(SEARCH("water",LOWER(M937)))),"GAS_WATER",IF(AND(ISNUMBER(SEARCH("oil",LOWER(M937))),ISNUMBER(SEARCH("water",LOWER(M937)))),"OIL_WATER",IF(ISNUMBER(SEARCH("gas",LOWER(M937))),"GAS",IF(ISNUMBER(SEARCH("water",LOWER(M937))),"WATER",IF(ISNUMBER(SEARCH("oil",LOWER(M937))),"OIL","UNKNOWN")))))))</f>
        <v/>
      </c>
      <c r="R937" s="12">
        <f>IF(C937="","",C937)</f>
        <v/>
      </c>
      <c r="S937" s="12">
        <f>IF(R937="","",R937+IF(O937&lt;&gt;"",O937,IF(H937="",0,H937)))</f>
        <v/>
      </c>
      <c r="T937" s="12">
        <f>IF(R937="","",MAX(Settings!$B$3,Settings!$B$4*IF(O937&lt;&gt;"",O937,IF(H937="",0,H937))))</f>
        <v/>
      </c>
      <c r="U937" s="11">
        <f>IF(AND(C937&lt;&gt;"",M937&lt;&gt;"",OR(H937&lt;&gt;"",O937&lt;&gt;"")),"COMPLETE",IF(OR(C937&lt;&gt;"",M937&lt;&gt;""),"PARTIAL","MISSING"))</f>
        <v/>
      </c>
      <c r="V937" s="11">
        <f>IF(Q937="UNKNOWN","Check fluid description",IF(AND(R937&lt;&gt;"",S937&lt;&gt;""),"Ready for contact screening","Needs TVD + thickness"))</f>
        <v/>
      </c>
    </row>
    <row r="938">
      <c r="A938" s="9" t="n"/>
      <c r="B938" s="9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9" t="n"/>
      <c r="N938" s="9" t="n"/>
      <c r="O938" s="10" t="n"/>
      <c r="P938" s="9" t="n"/>
      <c r="Q938" s="11">
        <f>IF(P938&lt;&gt;"",P938,IF(M938="","UNKNOWN",IF(AND(ISNUMBER(SEARCH("gas",LOWER(M938))),ISNUMBER(SEARCH("water",LOWER(M938)))),"GAS_WATER",IF(AND(ISNUMBER(SEARCH("oil",LOWER(M938))),ISNUMBER(SEARCH("water",LOWER(M938)))),"OIL_WATER",IF(ISNUMBER(SEARCH("gas",LOWER(M938))),"GAS",IF(ISNUMBER(SEARCH("water",LOWER(M938))),"WATER",IF(ISNUMBER(SEARCH("oil",LOWER(M938))),"OIL","UNKNOWN")))))))</f>
        <v/>
      </c>
      <c r="R938" s="12">
        <f>IF(C938="","",C938)</f>
        <v/>
      </c>
      <c r="S938" s="12">
        <f>IF(R938="","",R938+IF(O938&lt;&gt;"",O938,IF(H938="",0,H938)))</f>
        <v/>
      </c>
      <c r="T938" s="12">
        <f>IF(R938="","",MAX(Settings!$B$3,Settings!$B$4*IF(O938&lt;&gt;"",O938,IF(H938="",0,H938))))</f>
        <v/>
      </c>
      <c r="U938" s="11">
        <f>IF(AND(C938&lt;&gt;"",M938&lt;&gt;"",OR(H938&lt;&gt;"",O938&lt;&gt;"")),"COMPLETE",IF(OR(C938&lt;&gt;"",M938&lt;&gt;""),"PARTIAL","MISSING"))</f>
        <v/>
      </c>
      <c r="V938" s="11">
        <f>IF(Q938="UNKNOWN","Check fluid description",IF(AND(R938&lt;&gt;"",S938&lt;&gt;""),"Ready for contact screening","Needs TVD + thickness"))</f>
        <v/>
      </c>
    </row>
    <row r="939">
      <c r="A939" s="9" t="n"/>
      <c r="B939" s="9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9" t="n"/>
      <c r="N939" s="9" t="n"/>
      <c r="O939" s="10" t="n"/>
      <c r="P939" s="9" t="n"/>
      <c r="Q939" s="11">
        <f>IF(P939&lt;&gt;"",P939,IF(M939="","UNKNOWN",IF(AND(ISNUMBER(SEARCH("gas",LOWER(M939))),ISNUMBER(SEARCH("water",LOWER(M939)))),"GAS_WATER",IF(AND(ISNUMBER(SEARCH("oil",LOWER(M939))),ISNUMBER(SEARCH("water",LOWER(M939)))),"OIL_WATER",IF(ISNUMBER(SEARCH("gas",LOWER(M939))),"GAS",IF(ISNUMBER(SEARCH("water",LOWER(M939))),"WATER",IF(ISNUMBER(SEARCH("oil",LOWER(M939))),"OIL","UNKNOWN")))))))</f>
        <v/>
      </c>
      <c r="R939" s="12">
        <f>IF(C939="","",C939)</f>
        <v/>
      </c>
      <c r="S939" s="12">
        <f>IF(R939="","",R939+IF(O939&lt;&gt;"",O939,IF(H939="",0,H939)))</f>
        <v/>
      </c>
      <c r="T939" s="12">
        <f>IF(R939="","",MAX(Settings!$B$3,Settings!$B$4*IF(O939&lt;&gt;"",O939,IF(H939="",0,H939))))</f>
        <v/>
      </c>
      <c r="U939" s="11">
        <f>IF(AND(C939&lt;&gt;"",M939&lt;&gt;"",OR(H939&lt;&gt;"",O939&lt;&gt;"")),"COMPLETE",IF(OR(C939&lt;&gt;"",M939&lt;&gt;""),"PARTIAL","MISSING"))</f>
        <v/>
      </c>
      <c r="V939" s="11">
        <f>IF(Q939="UNKNOWN","Check fluid description",IF(AND(R939&lt;&gt;"",S939&lt;&gt;""),"Ready for contact screening","Needs TVD + thickness"))</f>
        <v/>
      </c>
    </row>
    <row r="940">
      <c r="A940" s="9" t="n"/>
      <c r="B940" s="9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9" t="n"/>
      <c r="N940" s="9" t="n"/>
      <c r="O940" s="10" t="n"/>
      <c r="P940" s="9" t="n"/>
      <c r="Q940" s="11">
        <f>IF(P940&lt;&gt;"",P940,IF(M940="","UNKNOWN",IF(AND(ISNUMBER(SEARCH("gas",LOWER(M940))),ISNUMBER(SEARCH("water",LOWER(M940)))),"GAS_WATER",IF(AND(ISNUMBER(SEARCH("oil",LOWER(M940))),ISNUMBER(SEARCH("water",LOWER(M940)))),"OIL_WATER",IF(ISNUMBER(SEARCH("gas",LOWER(M940))),"GAS",IF(ISNUMBER(SEARCH("water",LOWER(M940))),"WATER",IF(ISNUMBER(SEARCH("oil",LOWER(M940))),"OIL","UNKNOWN")))))))</f>
        <v/>
      </c>
      <c r="R940" s="12">
        <f>IF(C940="","",C940)</f>
        <v/>
      </c>
      <c r="S940" s="12">
        <f>IF(R940="","",R940+IF(O940&lt;&gt;"",O940,IF(H940="",0,H940)))</f>
        <v/>
      </c>
      <c r="T940" s="12">
        <f>IF(R940="","",MAX(Settings!$B$3,Settings!$B$4*IF(O940&lt;&gt;"",O940,IF(H940="",0,H940))))</f>
        <v/>
      </c>
      <c r="U940" s="11">
        <f>IF(AND(C940&lt;&gt;"",M940&lt;&gt;"",OR(H940&lt;&gt;"",O940&lt;&gt;"")),"COMPLETE",IF(OR(C940&lt;&gt;"",M940&lt;&gt;""),"PARTIAL","MISSING"))</f>
        <v/>
      </c>
      <c r="V940" s="11">
        <f>IF(Q940="UNKNOWN","Check fluid description",IF(AND(R940&lt;&gt;"",S940&lt;&gt;""),"Ready for contact screening","Needs TVD + thickness"))</f>
        <v/>
      </c>
    </row>
    <row r="941">
      <c r="A941" s="9" t="n"/>
      <c r="B941" s="9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9" t="n"/>
      <c r="N941" s="9" t="n"/>
      <c r="O941" s="10" t="n"/>
      <c r="P941" s="9" t="n"/>
      <c r="Q941" s="11">
        <f>IF(P941&lt;&gt;"",P941,IF(M941="","UNKNOWN",IF(AND(ISNUMBER(SEARCH("gas",LOWER(M941))),ISNUMBER(SEARCH("water",LOWER(M941)))),"GAS_WATER",IF(AND(ISNUMBER(SEARCH("oil",LOWER(M941))),ISNUMBER(SEARCH("water",LOWER(M941)))),"OIL_WATER",IF(ISNUMBER(SEARCH("gas",LOWER(M941))),"GAS",IF(ISNUMBER(SEARCH("water",LOWER(M941))),"WATER",IF(ISNUMBER(SEARCH("oil",LOWER(M941))),"OIL","UNKNOWN")))))))</f>
        <v/>
      </c>
      <c r="R941" s="12">
        <f>IF(C941="","",C941)</f>
        <v/>
      </c>
      <c r="S941" s="12">
        <f>IF(R941="","",R941+IF(O941&lt;&gt;"",O941,IF(H941="",0,H941)))</f>
        <v/>
      </c>
      <c r="T941" s="12">
        <f>IF(R941="","",MAX(Settings!$B$3,Settings!$B$4*IF(O941&lt;&gt;"",O941,IF(H941="",0,H941))))</f>
        <v/>
      </c>
      <c r="U941" s="11">
        <f>IF(AND(C941&lt;&gt;"",M941&lt;&gt;"",OR(H941&lt;&gt;"",O941&lt;&gt;"")),"COMPLETE",IF(OR(C941&lt;&gt;"",M941&lt;&gt;""),"PARTIAL","MISSING"))</f>
        <v/>
      </c>
      <c r="V941" s="11">
        <f>IF(Q941="UNKNOWN","Check fluid description",IF(AND(R941&lt;&gt;"",S941&lt;&gt;""),"Ready for contact screening","Needs TVD + thickness"))</f>
        <v/>
      </c>
    </row>
    <row r="942">
      <c r="A942" s="9" t="n"/>
      <c r="B942" s="9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9" t="n"/>
      <c r="N942" s="9" t="n"/>
      <c r="O942" s="10" t="n"/>
      <c r="P942" s="9" t="n"/>
      <c r="Q942" s="11">
        <f>IF(P942&lt;&gt;"",P942,IF(M942="","UNKNOWN",IF(AND(ISNUMBER(SEARCH("gas",LOWER(M942))),ISNUMBER(SEARCH("water",LOWER(M942)))),"GAS_WATER",IF(AND(ISNUMBER(SEARCH("oil",LOWER(M942))),ISNUMBER(SEARCH("water",LOWER(M942)))),"OIL_WATER",IF(ISNUMBER(SEARCH("gas",LOWER(M942))),"GAS",IF(ISNUMBER(SEARCH("water",LOWER(M942))),"WATER",IF(ISNUMBER(SEARCH("oil",LOWER(M942))),"OIL","UNKNOWN")))))))</f>
        <v/>
      </c>
      <c r="R942" s="12">
        <f>IF(C942="","",C942)</f>
        <v/>
      </c>
      <c r="S942" s="12">
        <f>IF(R942="","",R942+IF(O942&lt;&gt;"",O942,IF(H942="",0,H942)))</f>
        <v/>
      </c>
      <c r="T942" s="12">
        <f>IF(R942="","",MAX(Settings!$B$3,Settings!$B$4*IF(O942&lt;&gt;"",O942,IF(H942="",0,H942))))</f>
        <v/>
      </c>
      <c r="U942" s="11">
        <f>IF(AND(C942&lt;&gt;"",M942&lt;&gt;"",OR(H942&lt;&gt;"",O942&lt;&gt;"")),"COMPLETE",IF(OR(C942&lt;&gt;"",M942&lt;&gt;""),"PARTIAL","MISSING"))</f>
        <v/>
      </c>
      <c r="V942" s="11">
        <f>IF(Q942="UNKNOWN","Check fluid description",IF(AND(R942&lt;&gt;"",S942&lt;&gt;""),"Ready for contact screening","Needs TVD + thickness"))</f>
        <v/>
      </c>
    </row>
    <row r="943">
      <c r="A943" s="9" t="n"/>
      <c r="B943" s="9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9" t="n"/>
      <c r="N943" s="9" t="n"/>
      <c r="O943" s="10" t="n"/>
      <c r="P943" s="9" t="n"/>
      <c r="Q943" s="11">
        <f>IF(P943&lt;&gt;"",P943,IF(M943="","UNKNOWN",IF(AND(ISNUMBER(SEARCH("gas",LOWER(M943))),ISNUMBER(SEARCH("water",LOWER(M943)))),"GAS_WATER",IF(AND(ISNUMBER(SEARCH("oil",LOWER(M943))),ISNUMBER(SEARCH("water",LOWER(M943)))),"OIL_WATER",IF(ISNUMBER(SEARCH("gas",LOWER(M943))),"GAS",IF(ISNUMBER(SEARCH("water",LOWER(M943))),"WATER",IF(ISNUMBER(SEARCH("oil",LOWER(M943))),"OIL","UNKNOWN")))))))</f>
        <v/>
      </c>
      <c r="R943" s="12">
        <f>IF(C943="","",C943)</f>
        <v/>
      </c>
      <c r="S943" s="12">
        <f>IF(R943="","",R943+IF(O943&lt;&gt;"",O943,IF(H943="",0,H943)))</f>
        <v/>
      </c>
      <c r="T943" s="12">
        <f>IF(R943="","",MAX(Settings!$B$3,Settings!$B$4*IF(O943&lt;&gt;"",O943,IF(H943="",0,H943))))</f>
        <v/>
      </c>
      <c r="U943" s="11">
        <f>IF(AND(C943&lt;&gt;"",M943&lt;&gt;"",OR(H943&lt;&gt;"",O943&lt;&gt;"")),"COMPLETE",IF(OR(C943&lt;&gt;"",M943&lt;&gt;""),"PARTIAL","MISSING"))</f>
        <v/>
      </c>
      <c r="V943" s="11">
        <f>IF(Q943="UNKNOWN","Check fluid description",IF(AND(R943&lt;&gt;"",S943&lt;&gt;""),"Ready for contact screening","Needs TVD + thickness"))</f>
        <v/>
      </c>
    </row>
    <row r="944">
      <c r="A944" s="9" t="n"/>
      <c r="B944" s="9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9" t="n"/>
      <c r="N944" s="9" t="n"/>
      <c r="O944" s="10" t="n"/>
      <c r="P944" s="9" t="n"/>
      <c r="Q944" s="11">
        <f>IF(P944&lt;&gt;"",P944,IF(M944="","UNKNOWN",IF(AND(ISNUMBER(SEARCH("gas",LOWER(M944))),ISNUMBER(SEARCH("water",LOWER(M944)))),"GAS_WATER",IF(AND(ISNUMBER(SEARCH("oil",LOWER(M944))),ISNUMBER(SEARCH("water",LOWER(M944)))),"OIL_WATER",IF(ISNUMBER(SEARCH("gas",LOWER(M944))),"GAS",IF(ISNUMBER(SEARCH("water",LOWER(M944))),"WATER",IF(ISNUMBER(SEARCH("oil",LOWER(M944))),"OIL","UNKNOWN")))))))</f>
        <v/>
      </c>
      <c r="R944" s="12">
        <f>IF(C944="","",C944)</f>
        <v/>
      </c>
      <c r="S944" s="12">
        <f>IF(R944="","",R944+IF(O944&lt;&gt;"",O944,IF(H944="",0,H944)))</f>
        <v/>
      </c>
      <c r="T944" s="12">
        <f>IF(R944="","",MAX(Settings!$B$3,Settings!$B$4*IF(O944&lt;&gt;"",O944,IF(H944="",0,H944))))</f>
        <v/>
      </c>
      <c r="U944" s="11">
        <f>IF(AND(C944&lt;&gt;"",M944&lt;&gt;"",OR(H944&lt;&gt;"",O944&lt;&gt;"")),"COMPLETE",IF(OR(C944&lt;&gt;"",M944&lt;&gt;""),"PARTIAL","MISSING"))</f>
        <v/>
      </c>
      <c r="V944" s="11">
        <f>IF(Q944="UNKNOWN","Check fluid description",IF(AND(R944&lt;&gt;"",S944&lt;&gt;""),"Ready for contact screening","Needs TVD + thickness"))</f>
        <v/>
      </c>
    </row>
    <row r="945">
      <c r="A945" s="9" t="n"/>
      <c r="B945" s="9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9" t="n"/>
      <c r="N945" s="9" t="n"/>
      <c r="O945" s="10" t="n"/>
      <c r="P945" s="9" t="n"/>
      <c r="Q945" s="11">
        <f>IF(P945&lt;&gt;"",P945,IF(M945="","UNKNOWN",IF(AND(ISNUMBER(SEARCH("gas",LOWER(M945))),ISNUMBER(SEARCH("water",LOWER(M945)))),"GAS_WATER",IF(AND(ISNUMBER(SEARCH("oil",LOWER(M945))),ISNUMBER(SEARCH("water",LOWER(M945)))),"OIL_WATER",IF(ISNUMBER(SEARCH("gas",LOWER(M945))),"GAS",IF(ISNUMBER(SEARCH("water",LOWER(M945))),"WATER",IF(ISNUMBER(SEARCH("oil",LOWER(M945))),"OIL","UNKNOWN")))))))</f>
        <v/>
      </c>
      <c r="R945" s="12">
        <f>IF(C945="","",C945)</f>
        <v/>
      </c>
      <c r="S945" s="12">
        <f>IF(R945="","",R945+IF(O945&lt;&gt;"",O945,IF(H945="",0,H945)))</f>
        <v/>
      </c>
      <c r="T945" s="12">
        <f>IF(R945="","",MAX(Settings!$B$3,Settings!$B$4*IF(O945&lt;&gt;"",O945,IF(H945="",0,H945))))</f>
        <v/>
      </c>
      <c r="U945" s="11">
        <f>IF(AND(C945&lt;&gt;"",M945&lt;&gt;"",OR(H945&lt;&gt;"",O945&lt;&gt;"")),"COMPLETE",IF(OR(C945&lt;&gt;"",M945&lt;&gt;""),"PARTIAL","MISSING"))</f>
        <v/>
      </c>
      <c r="V945" s="11">
        <f>IF(Q945="UNKNOWN","Check fluid description",IF(AND(R945&lt;&gt;"",S945&lt;&gt;""),"Ready for contact screening","Needs TVD + thickness"))</f>
        <v/>
      </c>
    </row>
    <row r="946">
      <c r="A946" s="9" t="n"/>
      <c r="B946" s="9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9" t="n"/>
      <c r="N946" s="9" t="n"/>
      <c r="O946" s="10" t="n"/>
      <c r="P946" s="9" t="n"/>
      <c r="Q946" s="11">
        <f>IF(P946&lt;&gt;"",P946,IF(M946="","UNKNOWN",IF(AND(ISNUMBER(SEARCH("gas",LOWER(M946))),ISNUMBER(SEARCH("water",LOWER(M946)))),"GAS_WATER",IF(AND(ISNUMBER(SEARCH("oil",LOWER(M946))),ISNUMBER(SEARCH("water",LOWER(M946)))),"OIL_WATER",IF(ISNUMBER(SEARCH("gas",LOWER(M946))),"GAS",IF(ISNUMBER(SEARCH("water",LOWER(M946))),"WATER",IF(ISNUMBER(SEARCH("oil",LOWER(M946))),"OIL","UNKNOWN")))))))</f>
        <v/>
      </c>
      <c r="R946" s="12">
        <f>IF(C946="","",C946)</f>
        <v/>
      </c>
      <c r="S946" s="12">
        <f>IF(R946="","",R946+IF(O946&lt;&gt;"",O946,IF(H946="",0,H946)))</f>
        <v/>
      </c>
      <c r="T946" s="12">
        <f>IF(R946="","",MAX(Settings!$B$3,Settings!$B$4*IF(O946&lt;&gt;"",O946,IF(H946="",0,H946))))</f>
        <v/>
      </c>
      <c r="U946" s="11">
        <f>IF(AND(C946&lt;&gt;"",M946&lt;&gt;"",OR(H946&lt;&gt;"",O946&lt;&gt;"")),"COMPLETE",IF(OR(C946&lt;&gt;"",M946&lt;&gt;""),"PARTIAL","MISSING"))</f>
        <v/>
      </c>
      <c r="V946" s="11">
        <f>IF(Q946="UNKNOWN","Check fluid description",IF(AND(R946&lt;&gt;"",S946&lt;&gt;""),"Ready for contact screening","Needs TVD + thickness"))</f>
        <v/>
      </c>
    </row>
    <row r="947">
      <c r="A947" s="9" t="n"/>
      <c r="B947" s="9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9" t="n"/>
      <c r="N947" s="9" t="n"/>
      <c r="O947" s="10" t="n"/>
      <c r="P947" s="9" t="n"/>
      <c r="Q947" s="11">
        <f>IF(P947&lt;&gt;"",P947,IF(M947="","UNKNOWN",IF(AND(ISNUMBER(SEARCH("gas",LOWER(M947))),ISNUMBER(SEARCH("water",LOWER(M947)))),"GAS_WATER",IF(AND(ISNUMBER(SEARCH("oil",LOWER(M947))),ISNUMBER(SEARCH("water",LOWER(M947)))),"OIL_WATER",IF(ISNUMBER(SEARCH("gas",LOWER(M947))),"GAS",IF(ISNUMBER(SEARCH("water",LOWER(M947))),"WATER",IF(ISNUMBER(SEARCH("oil",LOWER(M947))),"OIL","UNKNOWN")))))))</f>
        <v/>
      </c>
      <c r="R947" s="12">
        <f>IF(C947="","",C947)</f>
        <v/>
      </c>
      <c r="S947" s="12">
        <f>IF(R947="","",R947+IF(O947&lt;&gt;"",O947,IF(H947="",0,H947)))</f>
        <v/>
      </c>
      <c r="T947" s="12">
        <f>IF(R947="","",MAX(Settings!$B$3,Settings!$B$4*IF(O947&lt;&gt;"",O947,IF(H947="",0,H947))))</f>
        <v/>
      </c>
      <c r="U947" s="11">
        <f>IF(AND(C947&lt;&gt;"",M947&lt;&gt;"",OR(H947&lt;&gt;"",O947&lt;&gt;"")),"COMPLETE",IF(OR(C947&lt;&gt;"",M947&lt;&gt;""),"PARTIAL","MISSING"))</f>
        <v/>
      </c>
      <c r="V947" s="11">
        <f>IF(Q947="UNKNOWN","Check fluid description",IF(AND(R947&lt;&gt;"",S947&lt;&gt;""),"Ready for contact screening","Needs TVD + thickness"))</f>
        <v/>
      </c>
    </row>
    <row r="948">
      <c r="A948" s="9" t="n"/>
      <c r="B948" s="9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9" t="n"/>
      <c r="N948" s="9" t="n"/>
      <c r="O948" s="10" t="n"/>
      <c r="P948" s="9" t="n"/>
      <c r="Q948" s="11">
        <f>IF(P948&lt;&gt;"",P948,IF(M948="","UNKNOWN",IF(AND(ISNUMBER(SEARCH("gas",LOWER(M948))),ISNUMBER(SEARCH("water",LOWER(M948)))),"GAS_WATER",IF(AND(ISNUMBER(SEARCH("oil",LOWER(M948))),ISNUMBER(SEARCH("water",LOWER(M948)))),"OIL_WATER",IF(ISNUMBER(SEARCH("gas",LOWER(M948))),"GAS",IF(ISNUMBER(SEARCH("water",LOWER(M948))),"WATER",IF(ISNUMBER(SEARCH("oil",LOWER(M948))),"OIL","UNKNOWN")))))))</f>
        <v/>
      </c>
      <c r="R948" s="12">
        <f>IF(C948="","",C948)</f>
        <v/>
      </c>
      <c r="S948" s="12">
        <f>IF(R948="","",R948+IF(O948&lt;&gt;"",O948,IF(H948="",0,H948)))</f>
        <v/>
      </c>
      <c r="T948" s="12">
        <f>IF(R948="","",MAX(Settings!$B$3,Settings!$B$4*IF(O948&lt;&gt;"",O948,IF(H948="",0,H948))))</f>
        <v/>
      </c>
      <c r="U948" s="11">
        <f>IF(AND(C948&lt;&gt;"",M948&lt;&gt;"",OR(H948&lt;&gt;"",O948&lt;&gt;"")),"COMPLETE",IF(OR(C948&lt;&gt;"",M948&lt;&gt;""),"PARTIAL","MISSING"))</f>
        <v/>
      </c>
      <c r="V948" s="11">
        <f>IF(Q948="UNKNOWN","Check fluid description",IF(AND(R948&lt;&gt;"",S948&lt;&gt;""),"Ready for contact screening","Needs TVD + thickness"))</f>
        <v/>
      </c>
    </row>
    <row r="949">
      <c r="A949" s="9" t="n"/>
      <c r="B949" s="9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9" t="n"/>
      <c r="N949" s="9" t="n"/>
      <c r="O949" s="10" t="n"/>
      <c r="P949" s="9" t="n"/>
      <c r="Q949" s="11">
        <f>IF(P949&lt;&gt;"",P949,IF(M949="","UNKNOWN",IF(AND(ISNUMBER(SEARCH("gas",LOWER(M949))),ISNUMBER(SEARCH("water",LOWER(M949)))),"GAS_WATER",IF(AND(ISNUMBER(SEARCH("oil",LOWER(M949))),ISNUMBER(SEARCH("water",LOWER(M949)))),"OIL_WATER",IF(ISNUMBER(SEARCH("gas",LOWER(M949))),"GAS",IF(ISNUMBER(SEARCH("water",LOWER(M949))),"WATER",IF(ISNUMBER(SEARCH("oil",LOWER(M949))),"OIL","UNKNOWN")))))))</f>
        <v/>
      </c>
      <c r="R949" s="12">
        <f>IF(C949="","",C949)</f>
        <v/>
      </c>
      <c r="S949" s="12">
        <f>IF(R949="","",R949+IF(O949&lt;&gt;"",O949,IF(H949="",0,H949)))</f>
        <v/>
      </c>
      <c r="T949" s="12">
        <f>IF(R949="","",MAX(Settings!$B$3,Settings!$B$4*IF(O949&lt;&gt;"",O949,IF(H949="",0,H949))))</f>
        <v/>
      </c>
      <c r="U949" s="11">
        <f>IF(AND(C949&lt;&gt;"",M949&lt;&gt;"",OR(H949&lt;&gt;"",O949&lt;&gt;"")),"COMPLETE",IF(OR(C949&lt;&gt;"",M949&lt;&gt;""),"PARTIAL","MISSING"))</f>
        <v/>
      </c>
      <c r="V949" s="11">
        <f>IF(Q949="UNKNOWN","Check fluid description",IF(AND(R949&lt;&gt;"",S949&lt;&gt;""),"Ready for contact screening","Needs TVD + thickness"))</f>
        <v/>
      </c>
    </row>
    <row r="950">
      <c r="A950" s="9" t="n"/>
      <c r="B950" s="9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9" t="n"/>
      <c r="N950" s="9" t="n"/>
      <c r="O950" s="10" t="n"/>
      <c r="P950" s="9" t="n"/>
      <c r="Q950" s="11">
        <f>IF(P950&lt;&gt;"",P950,IF(M950="","UNKNOWN",IF(AND(ISNUMBER(SEARCH("gas",LOWER(M950))),ISNUMBER(SEARCH("water",LOWER(M950)))),"GAS_WATER",IF(AND(ISNUMBER(SEARCH("oil",LOWER(M950))),ISNUMBER(SEARCH("water",LOWER(M950)))),"OIL_WATER",IF(ISNUMBER(SEARCH("gas",LOWER(M950))),"GAS",IF(ISNUMBER(SEARCH("water",LOWER(M950))),"WATER",IF(ISNUMBER(SEARCH("oil",LOWER(M950))),"OIL","UNKNOWN")))))))</f>
        <v/>
      </c>
      <c r="R950" s="12">
        <f>IF(C950="","",C950)</f>
        <v/>
      </c>
      <c r="S950" s="12">
        <f>IF(R950="","",R950+IF(O950&lt;&gt;"",O950,IF(H950="",0,H950)))</f>
        <v/>
      </c>
      <c r="T950" s="12">
        <f>IF(R950="","",MAX(Settings!$B$3,Settings!$B$4*IF(O950&lt;&gt;"",O950,IF(H950="",0,H950))))</f>
        <v/>
      </c>
      <c r="U950" s="11">
        <f>IF(AND(C950&lt;&gt;"",M950&lt;&gt;"",OR(H950&lt;&gt;"",O950&lt;&gt;"")),"COMPLETE",IF(OR(C950&lt;&gt;"",M950&lt;&gt;""),"PARTIAL","MISSING"))</f>
        <v/>
      </c>
      <c r="V950" s="11">
        <f>IF(Q950="UNKNOWN","Check fluid description",IF(AND(R950&lt;&gt;"",S950&lt;&gt;""),"Ready for contact screening","Needs TVD + thickness"))</f>
        <v/>
      </c>
    </row>
    <row r="951">
      <c r="A951" s="9" t="n"/>
      <c r="B951" s="9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9" t="n"/>
      <c r="N951" s="9" t="n"/>
      <c r="O951" s="10" t="n"/>
      <c r="P951" s="9" t="n"/>
      <c r="Q951" s="11">
        <f>IF(P951&lt;&gt;"",P951,IF(M951="","UNKNOWN",IF(AND(ISNUMBER(SEARCH("gas",LOWER(M951))),ISNUMBER(SEARCH("water",LOWER(M951)))),"GAS_WATER",IF(AND(ISNUMBER(SEARCH("oil",LOWER(M951))),ISNUMBER(SEARCH("water",LOWER(M951)))),"OIL_WATER",IF(ISNUMBER(SEARCH("gas",LOWER(M951))),"GAS",IF(ISNUMBER(SEARCH("water",LOWER(M951))),"WATER",IF(ISNUMBER(SEARCH("oil",LOWER(M951))),"OIL","UNKNOWN")))))))</f>
        <v/>
      </c>
      <c r="R951" s="12">
        <f>IF(C951="","",C951)</f>
        <v/>
      </c>
      <c r="S951" s="12">
        <f>IF(R951="","",R951+IF(O951&lt;&gt;"",O951,IF(H951="",0,H951)))</f>
        <v/>
      </c>
      <c r="T951" s="12">
        <f>IF(R951="","",MAX(Settings!$B$3,Settings!$B$4*IF(O951&lt;&gt;"",O951,IF(H951="",0,H951))))</f>
        <v/>
      </c>
      <c r="U951" s="11">
        <f>IF(AND(C951&lt;&gt;"",M951&lt;&gt;"",OR(H951&lt;&gt;"",O951&lt;&gt;"")),"COMPLETE",IF(OR(C951&lt;&gt;"",M951&lt;&gt;""),"PARTIAL","MISSING"))</f>
        <v/>
      </c>
      <c r="V951" s="11">
        <f>IF(Q951="UNKNOWN","Check fluid description",IF(AND(R951&lt;&gt;"",S951&lt;&gt;""),"Ready for contact screening","Needs TVD + thickness"))</f>
        <v/>
      </c>
    </row>
    <row r="952">
      <c r="A952" s="9" t="n"/>
      <c r="B952" s="9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9" t="n"/>
      <c r="N952" s="9" t="n"/>
      <c r="O952" s="10" t="n"/>
      <c r="P952" s="9" t="n"/>
      <c r="Q952" s="11">
        <f>IF(P952&lt;&gt;"",P952,IF(M952="","UNKNOWN",IF(AND(ISNUMBER(SEARCH("gas",LOWER(M952))),ISNUMBER(SEARCH("water",LOWER(M952)))),"GAS_WATER",IF(AND(ISNUMBER(SEARCH("oil",LOWER(M952))),ISNUMBER(SEARCH("water",LOWER(M952)))),"OIL_WATER",IF(ISNUMBER(SEARCH("gas",LOWER(M952))),"GAS",IF(ISNUMBER(SEARCH("water",LOWER(M952))),"WATER",IF(ISNUMBER(SEARCH("oil",LOWER(M952))),"OIL","UNKNOWN")))))))</f>
        <v/>
      </c>
      <c r="R952" s="12">
        <f>IF(C952="","",C952)</f>
        <v/>
      </c>
      <c r="S952" s="12">
        <f>IF(R952="","",R952+IF(O952&lt;&gt;"",O952,IF(H952="",0,H952)))</f>
        <v/>
      </c>
      <c r="T952" s="12">
        <f>IF(R952="","",MAX(Settings!$B$3,Settings!$B$4*IF(O952&lt;&gt;"",O952,IF(H952="",0,H952))))</f>
        <v/>
      </c>
      <c r="U952" s="11">
        <f>IF(AND(C952&lt;&gt;"",M952&lt;&gt;"",OR(H952&lt;&gt;"",O952&lt;&gt;"")),"COMPLETE",IF(OR(C952&lt;&gt;"",M952&lt;&gt;""),"PARTIAL","MISSING"))</f>
        <v/>
      </c>
      <c r="V952" s="11">
        <f>IF(Q952="UNKNOWN","Check fluid description",IF(AND(R952&lt;&gt;"",S952&lt;&gt;""),"Ready for contact screening","Needs TVD + thickness"))</f>
        <v/>
      </c>
    </row>
    <row r="953">
      <c r="A953" s="9" t="n"/>
      <c r="B953" s="9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9" t="n"/>
      <c r="N953" s="9" t="n"/>
      <c r="O953" s="10" t="n"/>
      <c r="P953" s="9" t="n"/>
      <c r="Q953" s="11">
        <f>IF(P953&lt;&gt;"",P953,IF(M953="","UNKNOWN",IF(AND(ISNUMBER(SEARCH("gas",LOWER(M953))),ISNUMBER(SEARCH("water",LOWER(M953)))),"GAS_WATER",IF(AND(ISNUMBER(SEARCH("oil",LOWER(M953))),ISNUMBER(SEARCH("water",LOWER(M953)))),"OIL_WATER",IF(ISNUMBER(SEARCH("gas",LOWER(M953))),"GAS",IF(ISNUMBER(SEARCH("water",LOWER(M953))),"WATER",IF(ISNUMBER(SEARCH("oil",LOWER(M953))),"OIL","UNKNOWN")))))))</f>
        <v/>
      </c>
      <c r="R953" s="12">
        <f>IF(C953="","",C953)</f>
        <v/>
      </c>
      <c r="S953" s="12">
        <f>IF(R953="","",R953+IF(O953&lt;&gt;"",O953,IF(H953="",0,H953)))</f>
        <v/>
      </c>
      <c r="T953" s="12">
        <f>IF(R953="","",MAX(Settings!$B$3,Settings!$B$4*IF(O953&lt;&gt;"",O953,IF(H953="",0,H953))))</f>
        <v/>
      </c>
      <c r="U953" s="11">
        <f>IF(AND(C953&lt;&gt;"",M953&lt;&gt;"",OR(H953&lt;&gt;"",O953&lt;&gt;"")),"COMPLETE",IF(OR(C953&lt;&gt;"",M953&lt;&gt;""),"PARTIAL","MISSING"))</f>
        <v/>
      </c>
      <c r="V953" s="11">
        <f>IF(Q953="UNKNOWN","Check fluid description",IF(AND(R953&lt;&gt;"",S953&lt;&gt;""),"Ready for contact screening","Needs TVD + thickness"))</f>
        <v/>
      </c>
    </row>
    <row r="954">
      <c r="A954" s="9" t="n"/>
      <c r="B954" s="9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9" t="n"/>
      <c r="N954" s="9" t="n"/>
      <c r="O954" s="10" t="n"/>
      <c r="P954" s="9" t="n"/>
      <c r="Q954" s="11">
        <f>IF(P954&lt;&gt;"",P954,IF(M954="","UNKNOWN",IF(AND(ISNUMBER(SEARCH("gas",LOWER(M954))),ISNUMBER(SEARCH("water",LOWER(M954)))),"GAS_WATER",IF(AND(ISNUMBER(SEARCH("oil",LOWER(M954))),ISNUMBER(SEARCH("water",LOWER(M954)))),"OIL_WATER",IF(ISNUMBER(SEARCH("gas",LOWER(M954))),"GAS",IF(ISNUMBER(SEARCH("water",LOWER(M954))),"WATER",IF(ISNUMBER(SEARCH("oil",LOWER(M954))),"OIL","UNKNOWN")))))))</f>
        <v/>
      </c>
      <c r="R954" s="12">
        <f>IF(C954="","",C954)</f>
        <v/>
      </c>
      <c r="S954" s="12">
        <f>IF(R954="","",R954+IF(O954&lt;&gt;"",O954,IF(H954="",0,H954)))</f>
        <v/>
      </c>
      <c r="T954" s="12">
        <f>IF(R954="","",MAX(Settings!$B$3,Settings!$B$4*IF(O954&lt;&gt;"",O954,IF(H954="",0,H954))))</f>
        <v/>
      </c>
      <c r="U954" s="11">
        <f>IF(AND(C954&lt;&gt;"",M954&lt;&gt;"",OR(H954&lt;&gt;"",O954&lt;&gt;"")),"COMPLETE",IF(OR(C954&lt;&gt;"",M954&lt;&gt;""),"PARTIAL","MISSING"))</f>
        <v/>
      </c>
      <c r="V954" s="11">
        <f>IF(Q954="UNKNOWN","Check fluid description",IF(AND(R954&lt;&gt;"",S954&lt;&gt;""),"Ready for contact screening","Needs TVD + thickness"))</f>
        <v/>
      </c>
    </row>
    <row r="955">
      <c r="A955" s="9" t="n"/>
      <c r="B955" s="9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9" t="n"/>
      <c r="N955" s="9" t="n"/>
      <c r="O955" s="10" t="n"/>
      <c r="P955" s="9" t="n"/>
      <c r="Q955" s="11">
        <f>IF(P955&lt;&gt;"",P955,IF(M955="","UNKNOWN",IF(AND(ISNUMBER(SEARCH("gas",LOWER(M955))),ISNUMBER(SEARCH("water",LOWER(M955)))),"GAS_WATER",IF(AND(ISNUMBER(SEARCH("oil",LOWER(M955))),ISNUMBER(SEARCH("water",LOWER(M955)))),"OIL_WATER",IF(ISNUMBER(SEARCH("gas",LOWER(M955))),"GAS",IF(ISNUMBER(SEARCH("water",LOWER(M955))),"WATER",IF(ISNUMBER(SEARCH("oil",LOWER(M955))),"OIL","UNKNOWN")))))))</f>
        <v/>
      </c>
      <c r="R955" s="12">
        <f>IF(C955="","",C955)</f>
        <v/>
      </c>
      <c r="S955" s="12">
        <f>IF(R955="","",R955+IF(O955&lt;&gt;"",O955,IF(H955="",0,H955)))</f>
        <v/>
      </c>
      <c r="T955" s="12">
        <f>IF(R955="","",MAX(Settings!$B$3,Settings!$B$4*IF(O955&lt;&gt;"",O955,IF(H955="",0,H955))))</f>
        <v/>
      </c>
      <c r="U955" s="11">
        <f>IF(AND(C955&lt;&gt;"",M955&lt;&gt;"",OR(H955&lt;&gt;"",O955&lt;&gt;"")),"COMPLETE",IF(OR(C955&lt;&gt;"",M955&lt;&gt;""),"PARTIAL","MISSING"))</f>
        <v/>
      </c>
      <c r="V955" s="11">
        <f>IF(Q955="UNKNOWN","Check fluid description",IF(AND(R955&lt;&gt;"",S955&lt;&gt;""),"Ready for contact screening","Needs TVD + thickness"))</f>
        <v/>
      </c>
    </row>
    <row r="956">
      <c r="A956" s="9" t="n"/>
      <c r="B956" s="9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9" t="n"/>
      <c r="N956" s="9" t="n"/>
      <c r="O956" s="10" t="n"/>
      <c r="P956" s="9" t="n"/>
      <c r="Q956" s="11">
        <f>IF(P956&lt;&gt;"",P956,IF(M956="","UNKNOWN",IF(AND(ISNUMBER(SEARCH("gas",LOWER(M956))),ISNUMBER(SEARCH("water",LOWER(M956)))),"GAS_WATER",IF(AND(ISNUMBER(SEARCH("oil",LOWER(M956))),ISNUMBER(SEARCH("water",LOWER(M956)))),"OIL_WATER",IF(ISNUMBER(SEARCH("gas",LOWER(M956))),"GAS",IF(ISNUMBER(SEARCH("water",LOWER(M956))),"WATER",IF(ISNUMBER(SEARCH("oil",LOWER(M956))),"OIL","UNKNOWN")))))))</f>
        <v/>
      </c>
      <c r="R956" s="12">
        <f>IF(C956="","",C956)</f>
        <v/>
      </c>
      <c r="S956" s="12">
        <f>IF(R956="","",R956+IF(O956&lt;&gt;"",O956,IF(H956="",0,H956)))</f>
        <v/>
      </c>
      <c r="T956" s="12">
        <f>IF(R956="","",MAX(Settings!$B$3,Settings!$B$4*IF(O956&lt;&gt;"",O956,IF(H956="",0,H956))))</f>
        <v/>
      </c>
      <c r="U956" s="11">
        <f>IF(AND(C956&lt;&gt;"",M956&lt;&gt;"",OR(H956&lt;&gt;"",O956&lt;&gt;"")),"COMPLETE",IF(OR(C956&lt;&gt;"",M956&lt;&gt;""),"PARTIAL","MISSING"))</f>
        <v/>
      </c>
      <c r="V956" s="11">
        <f>IF(Q956="UNKNOWN","Check fluid description",IF(AND(R956&lt;&gt;"",S956&lt;&gt;""),"Ready for contact screening","Needs TVD + thickness"))</f>
        <v/>
      </c>
    </row>
    <row r="957">
      <c r="A957" s="9" t="n"/>
      <c r="B957" s="9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9" t="n"/>
      <c r="N957" s="9" t="n"/>
      <c r="O957" s="10" t="n"/>
      <c r="P957" s="9" t="n"/>
      <c r="Q957" s="11">
        <f>IF(P957&lt;&gt;"",P957,IF(M957="","UNKNOWN",IF(AND(ISNUMBER(SEARCH("gas",LOWER(M957))),ISNUMBER(SEARCH("water",LOWER(M957)))),"GAS_WATER",IF(AND(ISNUMBER(SEARCH("oil",LOWER(M957))),ISNUMBER(SEARCH("water",LOWER(M957)))),"OIL_WATER",IF(ISNUMBER(SEARCH("gas",LOWER(M957))),"GAS",IF(ISNUMBER(SEARCH("water",LOWER(M957))),"WATER",IF(ISNUMBER(SEARCH("oil",LOWER(M957))),"OIL","UNKNOWN")))))))</f>
        <v/>
      </c>
      <c r="R957" s="12">
        <f>IF(C957="","",C957)</f>
        <v/>
      </c>
      <c r="S957" s="12">
        <f>IF(R957="","",R957+IF(O957&lt;&gt;"",O957,IF(H957="",0,H957)))</f>
        <v/>
      </c>
      <c r="T957" s="12">
        <f>IF(R957="","",MAX(Settings!$B$3,Settings!$B$4*IF(O957&lt;&gt;"",O957,IF(H957="",0,H957))))</f>
        <v/>
      </c>
      <c r="U957" s="11">
        <f>IF(AND(C957&lt;&gt;"",M957&lt;&gt;"",OR(H957&lt;&gt;"",O957&lt;&gt;"")),"COMPLETE",IF(OR(C957&lt;&gt;"",M957&lt;&gt;""),"PARTIAL","MISSING"))</f>
        <v/>
      </c>
      <c r="V957" s="11">
        <f>IF(Q957="UNKNOWN","Check fluid description",IF(AND(R957&lt;&gt;"",S957&lt;&gt;""),"Ready for contact screening","Needs TVD + thickness"))</f>
        <v/>
      </c>
    </row>
    <row r="958">
      <c r="A958" s="9" t="n"/>
      <c r="B958" s="9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9" t="n"/>
      <c r="N958" s="9" t="n"/>
      <c r="O958" s="10" t="n"/>
      <c r="P958" s="9" t="n"/>
      <c r="Q958" s="11">
        <f>IF(P958&lt;&gt;"",P958,IF(M958="","UNKNOWN",IF(AND(ISNUMBER(SEARCH("gas",LOWER(M958))),ISNUMBER(SEARCH("water",LOWER(M958)))),"GAS_WATER",IF(AND(ISNUMBER(SEARCH("oil",LOWER(M958))),ISNUMBER(SEARCH("water",LOWER(M958)))),"OIL_WATER",IF(ISNUMBER(SEARCH("gas",LOWER(M958))),"GAS",IF(ISNUMBER(SEARCH("water",LOWER(M958))),"WATER",IF(ISNUMBER(SEARCH("oil",LOWER(M958))),"OIL","UNKNOWN")))))))</f>
        <v/>
      </c>
      <c r="R958" s="12">
        <f>IF(C958="","",C958)</f>
        <v/>
      </c>
      <c r="S958" s="12">
        <f>IF(R958="","",R958+IF(O958&lt;&gt;"",O958,IF(H958="",0,H958)))</f>
        <v/>
      </c>
      <c r="T958" s="12">
        <f>IF(R958="","",MAX(Settings!$B$3,Settings!$B$4*IF(O958&lt;&gt;"",O958,IF(H958="",0,H958))))</f>
        <v/>
      </c>
      <c r="U958" s="11">
        <f>IF(AND(C958&lt;&gt;"",M958&lt;&gt;"",OR(H958&lt;&gt;"",O958&lt;&gt;"")),"COMPLETE",IF(OR(C958&lt;&gt;"",M958&lt;&gt;""),"PARTIAL","MISSING"))</f>
        <v/>
      </c>
      <c r="V958" s="11">
        <f>IF(Q958="UNKNOWN","Check fluid description",IF(AND(R958&lt;&gt;"",S958&lt;&gt;""),"Ready for contact screening","Needs TVD + thickness"))</f>
        <v/>
      </c>
    </row>
    <row r="959">
      <c r="A959" s="9" t="n"/>
      <c r="B959" s="9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9" t="n"/>
      <c r="N959" s="9" t="n"/>
      <c r="O959" s="10" t="n"/>
      <c r="P959" s="9" t="n"/>
      <c r="Q959" s="11">
        <f>IF(P959&lt;&gt;"",P959,IF(M959="","UNKNOWN",IF(AND(ISNUMBER(SEARCH("gas",LOWER(M959))),ISNUMBER(SEARCH("water",LOWER(M959)))),"GAS_WATER",IF(AND(ISNUMBER(SEARCH("oil",LOWER(M959))),ISNUMBER(SEARCH("water",LOWER(M959)))),"OIL_WATER",IF(ISNUMBER(SEARCH("gas",LOWER(M959))),"GAS",IF(ISNUMBER(SEARCH("water",LOWER(M959))),"WATER",IF(ISNUMBER(SEARCH("oil",LOWER(M959))),"OIL","UNKNOWN")))))))</f>
        <v/>
      </c>
      <c r="R959" s="12">
        <f>IF(C959="","",C959)</f>
        <v/>
      </c>
      <c r="S959" s="12">
        <f>IF(R959="","",R959+IF(O959&lt;&gt;"",O959,IF(H959="",0,H959)))</f>
        <v/>
      </c>
      <c r="T959" s="12">
        <f>IF(R959="","",MAX(Settings!$B$3,Settings!$B$4*IF(O959&lt;&gt;"",O959,IF(H959="",0,H959))))</f>
        <v/>
      </c>
      <c r="U959" s="11">
        <f>IF(AND(C959&lt;&gt;"",M959&lt;&gt;"",OR(H959&lt;&gt;"",O959&lt;&gt;"")),"COMPLETE",IF(OR(C959&lt;&gt;"",M959&lt;&gt;""),"PARTIAL","MISSING"))</f>
        <v/>
      </c>
      <c r="V959" s="11">
        <f>IF(Q959="UNKNOWN","Check fluid description",IF(AND(R959&lt;&gt;"",S959&lt;&gt;""),"Ready for contact screening","Needs TVD + thickness"))</f>
        <v/>
      </c>
    </row>
    <row r="960">
      <c r="A960" s="9" t="n"/>
      <c r="B960" s="9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9" t="n"/>
      <c r="N960" s="9" t="n"/>
      <c r="O960" s="10" t="n"/>
      <c r="P960" s="9" t="n"/>
      <c r="Q960" s="11">
        <f>IF(P960&lt;&gt;"",P960,IF(M960="","UNKNOWN",IF(AND(ISNUMBER(SEARCH("gas",LOWER(M960))),ISNUMBER(SEARCH("water",LOWER(M960)))),"GAS_WATER",IF(AND(ISNUMBER(SEARCH("oil",LOWER(M960))),ISNUMBER(SEARCH("water",LOWER(M960)))),"OIL_WATER",IF(ISNUMBER(SEARCH("gas",LOWER(M960))),"GAS",IF(ISNUMBER(SEARCH("water",LOWER(M960))),"WATER",IF(ISNUMBER(SEARCH("oil",LOWER(M960))),"OIL","UNKNOWN")))))))</f>
        <v/>
      </c>
      <c r="R960" s="12">
        <f>IF(C960="","",C960)</f>
        <v/>
      </c>
      <c r="S960" s="12">
        <f>IF(R960="","",R960+IF(O960&lt;&gt;"",O960,IF(H960="",0,H960)))</f>
        <v/>
      </c>
      <c r="T960" s="12">
        <f>IF(R960="","",MAX(Settings!$B$3,Settings!$B$4*IF(O960&lt;&gt;"",O960,IF(H960="",0,H960))))</f>
        <v/>
      </c>
      <c r="U960" s="11">
        <f>IF(AND(C960&lt;&gt;"",M960&lt;&gt;"",OR(H960&lt;&gt;"",O960&lt;&gt;"")),"COMPLETE",IF(OR(C960&lt;&gt;"",M960&lt;&gt;""),"PARTIAL","MISSING"))</f>
        <v/>
      </c>
      <c r="V960" s="11">
        <f>IF(Q960="UNKNOWN","Check fluid description",IF(AND(R960&lt;&gt;"",S960&lt;&gt;""),"Ready for contact screening","Needs TVD + thickness"))</f>
        <v/>
      </c>
    </row>
    <row r="961">
      <c r="A961" s="9" t="n"/>
      <c r="B961" s="9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9" t="n"/>
      <c r="N961" s="9" t="n"/>
      <c r="O961" s="10" t="n"/>
      <c r="P961" s="9" t="n"/>
      <c r="Q961" s="11">
        <f>IF(P961&lt;&gt;"",P961,IF(M961="","UNKNOWN",IF(AND(ISNUMBER(SEARCH("gas",LOWER(M961))),ISNUMBER(SEARCH("water",LOWER(M961)))),"GAS_WATER",IF(AND(ISNUMBER(SEARCH("oil",LOWER(M961))),ISNUMBER(SEARCH("water",LOWER(M961)))),"OIL_WATER",IF(ISNUMBER(SEARCH("gas",LOWER(M961))),"GAS",IF(ISNUMBER(SEARCH("water",LOWER(M961))),"WATER",IF(ISNUMBER(SEARCH("oil",LOWER(M961))),"OIL","UNKNOWN")))))))</f>
        <v/>
      </c>
      <c r="R961" s="12">
        <f>IF(C961="","",C961)</f>
        <v/>
      </c>
      <c r="S961" s="12">
        <f>IF(R961="","",R961+IF(O961&lt;&gt;"",O961,IF(H961="",0,H961)))</f>
        <v/>
      </c>
      <c r="T961" s="12">
        <f>IF(R961="","",MAX(Settings!$B$3,Settings!$B$4*IF(O961&lt;&gt;"",O961,IF(H961="",0,H961))))</f>
        <v/>
      </c>
      <c r="U961" s="11">
        <f>IF(AND(C961&lt;&gt;"",M961&lt;&gt;"",OR(H961&lt;&gt;"",O961&lt;&gt;"")),"COMPLETE",IF(OR(C961&lt;&gt;"",M961&lt;&gt;""),"PARTIAL","MISSING"))</f>
        <v/>
      </c>
      <c r="V961" s="11">
        <f>IF(Q961="UNKNOWN","Check fluid description",IF(AND(R961&lt;&gt;"",S961&lt;&gt;""),"Ready for contact screening","Needs TVD + thickness"))</f>
        <v/>
      </c>
    </row>
    <row r="962">
      <c r="A962" s="9" t="n"/>
      <c r="B962" s="9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9" t="n"/>
      <c r="N962" s="9" t="n"/>
      <c r="O962" s="10" t="n"/>
      <c r="P962" s="9" t="n"/>
      <c r="Q962" s="11">
        <f>IF(P962&lt;&gt;"",P962,IF(M962="","UNKNOWN",IF(AND(ISNUMBER(SEARCH("gas",LOWER(M962))),ISNUMBER(SEARCH("water",LOWER(M962)))),"GAS_WATER",IF(AND(ISNUMBER(SEARCH("oil",LOWER(M962))),ISNUMBER(SEARCH("water",LOWER(M962)))),"OIL_WATER",IF(ISNUMBER(SEARCH("gas",LOWER(M962))),"GAS",IF(ISNUMBER(SEARCH("water",LOWER(M962))),"WATER",IF(ISNUMBER(SEARCH("oil",LOWER(M962))),"OIL","UNKNOWN")))))))</f>
        <v/>
      </c>
      <c r="R962" s="12">
        <f>IF(C962="","",C962)</f>
        <v/>
      </c>
      <c r="S962" s="12">
        <f>IF(R962="","",R962+IF(O962&lt;&gt;"",O962,IF(H962="",0,H962)))</f>
        <v/>
      </c>
      <c r="T962" s="12">
        <f>IF(R962="","",MAX(Settings!$B$3,Settings!$B$4*IF(O962&lt;&gt;"",O962,IF(H962="",0,H962))))</f>
        <v/>
      </c>
      <c r="U962" s="11">
        <f>IF(AND(C962&lt;&gt;"",M962&lt;&gt;"",OR(H962&lt;&gt;"",O962&lt;&gt;"")),"COMPLETE",IF(OR(C962&lt;&gt;"",M962&lt;&gt;""),"PARTIAL","MISSING"))</f>
        <v/>
      </c>
      <c r="V962" s="11">
        <f>IF(Q962="UNKNOWN","Check fluid description",IF(AND(R962&lt;&gt;"",S962&lt;&gt;""),"Ready for contact screening","Needs TVD + thickness"))</f>
        <v/>
      </c>
    </row>
    <row r="963">
      <c r="A963" s="9" t="n"/>
      <c r="B963" s="9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9" t="n"/>
      <c r="N963" s="9" t="n"/>
      <c r="O963" s="10" t="n"/>
      <c r="P963" s="9" t="n"/>
      <c r="Q963" s="11">
        <f>IF(P963&lt;&gt;"",P963,IF(M963="","UNKNOWN",IF(AND(ISNUMBER(SEARCH("gas",LOWER(M963))),ISNUMBER(SEARCH("water",LOWER(M963)))),"GAS_WATER",IF(AND(ISNUMBER(SEARCH("oil",LOWER(M963))),ISNUMBER(SEARCH("water",LOWER(M963)))),"OIL_WATER",IF(ISNUMBER(SEARCH("gas",LOWER(M963))),"GAS",IF(ISNUMBER(SEARCH("water",LOWER(M963))),"WATER",IF(ISNUMBER(SEARCH("oil",LOWER(M963))),"OIL","UNKNOWN")))))))</f>
        <v/>
      </c>
      <c r="R963" s="12">
        <f>IF(C963="","",C963)</f>
        <v/>
      </c>
      <c r="S963" s="12">
        <f>IF(R963="","",R963+IF(O963&lt;&gt;"",O963,IF(H963="",0,H963)))</f>
        <v/>
      </c>
      <c r="T963" s="12">
        <f>IF(R963="","",MAX(Settings!$B$3,Settings!$B$4*IF(O963&lt;&gt;"",O963,IF(H963="",0,H963))))</f>
        <v/>
      </c>
      <c r="U963" s="11">
        <f>IF(AND(C963&lt;&gt;"",M963&lt;&gt;"",OR(H963&lt;&gt;"",O963&lt;&gt;"")),"COMPLETE",IF(OR(C963&lt;&gt;"",M963&lt;&gt;""),"PARTIAL","MISSING"))</f>
        <v/>
      </c>
      <c r="V963" s="11">
        <f>IF(Q963="UNKNOWN","Check fluid description",IF(AND(R963&lt;&gt;"",S963&lt;&gt;""),"Ready for contact screening","Needs TVD + thickness"))</f>
        <v/>
      </c>
    </row>
    <row r="964">
      <c r="A964" s="9" t="n"/>
      <c r="B964" s="9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9" t="n"/>
      <c r="N964" s="9" t="n"/>
      <c r="O964" s="10" t="n"/>
      <c r="P964" s="9" t="n"/>
      <c r="Q964" s="11">
        <f>IF(P964&lt;&gt;"",P964,IF(M964="","UNKNOWN",IF(AND(ISNUMBER(SEARCH("gas",LOWER(M964))),ISNUMBER(SEARCH("water",LOWER(M964)))),"GAS_WATER",IF(AND(ISNUMBER(SEARCH("oil",LOWER(M964))),ISNUMBER(SEARCH("water",LOWER(M964)))),"OIL_WATER",IF(ISNUMBER(SEARCH("gas",LOWER(M964))),"GAS",IF(ISNUMBER(SEARCH("water",LOWER(M964))),"WATER",IF(ISNUMBER(SEARCH("oil",LOWER(M964))),"OIL","UNKNOWN")))))))</f>
        <v/>
      </c>
      <c r="R964" s="12">
        <f>IF(C964="","",C964)</f>
        <v/>
      </c>
      <c r="S964" s="12">
        <f>IF(R964="","",R964+IF(O964&lt;&gt;"",O964,IF(H964="",0,H964)))</f>
        <v/>
      </c>
      <c r="T964" s="12">
        <f>IF(R964="","",MAX(Settings!$B$3,Settings!$B$4*IF(O964&lt;&gt;"",O964,IF(H964="",0,H964))))</f>
        <v/>
      </c>
      <c r="U964" s="11">
        <f>IF(AND(C964&lt;&gt;"",M964&lt;&gt;"",OR(H964&lt;&gt;"",O964&lt;&gt;"")),"COMPLETE",IF(OR(C964&lt;&gt;"",M964&lt;&gt;""),"PARTIAL","MISSING"))</f>
        <v/>
      </c>
      <c r="V964" s="11">
        <f>IF(Q964="UNKNOWN","Check fluid description",IF(AND(R964&lt;&gt;"",S964&lt;&gt;""),"Ready for contact screening","Needs TVD + thickness"))</f>
        <v/>
      </c>
    </row>
    <row r="965">
      <c r="A965" s="9" t="n"/>
      <c r="B965" s="9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9" t="n"/>
      <c r="N965" s="9" t="n"/>
      <c r="O965" s="10" t="n"/>
      <c r="P965" s="9" t="n"/>
      <c r="Q965" s="11">
        <f>IF(P965&lt;&gt;"",P965,IF(M965="","UNKNOWN",IF(AND(ISNUMBER(SEARCH("gas",LOWER(M965))),ISNUMBER(SEARCH("water",LOWER(M965)))),"GAS_WATER",IF(AND(ISNUMBER(SEARCH("oil",LOWER(M965))),ISNUMBER(SEARCH("water",LOWER(M965)))),"OIL_WATER",IF(ISNUMBER(SEARCH("gas",LOWER(M965))),"GAS",IF(ISNUMBER(SEARCH("water",LOWER(M965))),"WATER",IF(ISNUMBER(SEARCH("oil",LOWER(M965))),"OIL","UNKNOWN")))))))</f>
        <v/>
      </c>
      <c r="R965" s="12">
        <f>IF(C965="","",C965)</f>
        <v/>
      </c>
      <c r="S965" s="12">
        <f>IF(R965="","",R965+IF(O965&lt;&gt;"",O965,IF(H965="",0,H965)))</f>
        <v/>
      </c>
      <c r="T965" s="12">
        <f>IF(R965="","",MAX(Settings!$B$3,Settings!$B$4*IF(O965&lt;&gt;"",O965,IF(H965="",0,H965))))</f>
        <v/>
      </c>
      <c r="U965" s="11">
        <f>IF(AND(C965&lt;&gt;"",M965&lt;&gt;"",OR(H965&lt;&gt;"",O965&lt;&gt;"")),"COMPLETE",IF(OR(C965&lt;&gt;"",M965&lt;&gt;""),"PARTIAL","MISSING"))</f>
        <v/>
      </c>
      <c r="V965" s="11">
        <f>IF(Q965="UNKNOWN","Check fluid description",IF(AND(R965&lt;&gt;"",S965&lt;&gt;""),"Ready for contact screening","Needs TVD + thickness"))</f>
        <v/>
      </c>
    </row>
    <row r="966">
      <c r="A966" s="9" t="n"/>
      <c r="B966" s="9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9" t="n"/>
      <c r="N966" s="9" t="n"/>
      <c r="O966" s="10" t="n"/>
      <c r="P966" s="9" t="n"/>
      <c r="Q966" s="11">
        <f>IF(P966&lt;&gt;"",P966,IF(M966="","UNKNOWN",IF(AND(ISNUMBER(SEARCH("gas",LOWER(M966))),ISNUMBER(SEARCH("water",LOWER(M966)))),"GAS_WATER",IF(AND(ISNUMBER(SEARCH("oil",LOWER(M966))),ISNUMBER(SEARCH("water",LOWER(M966)))),"OIL_WATER",IF(ISNUMBER(SEARCH("gas",LOWER(M966))),"GAS",IF(ISNUMBER(SEARCH("water",LOWER(M966))),"WATER",IF(ISNUMBER(SEARCH("oil",LOWER(M966))),"OIL","UNKNOWN")))))))</f>
        <v/>
      </c>
      <c r="R966" s="12">
        <f>IF(C966="","",C966)</f>
        <v/>
      </c>
      <c r="S966" s="12">
        <f>IF(R966="","",R966+IF(O966&lt;&gt;"",O966,IF(H966="",0,H966)))</f>
        <v/>
      </c>
      <c r="T966" s="12">
        <f>IF(R966="","",MAX(Settings!$B$3,Settings!$B$4*IF(O966&lt;&gt;"",O966,IF(H966="",0,H966))))</f>
        <v/>
      </c>
      <c r="U966" s="11">
        <f>IF(AND(C966&lt;&gt;"",M966&lt;&gt;"",OR(H966&lt;&gt;"",O966&lt;&gt;"")),"COMPLETE",IF(OR(C966&lt;&gt;"",M966&lt;&gt;""),"PARTIAL","MISSING"))</f>
        <v/>
      </c>
      <c r="V966" s="11">
        <f>IF(Q966="UNKNOWN","Check fluid description",IF(AND(R966&lt;&gt;"",S966&lt;&gt;""),"Ready for contact screening","Needs TVD + thickness"))</f>
        <v/>
      </c>
    </row>
    <row r="967">
      <c r="A967" s="9" t="n"/>
      <c r="B967" s="9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9" t="n"/>
      <c r="N967" s="9" t="n"/>
      <c r="O967" s="10" t="n"/>
      <c r="P967" s="9" t="n"/>
      <c r="Q967" s="11">
        <f>IF(P967&lt;&gt;"",P967,IF(M967="","UNKNOWN",IF(AND(ISNUMBER(SEARCH("gas",LOWER(M967))),ISNUMBER(SEARCH("water",LOWER(M967)))),"GAS_WATER",IF(AND(ISNUMBER(SEARCH("oil",LOWER(M967))),ISNUMBER(SEARCH("water",LOWER(M967)))),"OIL_WATER",IF(ISNUMBER(SEARCH("gas",LOWER(M967))),"GAS",IF(ISNUMBER(SEARCH("water",LOWER(M967))),"WATER",IF(ISNUMBER(SEARCH("oil",LOWER(M967))),"OIL","UNKNOWN")))))))</f>
        <v/>
      </c>
      <c r="R967" s="12">
        <f>IF(C967="","",C967)</f>
        <v/>
      </c>
      <c r="S967" s="12">
        <f>IF(R967="","",R967+IF(O967&lt;&gt;"",O967,IF(H967="",0,H967)))</f>
        <v/>
      </c>
      <c r="T967" s="12">
        <f>IF(R967="","",MAX(Settings!$B$3,Settings!$B$4*IF(O967&lt;&gt;"",O967,IF(H967="",0,H967))))</f>
        <v/>
      </c>
      <c r="U967" s="11">
        <f>IF(AND(C967&lt;&gt;"",M967&lt;&gt;"",OR(H967&lt;&gt;"",O967&lt;&gt;"")),"COMPLETE",IF(OR(C967&lt;&gt;"",M967&lt;&gt;""),"PARTIAL","MISSING"))</f>
        <v/>
      </c>
      <c r="V967" s="11">
        <f>IF(Q967="UNKNOWN","Check fluid description",IF(AND(R967&lt;&gt;"",S967&lt;&gt;""),"Ready for contact screening","Needs TVD + thickness"))</f>
        <v/>
      </c>
    </row>
    <row r="968">
      <c r="A968" s="9" t="n"/>
      <c r="B968" s="9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9" t="n"/>
      <c r="N968" s="9" t="n"/>
      <c r="O968" s="10" t="n"/>
      <c r="P968" s="9" t="n"/>
      <c r="Q968" s="11">
        <f>IF(P968&lt;&gt;"",P968,IF(M968="","UNKNOWN",IF(AND(ISNUMBER(SEARCH("gas",LOWER(M968))),ISNUMBER(SEARCH("water",LOWER(M968)))),"GAS_WATER",IF(AND(ISNUMBER(SEARCH("oil",LOWER(M968))),ISNUMBER(SEARCH("water",LOWER(M968)))),"OIL_WATER",IF(ISNUMBER(SEARCH("gas",LOWER(M968))),"GAS",IF(ISNUMBER(SEARCH("water",LOWER(M968))),"WATER",IF(ISNUMBER(SEARCH("oil",LOWER(M968))),"OIL","UNKNOWN")))))))</f>
        <v/>
      </c>
      <c r="R968" s="12">
        <f>IF(C968="","",C968)</f>
        <v/>
      </c>
      <c r="S968" s="12">
        <f>IF(R968="","",R968+IF(O968&lt;&gt;"",O968,IF(H968="",0,H968)))</f>
        <v/>
      </c>
      <c r="T968" s="12">
        <f>IF(R968="","",MAX(Settings!$B$3,Settings!$B$4*IF(O968&lt;&gt;"",O968,IF(H968="",0,H968))))</f>
        <v/>
      </c>
      <c r="U968" s="11">
        <f>IF(AND(C968&lt;&gt;"",M968&lt;&gt;"",OR(H968&lt;&gt;"",O968&lt;&gt;"")),"COMPLETE",IF(OR(C968&lt;&gt;"",M968&lt;&gt;""),"PARTIAL","MISSING"))</f>
        <v/>
      </c>
      <c r="V968" s="11">
        <f>IF(Q968="UNKNOWN","Check fluid description",IF(AND(R968&lt;&gt;"",S968&lt;&gt;""),"Ready for contact screening","Needs TVD + thickness"))</f>
        <v/>
      </c>
    </row>
    <row r="969">
      <c r="A969" s="9" t="n"/>
      <c r="B969" s="9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9" t="n"/>
      <c r="N969" s="9" t="n"/>
      <c r="O969" s="10" t="n"/>
      <c r="P969" s="9" t="n"/>
      <c r="Q969" s="11">
        <f>IF(P969&lt;&gt;"",P969,IF(M969="","UNKNOWN",IF(AND(ISNUMBER(SEARCH("gas",LOWER(M969))),ISNUMBER(SEARCH("water",LOWER(M969)))),"GAS_WATER",IF(AND(ISNUMBER(SEARCH("oil",LOWER(M969))),ISNUMBER(SEARCH("water",LOWER(M969)))),"OIL_WATER",IF(ISNUMBER(SEARCH("gas",LOWER(M969))),"GAS",IF(ISNUMBER(SEARCH("water",LOWER(M969))),"WATER",IF(ISNUMBER(SEARCH("oil",LOWER(M969))),"OIL","UNKNOWN")))))))</f>
        <v/>
      </c>
      <c r="R969" s="12">
        <f>IF(C969="","",C969)</f>
        <v/>
      </c>
      <c r="S969" s="12">
        <f>IF(R969="","",R969+IF(O969&lt;&gt;"",O969,IF(H969="",0,H969)))</f>
        <v/>
      </c>
      <c r="T969" s="12">
        <f>IF(R969="","",MAX(Settings!$B$3,Settings!$B$4*IF(O969&lt;&gt;"",O969,IF(H969="",0,H969))))</f>
        <v/>
      </c>
      <c r="U969" s="11">
        <f>IF(AND(C969&lt;&gt;"",M969&lt;&gt;"",OR(H969&lt;&gt;"",O969&lt;&gt;"")),"COMPLETE",IF(OR(C969&lt;&gt;"",M969&lt;&gt;""),"PARTIAL","MISSING"))</f>
        <v/>
      </c>
      <c r="V969" s="11">
        <f>IF(Q969="UNKNOWN","Check fluid description",IF(AND(R969&lt;&gt;"",S969&lt;&gt;""),"Ready for contact screening","Needs TVD + thickness"))</f>
        <v/>
      </c>
    </row>
    <row r="970">
      <c r="A970" s="9" t="n"/>
      <c r="B970" s="9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9" t="n"/>
      <c r="N970" s="9" t="n"/>
      <c r="O970" s="10" t="n"/>
      <c r="P970" s="9" t="n"/>
      <c r="Q970" s="11">
        <f>IF(P970&lt;&gt;"",P970,IF(M970="","UNKNOWN",IF(AND(ISNUMBER(SEARCH("gas",LOWER(M970))),ISNUMBER(SEARCH("water",LOWER(M970)))),"GAS_WATER",IF(AND(ISNUMBER(SEARCH("oil",LOWER(M970))),ISNUMBER(SEARCH("water",LOWER(M970)))),"OIL_WATER",IF(ISNUMBER(SEARCH("gas",LOWER(M970))),"GAS",IF(ISNUMBER(SEARCH("water",LOWER(M970))),"WATER",IF(ISNUMBER(SEARCH("oil",LOWER(M970))),"OIL","UNKNOWN")))))))</f>
        <v/>
      </c>
      <c r="R970" s="12">
        <f>IF(C970="","",C970)</f>
        <v/>
      </c>
      <c r="S970" s="12">
        <f>IF(R970="","",R970+IF(O970&lt;&gt;"",O970,IF(H970="",0,H970)))</f>
        <v/>
      </c>
      <c r="T970" s="12">
        <f>IF(R970="","",MAX(Settings!$B$3,Settings!$B$4*IF(O970&lt;&gt;"",O970,IF(H970="",0,H970))))</f>
        <v/>
      </c>
      <c r="U970" s="11">
        <f>IF(AND(C970&lt;&gt;"",M970&lt;&gt;"",OR(H970&lt;&gt;"",O970&lt;&gt;"")),"COMPLETE",IF(OR(C970&lt;&gt;"",M970&lt;&gt;""),"PARTIAL","MISSING"))</f>
        <v/>
      </c>
      <c r="V970" s="11">
        <f>IF(Q970="UNKNOWN","Check fluid description",IF(AND(R970&lt;&gt;"",S970&lt;&gt;""),"Ready for contact screening","Needs TVD + thickness"))</f>
        <v/>
      </c>
    </row>
    <row r="971">
      <c r="A971" s="9" t="n"/>
      <c r="B971" s="9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9" t="n"/>
      <c r="N971" s="9" t="n"/>
      <c r="O971" s="10" t="n"/>
      <c r="P971" s="9" t="n"/>
      <c r="Q971" s="11">
        <f>IF(P971&lt;&gt;"",P971,IF(M971="","UNKNOWN",IF(AND(ISNUMBER(SEARCH("gas",LOWER(M971))),ISNUMBER(SEARCH("water",LOWER(M971)))),"GAS_WATER",IF(AND(ISNUMBER(SEARCH("oil",LOWER(M971))),ISNUMBER(SEARCH("water",LOWER(M971)))),"OIL_WATER",IF(ISNUMBER(SEARCH("gas",LOWER(M971))),"GAS",IF(ISNUMBER(SEARCH("water",LOWER(M971))),"WATER",IF(ISNUMBER(SEARCH("oil",LOWER(M971))),"OIL","UNKNOWN")))))))</f>
        <v/>
      </c>
      <c r="R971" s="12">
        <f>IF(C971="","",C971)</f>
        <v/>
      </c>
      <c r="S971" s="12">
        <f>IF(R971="","",R971+IF(O971&lt;&gt;"",O971,IF(H971="",0,H971)))</f>
        <v/>
      </c>
      <c r="T971" s="12">
        <f>IF(R971="","",MAX(Settings!$B$3,Settings!$B$4*IF(O971&lt;&gt;"",O971,IF(H971="",0,H971))))</f>
        <v/>
      </c>
      <c r="U971" s="11">
        <f>IF(AND(C971&lt;&gt;"",M971&lt;&gt;"",OR(H971&lt;&gt;"",O971&lt;&gt;"")),"COMPLETE",IF(OR(C971&lt;&gt;"",M971&lt;&gt;""),"PARTIAL","MISSING"))</f>
        <v/>
      </c>
      <c r="V971" s="11">
        <f>IF(Q971="UNKNOWN","Check fluid description",IF(AND(R971&lt;&gt;"",S971&lt;&gt;""),"Ready for contact screening","Needs TVD + thickness"))</f>
        <v/>
      </c>
    </row>
    <row r="972">
      <c r="A972" s="9" t="n"/>
      <c r="B972" s="9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9" t="n"/>
      <c r="N972" s="9" t="n"/>
      <c r="O972" s="10" t="n"/>
      <c r="P972" s="9" t="n"/>
      <c r="Q972" s="11">
        <f>IF(P972&lt;&gt;"",P972,IF(M972="","UNKNOWN",IF(AND(ISNUMBER(SEARCH("gas",LOWER(M972))),ISNUMBER(SEARCH("water",LOWER(M972)))),"GAS_WATER",IF(AND(ISNUMBER(SEARCH("oil",LOWER(M972))),ISNUMBER(SEARCH("water",LOWER(M972)))),"OIL_WATER",IF(ISNUMBER(SEARCH("gas",LOWER(M972))),"GAS",IF(ISNUMBER(SEARCH("water",LOWER(M972))),"WATER",IF(ISNUMBER(SEARCH("oil",LOWER(M972))),"OIL","UNKNOWN")))))))</f>
        <v/>
      </c>
      <c r="R972" s="12">
        <f>IF(C972="","",C972)</f>
        <v/>
      </c>
      <c r="S972" s="12">
        <f>IF(R972="","",R972+IF(O972&lt;&gt;"",O972,IF(H972="",0,H972)))</f>
        <v/>
      </c>
      <c r="T972" s="12">
        <f>IF(R972="","",MAX(Settings!$B$3,Settings!$B$4*IF(O972&lt;&gt;"",O972,IF(H972="",0,H972))))</f>
        <v/>
      </c>
      <c r="U972" s="11">
        <f>IF(AND(C972&lt;&gt;"",M972&lt;&gt;"",OR(H972&lt;&gt;"",O972&lt;&gt;"")),"COMPLETE",IF(OR(C972&lt;&gt;"",M972&lt;&gt;""),"PARTIAL","MISSING"))</f>
        <v/>
      </c>
      <c r="V972" s="11">
        <f>IF(Q972="UNKNOWN","Check fluid description",IF(AND(R972&lt;&gt;"",S972&lt;&gt;""),"Ready for contact screening","Needs TVD + thickness"))</f>
        <v/>
      </c>
    </row>
    <row r="973">
      <c r="A973" s="9" t="n"/>
      <c r="B973" s="9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9" t="n"/>
      <c r="N973" s="9" t="n"/>
      <c r="O973" s="10" t="n"/>
      <c r="P973" s="9" t="n"/>
      <c r="Q973" s="11">
        <f>IF(P973&lt;&gt;"",P973,IF(M973="","UNKNOWN",IF(AND(ISNUMBER(SEARCH("gas",LOWER(M973))),ISNUMBER(SEARCH("water",LOWER(M973)))),"GAS_WATER",IF(AND(ISNUMBER(SEARCH("oil",LOWER(M973))),ISNUMBER(SEARCH("water",LOWER(M973)))),"OIL_WATER",IF(ISNUMBER(SEARCH("gas",LOWER(M973))),"GAS",IF(ISNUMBER(SEARCH("water",LOWER(M973))),"WATER",IF(ISNUMBER(SEARCH("oil",LOWER(M973))),"OIL","UNKNOWN")))))))</f>
        <v/>
      </c>
      <c r="R973" s="12">
        <f>IF(C973="","",C973)</f>
        <v/>
      </c>
      <c r="S973" s="12">
        <f>IF(R973="","",R973+IF(O973&lt;&gt;"",O973,IF(H973="",0,H973)))</f>
        <v/>
      </c>
      <c r="T973" s="12">
        <f>IF(R973="","",MAX(Settings!$B$3,Settings!$B$4*IF(O973&lt;&gt;"",O973,IF(H973="",0,H973))))</f>
        <v/>
      </c>
      <c r="U973" s="11">
        <f>IF(AND(C973&lt;&gt;"",M973&lt;&gt;"",OR(H973&lt;&gt;"",O973&lt;&gt;"")),"COMPLETE",IF(OR(C973&lt;&gt;"",M973&lt;&gt;""),"PARTIAL","MISSING"))</f>
        <v/>
      </c>
      <c r="V973" s="11">
        <f>IF(Q973="UNKNOWN","Check fluid description",IF(AND(R973&lt;&gt;"",S973&lt;&gt;""),"Ready for contact screening","Needs TVD + thickness"))</f>
        <v/>
      </c>
    </row>
    <row r="974">
      <c r="A974" s="9" t="n"/>
      <c r="B974" s="9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9" t="n"/>
      <c r="N974" s="9" t="n"/>
      <c r="O974" s="10" t="n"/>
      <c r="P974" s="9" t="n"/>
      <c r="Q974" s="11">
        <f>IF(P974&lt;&gt;"",P974,IF(M974="","UNKNOWN",IF(AND(ISNUMBER(SEARCH("gas",LOWER(M974))),ISNUMBER(SEARCH("water",LOWER(M974)))),"GAS_WATER",IF(AND(ISNUMBER(SEARCH("oil",LOWER(M974))),ISNUMBER(SEARCH("water",LOWER(M974)))),"OIL_WATER",IF(ISNUMBER(SEARCH("gas",LOWER(M974))),"GAS",IF(ISNUMBER(SEARCH("water",LOWER(M974))),"WATER",IF(ISNUMBER(SEARCH("oil",LOWER(M974))),"OIL","UNKNOWN")))))))</f>
        <v/>
      </c>
      <c r="R974" s="12">
        <f>IF(C974="","",C974)</f>
        <v/>
      </c>
      <c r="S974" s="12">
        <f>IF(R974="","",R974+IF(O974&lt;&gt;"",O974,IF(H974="",0,H974)))</f>
        <v/>
      </c>
      <c r="T974" s="12">
        <f>IF(R974="","",MAX(Settings!$B$3,Settings!$B$4*IF(O974&lt;&gt;"",O974,IF(H974="",0,H974))))</f>
        <v/>
      </c>
      <c r="U974" s="11">
        <f>IF(AND(C974&lt;&gt;"",M974&lt;&gt;"",OR(H974&lt;&gt;"",O974&lt;&gt;"")),"COMPLETE",IF(OR(C974&lt;&gt;"",M974&lt;&gt;""),"PARTIAL","MISSING"))</f>
        <v/>
      </c>
      <c r="V974" s="11">
        <f>IF(Q974="UNKNOWN","Check fluid description",IF(AND(R974&lt;&gt;"",S974&lt;&gt;""),"Ready for contact screening","Needs TVD + thickness"))</f>
        <v/>
      </c>
    </row>
    <row r="975">
      <c r="A975" s="9" t="n"/>
      <c r="B975" s="9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9" t="n"/>
      <c r="N975" s="9" t="n"/>
      <c r="O975" s="10" t="n"/>
      <c r="P975" s="9" t="n"/>
      <c r="Q975" s="11">
        <f>IF(P975&lt;&gt;"",P975,IF(M975="","UNKNOWN",IF(AND(ISNUMBER(SEARCH("gas",LOWER(M975))),ISNUMBER(SEARCH("water",LOWER(M975)))),"GAS_WATER",IF(AND(ISNUMBER(SEARCH("oil",LOWER(M975))),ISNUMBER(SEARCH("water",LOWER(M975)))),"OIL_WATER",IF(ISNUMBER(SEARCH("gas",LOWER(M975))),"GAS",IF(ISNUMBER(SEARCH("water",LOWER(M975))),"WATER",IF(ISNUMBER(SEARCH("oil",LOWER(M975))),"OIL","UNKNOWN")))))))</f>
        <v/>
      </c>
      <c r="R975" s="12">
        <f>IF(C975="","",C975)</f>
        <v/>
      </c>
      <c r="S975" s="12">
        <f>IF(R975="","",R975+IF(O975&lt;&gt;"",O975,IF(H975="",0,H975)))</f>
        <v/>
      </c>
      <c r="T975" s="12">
        <f>IF(R975="","",MAX(Settings!$B$3,Settings!$B$4*IF(O975&lt;&gt;"",O975,IF(H975="",0,H975))))</f>
        <v/>
      </c>
      <c r="U975" s="11">
        <f>IF(AND(C975&lt;&gt;"",M975&lt;&gt;"",OR(H975&lt;&gt;"",O975&lt;&gt;"")),"COMPLETE",IF(OR(C975&lt;&gt;"",M975&lt;&gt;""),"PARTIAL","MISSING"))</f>
        <v/>
      </c>
      <c r="V975" s="11">
        <f>IF(Q975="UNKNOWN","Check fluid description",IF(AND(R975&lt;&gt;"",S975&lt;&gt;""),"Ready for contact screening","Needs TVD + thickness"))</f>
        <v/>
      </c>
    </row>
    <row r="976">
      <c r="A976" s="9" t="n"/>
      <c r="B976" s="9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9" t="n"/>
      <c r="N976" s="9" t="n"/>
      <c r="O976" s="10" t="n"/>
      <c r="P976" s="9" t="n"/>
      <c r="Q976" s="11">
        <f>IF(P976&lt;&gt;"",P976,IF(M976="","UNKNOWN",IF(AND(ISNUMBER(SEARCH("gas",LOWER(M976))),ISNUMBER(SEARCH("water",LOWER(M976)))),"GAS_WATER",IF(AND(ISNUMBER(SEARCH("oil",LOWER(M976))),ISNUMBER(SEARCH("water",LOWER(M976)))),"OIL_WATER",IF(ISNUMBER(SEARCH("gas",LOWER(M976))),"GAS",IF(ISNUMBER(SEARCH("water",LOWER(M976))),"WATER",IF(ISNUMBER(SEARCH("oil",LOWER(M976))),"OIL","UNKNOWN")))))))</f>
        <v/>
      </c>
      <c r="R976" s="12">
        <f>IF(C976="","",C976)</f>
        <v/>
      </c>
      <c r="S976" s="12">
        <f>IF(R976="","",R976+IF(O976&lt;&gt;"",O976,IF(H976="",0,H976)))</f>
        <v/>
      </c>
      <c r="T976" s="12">
        <f>IF(R976="","",MAX(Settings!$B$3,Settings!$B$4*IF(O976&lt;&gt;"",O976,IF(H976="",0,H976))))</f>
        <v/>
      </c>
      <c r="U976" s="11">
        <f>IF(AND(C976&lt;&gt;"",M976&lt;&gt;"",OR(H976&lt;&gt;"",O976&lt;&gt;"")),"COMPLETE",IF(OR(C976&lt;&gt;"",M976&lt;&gt;""),"PARTIAL","MISSING"))</f>
        <v/>
      </c>
      <c r="V976" s="11">
        <f>IF(Q976="UNKNOWN","Check fluid description",IF(AND(R976&lt;&gt;"",S976&lt;&gt;""),"Ready for contact screening","Needs TVD + thickness"))</f>
        <v/>
      </c>
    </row>
    <row r="977">
      <c r="A977" s="9" t="n"/>
      <c r="B977" s="9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9" t="n"/>
      <c r="N977" s="9" t="n"/>
      <c r="O977" s="10" t="n"/>
      <c r="P977" s="9" t="n"/>
      <c r="Q977" s="11">
        <f>IF(P977&lt;&gt;"",P977,IF(M977="","UNKNOWN",IF(AND(ISNUMBER(SEARCH("gas",LOWER(M977))),ISNUMBER(SEARCH("water",LOWER(M977)))),"GAS_WATER",IF(AND(ISNUMBER(SEARCH("oil",LOWER(M977))),ISNUMBER(SEARCH("water",LOWER(M977)))),"OIL_WATER",IF(ISNUMBER(SEARCH("gas",LOWER(M977))),"GAS",IF(ISNUMBER(SEARCH("water",LOWER(M977))),"WATER",IF(ISNUMBER(SEARCH("oil",LOWER(M977))),"OIL","UNKNOWN")))))))</f>
        <v/>
      </c>
      <c r="R977" s="12">
        <f>IF(C977="","",C977)</f>
        <v/>
      </c>
      <c r="S977" s="12">
        <f>IF(R977="","",R977+IF(O977&lt;&gt;"",O977,IF(H977="",0,H977)))</f>
        <v/>
      </c>
      <c r="T977" s="12">
        <f>IF(R977="","",MAX(Settings!$B$3,Settings!$B$4*IF(O977&lt;&gt;"",O977,IF(H977="",0,H977))))</f>
        <v/>
      </c>
      <c r="U977" s="11">
        <f>IF(AND(C977&lt;&gt;"",M977&lt;&gt;"",OR(H977&lt;&gt;"",O977&lt;&gt;"")),"COMPLETE",IF(OR(C977&lt;&gt;"",M977&lt;&gt;""),"PARTIAL","MISSING"))</f>
        <v/>
      </c>
      <c r="V977" s="11">
        <f>IF(Q977="UNKNOWN","Check fluid description",IF(AND(R977&lt;&gt;"",S977&lt;&gt;""),"Ready for contact screening","Needs TVD + thickness"))</f>
        <v/>
      </c>
    </row>
    <row r="978">
      <c r="A978" s="9" t="n"/>
      <c r="B978" s="9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9" t="n"/>
      <c r="N978" s="9" t="n"/>
      <c r="O978" s="10" t="n"/>
      <c r="P978" s="9" t="n"/>
      <c r="Q978" s="11">
        <f>IF(P978&lt;&gt;"",P978,IF(M978="","UNKNOWN",IF(AND(ISNUMBER(SEARCH("gas",LOWER(M978))),ISNUMBER(SEARCH("water",LOWER(M978)))),"GAS_WATER",IF(AND(ISNUMBER(SEARCH("oil",LOWER(M978))),ISNUMBER(SEARCH("water",LOWER(M978)))),"OIL_WATER",IF(ISNUMBER(SEARCH("gas",LOWER(M978))),"GAS",IF(ISNUMBER(SEARCH("water",LOWER(M978))),"WATER",IF(ISNUMBER(SEARCH("oil",LOWER(M978))),"OIL","UNKNOWN")))))))</f>
        <v/>
      </c>
      <c r="R978" s="12">
        <f>IF(C978="","",C978)</f>
        <v/>
      </c>
      <c r="S978" s="12">
        <f>IF(R978="","",R978+IF(O978&lt;&gt;"",O978,IF(H978="",0,H978)))</f>
        <v/>
      </c>
      <c r="T978" s="12">
        <f>IF(R978="","",MAX(Settings!$B$3,Settings!$B$4*IF(O978&lt;&gt;"",O978,IF(H978="",0,H978))))</f>
        <v/>
      </c>
      <c r="U978" s="11">
        <f>IF(AND(C978&lt;&gt;"",M978&lt;&gt;"",OR(H978&lt;&gt;"",O978&lt;&gt;"")),"COMPLETE",IF(OR(C978&lt;&gt;"",M978&lt;&gt;""),"PARTIAL","MISSING"))</f>
        <v/>
      </c>
      <c r="V978" s="11">
        <f>IF(Q978="UNKNOWN","Check fluid description",IF(AND(R978&lt;&gt;"",S978&lt;&gt;""),"Ready for contact screening","Needs TVD + thickness"))</f>
        <v/>
      </c>
    </row>
    <row r="979">
      <c r="A979" s="9" t="n"/>
      <c r="B979" s="9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9" t="n"/>
      <c r="N979" s="9" t="n"/>
      <c r="O979" s="10" t="n"/>
      <c r="P979" s="9" t="n"/>
      <c r="Q979" s="11">
        <f>IF(P979&lt;&gt;"",P979,IF(M979="","UNKNOWN",IF(AND(ISNUMBER(SEARCH("gas",LOWER(M979))),ISNUMBER(SEARCH("water",LOWER(M979)))),"GAS_WATER",IF(AND(ISNUMBER(SEARCH("oil",LOWER(M979))),ISNUMBER(SEARCH("water",LOWER(M979)))),"OIL_WATER",IF(ISNUMBER(SEARCH("gas",LOWER(M979))),"GAS",IF(ISNUMBER(SEARCH("water",LOWER(M979))),"WATER",IF(ISNUMBER(SEARCH("oil",LOWER(M979))),"OIL","UNKNOWN")))))))</f>
        <v/>
      </c>
      <c r="R979" s="12">
        <f>IF(C979="","",C979)</f>
        <v/>
      </c>
      <c r="S979" s="12">
        <f>IF(R979="","",R979+IF(O979&lt;&gt;"",O979,IF(H979="",0,H979)))</f>
        <v/>
      </c>
      <c r="T979" s="12">
        <f>IF(R979="","",MAX(Settings!$B$3,Settings!$B$4*IF(O979&lt;&gt;"",O979,IF(H979="",0,H979))))</f>
        <v/>
      </c>
      <c r="U979" s="11">
        <f>IF(AND(C979&lt;&gt;"",M979&lt;&gt;"",OR(H979&lt;&gt;"",O979&lt;&gt;"")),"COMPLETE",IF(OR(C979&lt;&gt;"",M979&lt;&gt;""),"PARTIAL","MISSING"))</f>
        <v/>
      </c>
      <c r="V979" s="11">
        <f>IF(Q979="UNKNOWN","Check fluid description",IF(AND(R979&lt;&gt;"",S979&lt;&gt;""),"Ready for contact screening","Needs TVD + thickness"))</f>
        <v/>
      </c>
    </row>
    <row r="980">
      <c r="A980" s="9" t="n"/>
      <c r="B980" s="9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9" t="n"/>
      <c r="N980" s="9" t="n"/>
      <c r="O980" s="10" t="n"/>
      <c r="P980" s="9" t="n"/>
      <c r="Q980" s="11">
        <f>IF(P980&lt;&gt;"",P980,IF(M980="","UNKNOWN",IF(AND(ISNUMBER(SEARCH("gas",LOWER(M980))),ISNUMBER(SEARCH("water",LOWER(M980)))),"GAS_WATER",IF(AND(ISNUMBER(SEARCH("oil",LOWER(M980))),ISNUMBER(SEARCH("water",LOWER(M980)))),"OIL_WATER",IF(ISNUMBER(SEARCH("gas",LOWER(M980))),"GAS",IF(ISNUMBER(SEARCH("water",LOWER(M980))),"WATER",IF(ISNUMBER(SEARCH("oil",LOWER(M980))),"OIL","UNKNOWN")))))))</f>
        <v/>
      </c>
      <c r="R980" s="12">
        <f>IF(C980="","",C980)</f>
        <v/>
      </c>
      <c r="S980" s="12">
        <f>IF(R980="","",R980+IF(O980&lt;&gt;"",O980,IF(H980="",0,H980)))</f>
        <v/>
      </c>
      <c r="T980" s="12">
        <f>IF(R980="","",MAX(Settings!$B$3,Settings!$B$4*IF(O980&lt;&gt;"",O980,IF(H980="",0,H980))))</f>
        <v/>
      </c>
      <c r="U980" s="11">
        <f>IF(AND(C980&lt;&gt;"",M980&lt;&gt;"",OR(H980&lt;&gt;"",O980&lt;&gt;"")),"COMPLETE",IF(OR(C980&lt;&gt;"",M980&lt;&gt;""),"PARTIAL","MISSING"))</f>
        <v/>
      </c>
      <c r="V980" s="11">
        <f>IF(Q980="UNKNOWN","Check fluid description",IF(AND(R980&lt;&gt;"",S980&lt;&gt;""),"Ready for contact screening","Needs TVD + thickness"))</f>
        <v/>
      </c>
    </row>
    <row r="981">
      <c r="A981" s="9" t="n"/>
      <c r="B981" s="9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9" t="n"/>
      <c r="N981" s="9" t="n"/>
      <c r="O981" s="10" t="n"/>
      <c r="P981" s="9" t="n"/>
      <c r="Q981" s="11">
        <f>IF(P981&lt;&gt;"",P981,IF(M981="","UNKNOWN",IF(AND(ISNUMBER(SEARCH("gas",LOWER(M981))),ISNUMBER(SEARCH("water",LOWER(M981)))),"GAS_WATER",IF(AND(ISNUMBER(SEARCH("oil",LOWER(M981))),ISNUMBER(SEARCH("water",LOWER(M981)))),"OIL_WATER",IF(ISNUMBER(SEARCH("gas",LOWER(M981))),"GAS",IF(ISNUMBER(SEARCH("water",LOWER(M981))),"WATER",IF(ISNUMBER(SEARCH("oil",LOWER(M981))),"OIL","UNKNOWN")))))))</f>
        <v/>
      </c>
      <c r="R981" s="12">
        <f>IF(C981="","",C981)</f>
        <v/>
      </c>
      <c r="S981" s="12">
        <f>IF(R981="","",R981+IF(O981&lt;&gt;"",O981,IF(H981="",0,H981)))</f>
        <v/>
      </c>
      <c r="T981" s="12">
        <f>IF(R981="","",MAX(Settings!$B$3,Settings!$B$4*IF(O981&lt;&gt;"",O981,IF(H981="",0,H981))))</f>
        <v/>
      </c>
      <c r="U981" s="11">
        <f>IF(AND(C981&lt;&gt;"",M981&lt;&gt;"",OR(H981&lt;&gt;"",O981&lt;&gt;"")),"COMPLETE",IF(OR(C981&lt;&gt;"",M981&lt;&gt;""),"PARTIAL","MISSING"))</f>
        <v/>
      </c>
      <c r="V981" s="11">
        <f>IF(Q981="UNKNOWN","Check fluid description",IF(AND(R981&lt;&gt;"",S981&lt;&gt;""),"Ready for contact screening","Needs TVD + thickness"))</f>
        <v/>
      </c>
    </row>
    <row r="982">
      <c r="A982" s="9" t="n"/>
      <c r="B982" s="9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9" t="n"/>
      <c r="N982" s="9" t="n"/>
      <c r="O982" s="10" t="n"/>
      <c r="P982" s="9" t="n"/>
      <c r="Q982" s="11">
        <f>IF(P982&lt;&gt;"",P982,IF(M982="","UNKNOWN",IF(AND(ISNUMBER(SEARCH("gas",LOWER(M982))),ISNUMBER(SEARCH("water",LOWER(M982)))),"GAS_WATER",IF(AND(ISNUMBER(SEARCH("oil",LOWER(M982))),ISNUMBER(SEARCH("water",LOWER(M982)))),"OIL_WATER",IF(ISNUMBER(SEARCH("gas",LOWER(M982))),"GAS",IF(ISNUMBER(SEARCH("water",LOWER(M982))),"WATER",IF(ISNUMBER(SEARCH("oil",LOWER(M982))),"OIL","UNKNOWN")))))))</f>
        <v/>
      </c>
      <c r="R982" s="12">
        <f>IF(C982="","",C982)</f>
        <v/>
      </c>
      <c r="S982" s="12">
        <f>IF(R982="","",R982+IF(O982&lt;&gt;"",O982,IF(H982="",0,H982)))</f>
        <v/>
      </c>
      <c r="T982" s="12">
        <f>IF(R982="","",MAX(Settings!$B$3,Settings!$B$4*IF(O982&lt;&gt;"",O982,IF(H982="",0,H982))))</f>
        <v/>
      </c>
      <c r="U982" s="11">
        <f>IF(AND(C982&lt;&gt;"",M982&lt;&gt;"",OR(H982&lt;&gt;"",O982&lt;&gt;"")),"COMPLETE",IF(OR(C982&lt;&gt;"",M982&lt;&gt;""),"PARTIAL","MISSING"))</f>
        <v/>
      </c>
      <c r="V982" s="11">
        <f>IF(Q982="UNKNOWN","Check fluid description",IF(AND(R982&lt;&gt;"",S982&lt;&gt;""),"Ready for contact screening","Needs TVD + thickness"))</f>
        <v/>
      </c>
    </row>
    <row r="983">
      <c r="A983" s="9" t="n"/>
      <c r="B983" s="9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9" t="n"/>
      <c r="N983" s="9" t="n"/>
      <c r="O983" s="10" t="n"/>
      <c r="P983" s="9" t="n"/>
      <c r="Q983" s="11">
        <f>IF(P983&lt;&gt;"",P983,IF(M983="","UNKNOWN",IF(AND(ISNUMBER(SEARCH("gas",LOWER(M983))),ISNUMBER(SEARCH("water",LOWER(M983)))),"GAS_WATER",IF(AND(ISNUMBER(SEARCH("oil",LOWER(M983))),ISNUMBER(SEARCH("water",LOWER(M983)))),"OIL_WATER",IF(ISNUMBER(SEARCH("gas",LOWER(M983))),"GAS",IF(ISNUMBER(SEARCH("water",LOWER(M983))),"WATER",IF(ISNUMBER(SEARCH("oil",LOWER(M983))),"OIL","UNKNOWN")))))))</f>
        <v/>
      </c>
      <c r="R983" s="12">
        <f>IF(C983="","",C983)</f>
        <v/>
      </c>
      <c r="S983" s="12">
        <f>IF(R983="","",R983+IF(O983&lt;&gt;"",O983,IF(H983="",0,H983)))</f>
        <v/>
      </c>
      <c r="T983" s="12">
        <f>IF(R983="","",MAX(Settings!$B$3,Settings!$B$4*IF(O983&lt;&gt;"",O983,IF(H983="",0,H983))))</f>
        <v/>
      </c>
      <c r="U983" s="11">
        <f>IF(AND(C983&lt;&gt;"",M983&lt;&gt;"",OR(H983&lt;&gt;"",O983&lt;&gt;"")),"COMPLETE",IF(OR(C983&lt;&gt;"",M983&lt;&gt;""),"PARTIAL","MISSING"))</f>
        <v/>
      </c>
      <c r="V983" s="11">
        <f>IF(Q983="UNKNOWN","Check fluid description",IF(AND(R983&lt;&gt;"",S983&lt;&gt;""),"Ready for contact screening","Needs TVD + thickness"))</f>
        <v/>
      </c>
    </row>
    <row r="984">
      <c r="A984" s="9" t="n"/>
      <c r="B984" s="9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9" t="n"/>
      <c r="N984" s="9" t="n"/>
      <c r="O984" s="10" t="n"/>
      <c r="P984" s="9" t="n"/>
      <c r="Q984" s="11">
        <f>IF(P984&lt;&gt;"",P984,IF(M984="","UNKNOWN",IF(AND(ISNUMBER(SEARCH("gas",LOWER(M984))),ISNUMBER(SEARCH("water",LOWER(M984)))),"GAS_WATER",IF(AND(ISNUMBER(SEARCH("oil",LOWER(M984))),ISNUMBER(SEARCH("water",LOWER(M984)))),"OIL_WATER",IF(ISNUMBER(SEARCH("gas",LOWER(M984))),"GAS",IF(ISNUMBER(SEARCH("water",LOWER(M984))),"WATER",IF(ISNUMBER(SEARCH("oil",LOWER(M984))),"OIL","UNKNOWN")))))))</f>
        <v/>
      </c>
      <c r="R984" s="12">
        <f>IF(C984="","",C984)</f>
        <v/>
      </c>
      <c r="S984" s="12">
        <f>IF(R984="","",R984+IF(O984&lt;&gt;"",O984,IF(H984="",0,H984)))</f>
        <v/>
      </c>
      <c r="T984" s="12">
        <f>IF(R984="","",MAX(Settings!$B$3,Settings!$B$4*IF(O984&lt;&gt;"",O984,IF(H984="",0,H984))))</f>
        <v/>
      </c>
      <c r="U984" s="11">
        <f>IF(AND(C984&lt;&gt;"",M984&lt;&gt;"",OR(H984&lt;&gt;"",O984&lt;&gt;"")),"COMPLETE",IF(OR(C984&lt;&gt;"",M984&lt;&gt;""),"PARTIAL","MISSING"))</f>
        <v/>
      </c>
      <c r="V984" s="11">
        <f>IF(Q984="UNKNOWN","Check fluid description",IF(AND(R984&lt;&gt;"",S984&lt;&gt;""),"Ready for contact screening","Needs TVD + thickness"))</f>
        <v/>
      </c>
    </row>
    <row r="985">
      <c r="A985" s="9" t="n"/>
      <c r="B985" s="9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9" t="n"/>
      <c r="N985" s="9" t="n"/>
      <c r="O985" s="10" t="n"/>
      <c r="P985" s="9" t="n"/>
      <c r="Q985" s="11">
        <f>IF(P985&lt;&gt;"",P985,IF(M985="","UNKNOWN",IF(AND(ISNUMBER(SEARCH("gas",LOWER(M985))),ISNUMBER(SEARCH("water",LOWER(M985)))),"GAS_WATER",IF(AND(ISNUMBER(SEARCH("oil",LOWER(M985))),ISNUMBER(SEARCH("water",LOWER(M985)))),"OIL_WATER",IF(ISNUMBER(SEARCH("gas",LOWER(M985))),"GAS",IF(ISNUMBER(SEARCH("water",LOWER(M985))),"WATER",IF(ISNUMBER(SEARCH("oil",LOWER(M985))),"OIL","UNKNOWN")))))))</f>
        <v/>
      </c>
      <c r="R985" s="12">
        <f>IF(C985="","",C985)</f>
        <v/>
      </c>
      <c r="S985" s="12">
        <f>IF(R985="","",R985+IF(O985&lt;&gt;"",O985,IF(H985="",0,H985)))</f>
        <v/>
      </c>
      <c r="T985" s="12">
        <f>IF(R985="","",MAX(Settings!$B$3,Settings!$B$4*IF(O985&lt;&gt;"",O985,IF(H985="",0,H985))))</f>
        <v/>
      </c>
      <c r="U985" s="11">
        <f>IF(AND(C985&lt;&gt;"",M985&lt;&gt;"",OR(H985&lt;&gt;"",O985&lt;&gt;"")),"COMPLETE",IF(OR(C985&lt;&gt;"",M985&lt;&gt;""),"PARTIAL","MISSING"))</f>
        <v/>
      </c>
      <c r="V985" s="11">
        <f>IF(Q985="UNKNOWN","Check fluid description",IF(AND(R985&lt;&gt;"",S985&lt;&gt;""),"Ready for contact screening","Needs TVD + thickness"))</f>
        <v/>
      </c>
    </row>
    <row r="986">
      <c r="A986" s="9" t="n"/>
      <c r="B986" s="9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9" t="n"/>
      <c r="N986" s="9" t="n"/>
      <c r="O986" s="10" t="n"/>
      <c r="P986" s="9" t="n"/>
      <c r="Q986" s="11">
        <f>IF(P986&lt;&gt;"",P986,IF(M986="","UNKNOWN",IF(AND(ISNUMBER(SEARCH("gas",LOWER(M986))),ISNUMBER(SEARCH("water",LOWER(M986)))),"GAS_WATER",IF(AND(ISNUMBER(SEARCH("oil",LOWER(M986))),ISNUMBER(SEARCH("water",LOWER(M986)))),"OIL_WATER",IF(ISNUMBER(SEARCH("gas",LOWER(M986))),"GAS",IF(ISNUMBER(SEARCH("water",LOWER(M986))),"WATER",IF(ISNUMBER(SEARCH("oil",LOWER(M986))),"OIL","UNKNOWN")))))))</f>
        <v/>
      </c>
      <c r="R986" s="12">
        <f>IF(C986="","",C986)</f>
        <v/>
      </c>
      <c r="S986" s="12">
        <f>IF(R986="","",R986+IF(O986&lt;&gt;"",O986,IF(H986="",0,H986)))</f>
        <v/>
      </c>
      <c r="T986" s="12">
        <f>IF(R986="","",MAX(Settings!$B$3,Settings!$B$4*IF(O986&lt;&gt;"",O986,IF(H986="",0,H986))))</f>
        <v/>
      </c>
      <c r="U986" s="11">
        <f>IF(AND(C986&lt;&gt;"",M986&lt;&gt;"",OR(H986&lt;&gt;"",O986&lt;&gt;"")),"COMPLETE",IF(OR(C986&lt;&gt;"",M986&lt;&gt;""),"PARTIAL","MISSING"))</f>
        <v/>
      </c>
      <c r="V986" s="11">
        <f>IF(Q986="UNKNOWN","Check fluid description",IF(AND(R986&lt;&gt;"",S986&lt;&gt;""),"Ready for contact screening","Needs TVD + thickness"))</f>
        <v/>
      </c>
    </row>
    <row r="987">
      <c r="A987" s="9" t="n"/>
      <c r="B987" s="9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9" t="n"/>
      <c r="N987" s="9" t="n"/>
      <c r="O987" s="10" t="n"/>
      <c r="P987" s="9" t="n"/>
      <c r="Q987" s="11">
        <f>IF(P987&lt;&gt;"",P987,IF(M987="","UNKNOWN",IF(AND(ISNUMBER(SEARCH("gas",LOWER(M987))),ISNUMBER(SEARCH("water",LOWER(M987)))),"GAS_WATER",IF(AND(ISNUMBER(SEARCH("oil",LOWER(M987))),ISNUMBER(SEARCH("water",LOWER(M987)))),"OIL_WATER",IF(ISNUMBER(SEARCH("gas",LOWER(M987))),"GAS",IF(ISNUMBER(SEARCH("water",LOWER(M987))),"WATER",IF(ISNUMBER(SEARCH("oil",LOWER(M987))),"OIL","UNKNOWN")))))))</f>
        <v/>
      </c>
      <c r="R987" s="12">
        <f>IF(C987="","",C987)</f>
        <v/>
      </c>
      <c r="S987" s="12">
        <f>IF(R987="","",R987+IF(O987&lt;&gt;"",O987,IF(H987="",0,H987)))</f>
        <v/>
      </c>
      <c r="T987" s="12">
        <f>IF(R987="","",MAX(Settings!$B$3,Settings!$B$4*IF(O987&lt;&gt;"",O987,IF(H987="",0,H987))))</f>
        <v/>
      </c>
      <c r="U987" s="11">
        <f>IF(AND(C987&lt;&gt;"",M987&lt;&gt;"",OR(H987&lt;&gt;"",O987&lt;&gt;"")),"COMPLETE",IF(OR(C987&lt;&gt;"",M987&lt;&gt;""),"PARTIAL","MISSING"))</f>
        <v/>
      </c>
      <c r="V987" s="11">
        <f>IF(Q987="UNKNOWN","Check fluid description",IF(AND(R987&lt;&gt;"",S987&lt;&gt;""),"Ready for contact screening","Needs TVD + thickness"))</f>
        <v/>
      </c>
    </row>
    <row r="988">
      <c r="A988" s="9" t="n"/>
      <c r="B988" s="9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9" t="n"/>
      <c r="N988" s="9" t="n"/>
      <c r="O988" s="10" t="n"/>
      <c r="P988" s="9" t="n"/>
      <c r="Q988" s="11">
        <f>IF(P988&lt;&gt;"",P988,IF(M988="","UNKNOWN",IF(AND(ISNUMBER(SEARCH("gas",LOWER(M988))),ISNUMBER(SEARCH("water",LOWER(M988)))),"GAS_WATER",IF(AND(ISNUMBER(SEARCH("oil",LOWER(M988))),ISNUMBER(SEARCH("water",LOWER(M988)))),"OIL_WATER",IF(ISNUMBER(SEARCH("gas",LOWER(M988))),"GAS",IF(ISNUMBER(SEARCH("water",LOWER(M988))),"WATER",IF(ISNUMBER(SEARCH("oil",LOWER(M988))),"OIL","UNKNOWN")))))))</f>
        <v/>
      </c>
      <c r="R988" s="12">
        <f>IF(C988="","",C988)</f>
        <v/>
      </c>
      <c r="S988" s="12">
        <f>IF(R988="","",R988+IF(O988&lt;&gt;"",O988,IF(H988="",0,H988)))</f>
        <v/>
      </c>
      <c r="T988" s="12">
        <f>IF(R988="","",MAX(Settings!$B$3,Settings!$B$4*IF(O988&lt;&gt;"",O988,IF(H988="",0,H988))))</f>
        <v/>
      </c>
      <c r="U988" s="11">
        <f>IF(AND(C988&lt;&gt;"",M988&lt;&gt;"",OR(H988&lt;&gt;"",O988&lt;&gt;"")),"COMPLETE",IF(OR(C988&lt;&gt;"",M988&lt;&gt;""),"PARTIAL","MISSING"))</f>
        <v/>
      </c>
      <c r="V988" s="11">
        <f>IF(Q988="UNKNOWN","Check fluid description",IF(AND(R988&lt;&gt;"",S988&lt;&gt;""),"Ready for contact screening","Needs TVD + thickness"))</f>
        <v/>
      </c>
    </row>
    <row r="989">
      <c r="A989" s="9" t="n"/>
      <c r="B989" s="9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9" t="n"/>
      <c r="N989" s="9" t="n"/>
      <c r="O989" s="10" t="n"/>
      <c r="P989" s="9" t="n"/>
      <c r="Q989" s="11">
        <f>IF(P989&lt;&gt;"",P989,IF(M989="","UNKNOWN",IF(AND(ISNUMBER(SEARCH("gas",LOWER(M989))),ISNUMBER(SEARCH("water",LOWER(M989)))),"GAS_WATER",IF(AND(ISNUMBER(SEARCH("oil",LOWER(M989))),ISNUMBER(SEARCH("water",LOWER(M989)))),"OIL_WATER",IF(ISNUMBER(SEARCH("gas",LOWER(M989))),"GAS",IF(ISNUMBER(SEARCH("water",LOWER(M989))),"WATER",IF(ISNUMBER(SEARCH("oil",LOWER(M989))),"OIL","UNKNOWN")))))))</f>
        <v/>
      </c>
      <c r="R989" s="12">
        <f>IF(C989="","",C989)</f>
        <v/>
      </c>
      <c r="S989" s="12">
        <f>IF(R989="","",R989+IF(O989&lt;&gt;"",O989,IF(H989="",0,H989)))</f>
        <v/>
      </c>
      <c r="T989" s="12">
        <f>IF(R989="","",MAX(Settings!$B$3,Settings!$B$4*IF(O989&lt;&gt;"",O989,IF(H989="",0,H989))))</f>
        <v/>
      </c>
      <c r="U989" s="11">
        <f>IF(AND(C989&lt;&gt;"",M989&lt;&gt;"",OR(H989&lt;&gt;"",O989&lt;&gt;"")),"COMPLETE",IF(OR(C989&lt;&gt;"",M989&lt;&gt;""),"PARTIAL","MISSING"))</f>
        <v/>
      </c>
      <c r="V989" s="11">
        <f>IF(Q989="UNKNOWN","Check fluid description",IF(AND(R989&lt;&gt;"",S989&lt;&gt;""),"Ready for contact screening","Needs TVD + thickness"))</f>
        <v/>
      </c>
    </row>
    <row r="990">
      <c r="A990" s="9" t="n"/>
      <c r="B990" s="9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9" t="n"/>
      <c r="N990" s="9" t="n"/>
      <c r="O990" s="10" t="n"/>
      <c r="P990" s="9" t="n"/>
      <c r="Q990" s="11">
        <f>IF(P990&lt;&gt;"",P990,IF(M990="","UNKNOWN",IF(AND(ISNUMBER(SEARCH("gas",LOWER(M990))),ISNUMBER(SEARCH("water",LOWER(M990)))),"GAS_WATER",IF(AND(ISNUMBER(SEARCH("oil",LOWER(M990))),ISNUMBER(SEARCH("water",LOWER(M990)))),"OIL_WATER",IF(ISNUMBER(SEARCH("gas",LOWER(M990))),"GAS",IF(ISNUMBER(SEARCH("water",LOWER(M990))),"WATER",IF(ISNUMBER(SEARCH("oil",LOWER(M990))),"OIL","UNKNOWN")))))))</f>
        <v/>
      </c>
      <c r="R990" s="12">
        <f>IF(C990="","",C990)</f>
        <v/>
      </c>
      <c r="S990" s="12">
        <f>IF(R990="","",R990+IF(O990&lt;&gt;"",O990,IF(H990="",0,H990)))</f>
        <v/>
      </c>
      <c r="T990" s="12">
        <f>IF(R990="","",MAX(Settings!$B$3,Settings!$B$4*IF(O990&lt;&gt;"",O990,IF(H990="",0,H990))))</f>
        <v/>
      </c>
      <c r="U990" s="11">
        <f>IF(AND(C990&lt;&gt;"",M990&lt;&gt;"",OR(H990&lt;&gt;"",O990&lt;&gt;"")),"COMPLETE",IF(OR(C990&lt;&gt;"",M990&lt;&gt;""),"PARTIAL","MISSING"))</f>
        <v/>
      </c>
      <c r="V990" s="11">
        <f>IF(Q990="UNKNOWN","Check fluid description",IF(AND(R990&lt;&gt;"",S990&lt;&gt;""),"Ready for contact screening","Needs TVD + thickness"))</f>
        <v/>
      </c>
    </row>
    <row r="991">
      <c r="A991" s="9" t="n"/>
      <c r="B991" s="9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9" t="n"/>
      <c r="N991" s="9" t="n"/>
      <c r="O991" s="10" t="n"/>
      <c r="P991" s="9" t="n"/>
      <c r="Q991" s="11">
        <f>IF(P991&lt;&gt;"",P991,IF(M991="","UNKNOWN",IF(AND(ISNUMBER(SEARCH("gas",LOWER(M991))),ISNUMBER(SEARCH("water",LOWER(M991)))),"GAS_WATER",IF(AND(ISNUMBER(SEARCH("oil",LOWER(M991))),ISNUMBER(SEARCH("water",LOWER(M991)))),"OIL_WATER",IF(ISNUMBER(SEARCH("gas",LOWER(M991))),"GAS",IF(ISNUMBER(SEARCH("water",LOWER(M991))),"WATER",IF(ISNUMBER(SEARCH("oil",LOWER(M991))),"OIL","UNKNOWN")))))))</f>
        <v/>
      </c>
      <c r="R991" s="12">
        <f>IF(C991="","",C991)</f>
        <v/>
      </c>
      <c r="S991" s="12">
        <f>IF(R991="","",R991+IF(O991&lt;&gt;"",O991,IF(H991="",0,H991)))</f>
        <v/>
      </c>
      <c r="T991" s="12">
        <f>IF(R991="","",MAX(Settings!$B$3,Settings!$B$4*IF(O991&lt;&gt;"",O991,IF(H991="",0,H991))))</f>
        <v/>
      </c>
      <c r="U991" s="11">
        <f>IF(AND(C991&lt;&gt;"",M991&lt;&gt;"",OR(H991&lt;&gt;"",O991&lt;&gt;"")),"COMPLETE",IF(OR(C991&lt;&gt;"",M991&lt;&gt;""),"PARTIAL","MISSING"))</f>
        <v/>
      </c>
      <c r="V991" s="11">
        <f>IF(Q991="UNKNOWN","Check fluid description",IF(AND(R991&lt;&gt;"",S991&lt;&gt;""),"Ready for contact screening","Needs TVD + thickness"))</f>
        <v/>
      </c>
    </row>
    <row r="992">
      <c r="A992" s="9" t="n"/>
      <c r="B992" s="9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9" t="n"/>
      <c r="N992" s="9" t="n"/>
      <c r="O992" s="10" t="n"/>
      <c r="P992" s="9" t="n"/>
      <c r="Q992" s="11">
        <f>IF(P992&lt;&gt;"",P992,IF(M992="","UNKNOWN",IF(AND(ISNUMBER(SEARCH("gas",LOWER(M992))),ISNUMBER(SEARCH("water",LOWER(M992)))),"GAS_WATER",IF(AND(ISNUMBER(SEARCH("oil",LOWER(M992))),ISNUMBER(SEARCH("water",LOWER(M992)))),"OIL_WATER",IF(ISNUMBER(SEARCH("gas",LOWER(M992))),"GAS",IF(ISNUMBER(SEARCH("water",LOWER(M992))),"WATER",IF(ISNUMBER(SEARCH("oil",LOWER(M992))),"OIL","UNKNOWN")))))))</f>
        <v/>
      </c>
      <c r="R992" s="12">
        <f>IF(C992="","",C992)</f>
        <v/>
      </c>
      <c r="S992" s="12">
        <f>IF(R992="","",R992+IF(O992&lt;&gt;"",O992,IF(H992="",0,H992)))</f>
        <v/>
      </c>
      <c r="T992" s="12">
        <f>IF(R992="","",MAX(Settings!$B$3,Settings!$B$4*IF(O992&lt;&gt;"",O992,IF(H992="",0,H992))))</f>
        <v/>
      </c>
      <c r="U992" s="11">
        <f>IF(AND(C992&lt;&gt;"",M992&lt;&gt;"",OR(H992&lt;&gt;"",O992&lt;&gt;"")),"COMPLETE",IF(OR(C992&lt;&gt;"",M992&lt;&gt;""),"PARTIAL","MISSING"))</f>
        <v/>
      </c>
      <c r="V992" s="11">
        <f>IF(Q992="UNKNOWN","Check fluid description",IF(AND(R992&lt;&gt;"",S992&lt;&gt;""),"Ready for contact screening","Needs TVD + thickness"))</f>
        <v/>
      </c>
    </row>
    <row r="993">
      <c r="A993" s="9" t="n"/>
      <c r="B993" s="9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9" t="n"/>
      <c r="N993" s="9" t="n"/>
      <c r="O993" s="10" t="n"/>
      <c r="P993" s="9" t="n"/>
      <c r="Q993" s="11">
        <f>IF(P993&lt;&gt;"",P993,IF(M993="","UNKNOWN",IF(AND(ISNUMBER(SEARCH("gas",LOWER(M993))),ISNUMBER(SEARCH("water",LOWER(M993)))),"GAS_WATER",IF(AND(ISNUMBER(SEARCH("oil",LOWER(M993))),ISNUMBER(SEARCH("water",LOWER(M993)))),"OIL_WATER",IF(ISNUMBER(SEARCH("gas",LOWER(M993))),"GAS",IF(ISNUMBER(SEARCH("water",LOWER(M993))),"WATER",IF(ISNUMBER(SEARCH("oil",LOWER(M993))),"OIL","UNKNOWN")))))))</f>
        <v/>
      </c>
      <c r="R993" s="12">
        <f>IF(C993="","",C993)</f>
        <v/>
      </c>
      <c r="S993" s="12">
        <f>IF(R993="","",R993+IF(O993&lt;&gt;"",O993,IF(H993="",0,H993)))</f>
        <v/>
      </c>
      <c r="T993" s="12">
        <f>IF(R993="","",MAX(Settings!$B$3,Settings!$B$4*IF(O993&lt;&gt;"",O993,IF(H993="",0,H993))))</f>
        <v/>
      </c>
      <c r="U993" s="11">
        <f>IF(AND(C993&lt;&gt;"",M993&lt;&gt;"",OR(H993&lt;&gt;"",O993&lt;&gt;"")),"COMPLETE",IF(OR(C993&lt;&gt;"",M993&lt;&gt;""),"PARTIAL","MISSING"))</f>
        <v/>
      </c>
      <c r="V993" s="11">
        <f>IF(Q993="UNKNOWN","Check fluid description",IF(AND(R993&lt;&gt;"",S993&lt;&gt;""),"Ready for contact screening","Needs TVD + thickness"))</f>
        <v/>
      </c>
    </row>
    <row r="994">
      <c r="A994" s="9" t="n"/>
      <c r="B994" s="9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9" t="n"/>
      <c r="N994" s="9" t="n"/>
      <c r="O994" s="10" t="n"/>
      <c r="P994" s="9" t="n"/>
      <c r="Q994" s="11">
        <f>IF(P994&lt;&gt;"",P994,IF(M994="","UNKNOWN",IF(AND(ISNUMBER(SEARCH("gas",LOWER(M994))),ISNUMBER(SEARCH("water",LOWER(M994)))),"GAS_WATER",IF(AND(ISNUMBER(SEARCH("oil",LOWER(M994))),ISNUMBER(SEARCH("water",LOWER(M994)))),"OIL_WATER",IF(ISNUMBER(SEARCH("gas",LOWER(M994))),"GAS",IF(ISNUMBER(SEARCH("water",LOWER(M994))),"WATER",IF(ISNUMBER(SEARCH("oil",LOWER(M994))),"OIL","UNKNOWN")))))))</f>
        <v/>
      </c>
      <c r="R994" s="12">
        <f>IF(C994="","",C994)</f>
        <v/>
      </c>
      <c r="S994" s="12">
        <f>IF(R994="","",R994+IF(O994&lt;&gt;"",O994,IF(H994="",0,H994)))</f>
        <v/>
      </c>
      <c r="T994" s="12">
        <f>IF(R994="","",MAX(Settings!$B$3,Settings!$B$4*IF(O994&lt;&gt;"",O994,IF(H994="",0,H994))))</f>
        <v/>
      </c>
      <c r="U994" s="11">
        <f>IF(AND(C994&lt;&gt;"",M994&lt;&gt;"",OR(H994&lt;&gt;"",O994&lt;&gt;"")),"COMPLETE",IF(OR(C994&lt;&gt;"",M994&lt;&gt;""),"PARTIAL","MISSING"))</f>
        <v/>
      </c>
      <c r="V994" s="11">
        <f>IF(Q994="UNKNOWN","Check fluid description",IF(AND(R994&lt;&gt;"",S994&lt;&gt;""),"Ready for contact screening","Needs TVD + thickness"))</f>
        <v/>
      </c>
    </row>
    <row r="995">
      <c r="A995" s="9" t="n"/>
      <c r="B995" s="9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9" t="n"/>
      <c r="N995" s="9" t="n"/>
      <c r="O995" s="10" t="n"/>
      <c r="P995" s="9" t="n"/>
      <c r="Q995" s="11">
        <f>IF(P995&lt;&gt;"",P995,IF(M995="","UNKNOWN",IF(AND(ISNUMBER(SEARCH("gas",LOWER(M995))),ISNUMBER(SEARCH("water",LOWER(M995)))),"GAS_WATER",IF(AND(ISNUMBER(SEARCH("oil",LOWER(M995))),ISNUMBER(SEARCH("water",LOWER(M995)))),"OIL_WATER",IF(ISNUMBER(SEARCH("gas",LOWER(M995))),"GAS",IF(ISNUMBER(SEARCH("water",LOWER(M995))),"WATER",IF(ISNUMBER(SEARCH("oil",LOWER(M995))),"OIL","UNKNOWN")))))))</f>
        <v/>
      </c>
      <c r="R995" s="12">
        <f>IF(C995="","",C995)</f>
        <v/>
      </c>
      <c r="S995" s="12">
        <f>IF(R995="","",R995+IF(O995&lt;&gt;"",O995,IF(H995="",0,H995)))</f>
        <v/>
      </c>
      <c r="T995" s="12">
        <f>IF(R995="","",MAX(Settings!$B$3,Settings!$B$4*IF(O995&lt;&gt;"",O995,IF(H995="",0,H995))))</f>
        <v/>
      </c>
      <c r="U995" s="11">
        <f>IF(AND(C995&lt;&gt;"",M995&lt;&gt;"",OR(H995&lt;&gt;"",O995&lt;&gt;"")),"COMPLETE",IF(OR(C995&lt;&gt;"",M995&lt;&gt;""),"PARTIAL","MISSING"))</f>
        <v/>
      </c>
      <c r="V995" s="11">
        <f>IF(Q995="UNKNOWN","Check fluid description",IF(AND(R995&lt;&gt;"",S995&lt;&gt;""),"Ready for contact screening","Needs TVD + thickness"))</f>
        <v/>
      </c>
    </row>
    <row r="996">
      <c r="A996" s="9" t="n"/>
      <c r="B996" s="9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9" t="n"/>
      <c r="N996" s="9" t="n"/>
      <c r="O996" s="10" t="n"/>
      <c r="P996" s="9" t="n"/>
      <c r="Q996" s="11">
        <f>IF(P996&lt;&gt;"",P996,IF(M996="","UNKNOWN",IF(AND(ISNUMBER(SEARCH("gas",LOWER(M996))),ISNUMBER(SEARCH("water",LOWER(M996)))),"GAS_WATER",IF(AND(ISNUMBER(SEARCH("oil",LOWER(M996))),ISNUMBER(SEARCH("water",LOWER(M996)))),"OIL_WATER",IF(ISNUMBER(SEARCH("gas",LOWER(M996))),"GAS",IF(ISNUMBER(SEARCH("water",LOWER(M996))),"WATER",IF(ISNUMBER(SEARCH("oil",LOWER(M996))),"OIL","UNKNOWN")))))))</f>
        <v/>
      </c>
      <c r="R996" s="12">
        <f>IF(C996="","",C996)</f>
        <v/>
      </c>
      <c r="S996" s="12">
        <f>IF(R996="","",R996+IF(O996&lt;&gt;"",O996,IF(H996="",0,H996)))</f>
        <v/>
      </c>
      <c r="T996" s="12">
        <f>IF(R996="","",MAX(Settings!$B$3,Settings!$B$4*IF(O996&lt;&gt;"",O996,IF(H996="",0,H996))))</f>
        <v/>
      </c>
      <c r="U996" s="11">
        <f>IF(AND(C996&lt;&gt;"",M996&lt;&gt;"",OR(H996&lt;&gt;"",O996&lt;&gt;"")),"COMPLETE",IF(OR(C996&lt;&gt;"",M996&lt;&gt;""),"PARTIAL","MISSING"))</f>
        <v/>
      </c>
      <c r="V996" s="11">
        <f>IF(Q996="UNKNOWN","Check fluid description",IF(AND(R996&lt;&gt;"",S996&lt;&gt;""),"Ready for contact screening","Needs TVD + thickness"))</f>
        <v/>
      </c>
    </row>
    <row r="997">
      <c r="A997" s="9" t="n"/>
      <c r="B997" s="9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9" t="n"/>
      <c r="N997" s="9" t="n"/>
      <c r="O997" s="10" t="n"/>
      <c r="P997" s="9" t="n"/>
      <c r="Q997" s="11">
        <f>IF(P997&lt;&gt;"",P997,IF(M997="","UNKNOWN",IF(AND(ISNUMBER(SEARCH("gas",LOWER(M997))),ISNUMBER(SEARCH("water",LOWER(M997)))),"GAS_WATER",IF(AND(ISNUMBER(SEARCH("oil",LOWER(M997))),ISNUMBER(SEARCH("water",LOWER(M997)))),"OIL_WATER",IF(ISNUMBER(SEARCH("gas",LOWER(M997))),"GAS",IF(ISNUMBER(SEARCH("water",LOWER(M997))),"WATER",IF(ISNUMBER(SEARCH("oil",LOWER(M997))),"OIL","UNKNOWN")))))))</f>
        <v/>
      </c>
      <c r="R997" s="12">
        <f>IF(C997="","",C997)</f>
        <v/>
      </c>
      <c r="S997" s="12">
        <f>IF(R997="","",R997+IF(O997&lt;&gt;"",O997,IF(H997="",0,H997)))</f>
        <v/>
      </c>
      <c r="T997" s="12">
        <f>IF(R997="","",MAX(Settings!$B$3,Settings!$B$4*IF(O997&lt;&gt;"",O997,IF(H997="",0,H997))))</f>
        <v/>
      </c>
      <c r="U997" s="11">
        <f>IF(AND(C997&lt;&gt;"",M997&lt;&gt;"",OR(H997&lt;&gt;"",O997&lt;&gt;"")),"COMPLETE",IF(OR(C997&lt;&gt;"",M997&lt;&gt;""),"PARTIAL","MISSING"))</f>
        <v/>
      </c>
      <c r="V997" s="11">
        <f>IF(Q997="UNKNOWN","Check fluid description",IF(AND(R997&lt;&gt;"",S997&lt;&gt;""),"Ready for contact screening","Needs TVD + thickness"))</f>
        <v/>
      </c>
    </row>
    <row r="998">
      <c r="A998" s="9" t="n"/>
      <c r="B998" s="9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9" t="n"/>
      <c r="N998" s="9" t="n"/>
      <c r="O998" s="10" t="n"/>
      <c r="P998" s="9" t="n"/>
      <c r="Q998" s="11">
        <f>IF(P998&lt;&gt;"",P998,IF(M998="","UNKNOWN",IF(AND(ISNUMBER(SEARCH("gas",LOWER(M998))),ISNUMBER(SEARCH("water",LOWER(M998)))),"GAS_WATER",IF(AND(ISNUMBER(SEARCH("oil",LOWER(M998))),ISNUMBER(SEARCH("water",LOWER(M998)))),"OIL_WATER",IF(ISNUMBER(SEARCH("gas",LOWER(M998))),"GAS",IF(ISNUMBER(SEARCH("water",LOWER(M998))),"WATER",IF(ISNUMBER(SEARCH("oil",LOWER(M998))),"OIL","UNKNOWN")))))))</f>
        <v/>
      </c>
      <c r="R998" s="12">
        <f>IF(C998="","",C998)</f>
        <v/>
      </c>
      <c r="S998" s="12">
        <f>IF(R998="","",R998+IF(O998&lt;&gt;"",O998,IF(H998="",0,H998)))</f>
        <v/>
      </c>
      <c r="T998" s="12">
        <f>IF(R998="","",MAX(Settings!$B$3,Settings!$B$4*IF(O998&lt;&gt;"",O998,IF(H998="",0,H998))))</f>
        <v/>
      </c>
      <c r="U998" s="11">
        <f>IF(AND(C998&lt;&gt;"",M998&lt;&gt;"",OR(H998&lt;&gt;"",O998&lt;&gt;"")),"COMPLETE",IF(OR(C998&lt;&gt;"",M998&lt;&gt;""),"PARTIAL","MISSING"))</f>
        <v/>
      </c>
      <c r="V998" s="11">
        <f>IF(Q998="UNKNOWN","Check fluid description",IF(AND(R998&lt;&gt;"",S998&lt;&gt;""),"Ready for contact screening","Needs TVD + thickness"))</f>
        <v/>
      </c>
    </row>
    <row r="999">
      <c r="A999" s="9" t="n"/>
      <c r="B999" s="9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9" t="n"/>
      <c r="N999" s="9" t="n"/>
      <c r="O999" s="10" t="n"/>
      <c r="P999" s="9" t="n"/>
      <c r="Q999" s="11">
        <f>IF(P999&lt;&gt;"",P999,IF(M999="","UNKNOWN",IF(AND(ISNUMBER(SEARCH("gas",LOWER(M999))),ISNUMBER(SEARCH("water",LOWER(M999)))),"GAS_WATER",IF(AND(ISNUMBER(SEARCH("oil",LOWER(M999))),ISNUMBER(SEARCH("water",LOWER(M999)))),"OIL_WATER",IF(ISNUMBER(SEARCH("gas",LOWER(M999))),"GAS",IF(ISNUMBER(SEARCH("water",LOWER(M999))),"WATER",IF(ISNUMBER(SEARCH("oil",LOWER(M999))),"OIL","UNKNOWN")))))))</f>
        <v/>
      </c>
      <c r="R999" s="12">
        <f>IF(C999="","",C999)</f>
        <v/>
      </c>
      <c r="S999" s="12">
        <f>IF(R999="","",R999+IF(O999&lt;&gt;"",O999,IF(H999="",0,H999)))</f>
        <v/>
      </c>
      <c r="T999" s="12">
        <f>IF(R999="","",MAX(Settings!$B$3,Settings!$B$4*IF(O999&lt;&gt;"",O999,IF(H999="",0,H999))))</f>
        <v/>
      </c>
      <c r="U999" s="11">
        <f>IF(AND(C999&lt;&gt;"",M999&lt;&gt;"",OR(H999&lt;&gt;"",O999&lt;&gt;"")),"COMPLETE",IF(OR(C999&lt;&gt;"",M999&lt;&gt;""),"PARTIAL","MISSING"))</f>
        <v/>
      </c>
      <c r="V999" s="11">
        <f>IF(Q999="UNKNOWN","Check fluid description",IF(AND(R999&lt;&gt;"",S999&lt;&gt;""),"Ready for contact screening","Needs TVD + thickness"))</f>
        <v/>
      </c>
    </row>
    <row r="1000">
      <c r="A1000" s="9" t="n"/>
      <c r="B1000" s="9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9" t="n"/>
      <c r="N1000" s="9" t="n"/>
      <c r="O1000" s="10" t="n"/>
      <c r="P1000" s="9" t="n"/>
      <c r="Q1000" s="11">
        <f>IF(P1000&lt;&gt;"",P1000,IF(M1000="","UNKNOWN",IF(AND(ISNUMBER(SEARCH("gas",LOWER(M1000))),ISNUMBER(SEARCH("water",LOWER(M1000)))),"GAS_WATER",IF(AND(ISNUMBER(SEARCH("oil",LOWER(M1000))),ISNUMBER(SEARCH("water",LOWER(M1000)))),"OIL_WATER",IF(ISNUMBER(SEARCH("gas",LOWER(M1000))),"GAS",IF(ISNUMBER(SEARCH("water",LOWER(M1000))),"WATER",IF(ISNUMBER(SEARCH("oil",LOWER(M1000))),"OIL","UNKNOWN")))))))</f>
        <v/>
      </c>
      <c r="R1000" s="12">
        <f>IF(C1000="","",C1000)</f>
        <v/>
      </c>
      <c r="S1000" s="12">
        <f>IF(R1000="","",R1000+IF(O1000&lt;&gt;"",O1000,IF(H1000="",0,H1000)))</f>
        <v/>
      </c>
      <c r="T1000" s="12">
        <f>IF(R1000="","",MAX(Settings!$B$3,Settings!$B$4*IF(O1000&lt;&gt;"",O1000,IF(H1000="",0,H1000))))</f>
        <v/>
      </c>
      <c r="U1000" s="11">
        <f>IF(AND(C1000&lt;&gt;"",M1000&lt;&gt;"",OR(H1000&lt;&gt;"",O1000&lt;&gt;"")),"COMPLETE",IF(OR(C1000&lt;&gt;"",M1000&lt;&gt;""),"PARTIAL","MISSING"))</f>
        <v/>
      </c>
      <c r="V1000" s="11">
        <f>IF(Q1000="UNKNOWN","Check fluid description",IF(AND(R1000&lt;&gt;"",S1000&lt;&gt;""),"Ready for contact screening","Needs TVD + thickness"))</f>
        <v/>
      </c>
    </row>
    <row r="1001">
      <c r="A1001" s="9" t="n"/>
      <c r="B1001" s="9" t="n"/>
      <c r="C1001" s="10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9" t="n"/>
      <c r="N1001" s="9" t="n"/>
      <c r="O1001" s="10" t="n"/>
      <c r="P1001" s="9" t="n"/>
      <c r="Q1001" s="11">
        <f>IF(P1001&lt;&gt;"",P1001,IF(M1001="","UNKNOWN",IF(AND(ISNUMBER(SEARCH("gas",LOWER(M1001))),ISNUMBER(SEARCH("water",LOWER(M1001)))),"GAS_WATER",IF(AND(ISNUMBER(SEARCH("oil",LOWER(M1001))),ISNUMBER(SEARCH("water",LOWER(M1001)))),"OIL_WATER",IF(ISNUMBER(SEARCH("gas",LOWER(M1001))),"GAS",IF(ISNUMBER(SEARCH("water",LOWER(M1001))),"WATER",IF(ISNUMBER(SEARCH("oil",LOWER(M1001))),"OIL","UNKNOWN")))))))</f>
        <v/>
      </c>
      <c r="R1001" s="12">
        <f>IF(C1001="","",C1001)</f>
        <v/>
      </c>
      <c r="S1001" s="12">
        <f>IF(R1001="","",R1001+IF(O1001&lt;&gt;"",O1001,IF(H1001="",0,H1001)))</f>
        <v/>
      </c>
      <c r="T1001" s="12">
        <f>IF(R1001="","",MAX(Settings!$B$3,Settings!$B$4*IF(O1001&lt;&gt;"",O1001,IF(H1001="",0,H1001))))</f>
        <v/>
      </c>
      <c r="U1001" s="11">
        <f>IF(AND(C1001&lt;&gt;"",M1001&lt;&gt;"",OR(H1001&lt;&gt;"",O1001&lt;&gt;"")),"COMPLETE",IF(OR(C1001&lt;&gt;"",M1001&lt;&gt;""),"PARTIAL","MISSING"))</f>
        <v/>
      </c>
      <c r="V1001" s="11">
        <f>IF(Q1001="UNKNOWN","Check fluid description",IF(AND(R1001&lt;&gt;"",S1001&lt;&gt;""),"Ready for contact screening","Needs TVD + thickness"))</f>
        <v/>
      </c>
    </row>
  </sheetData>
  <autoFilter ref="A1:V1001"/>
  <dataValidations count="1">
    <dataValidation sqref="P2:P1001" showDropDown="0" showInputMessage="0" showErrorMessage="0" allowBlank="1" type="list">
      <formula1>"GAS,OIL,OIL_WATER,GAS_WATER,WATER,UNKNOWN"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62" customWidth="1" min="4" max="4"/>
  </cols>
  <sheetData>
    <row r="1">
      <c r="A1" s="13" t="inlineStr">
        <is>
          <t>FLUID CONTACT DETECTOR — SETTINGS</t>
        </is>
      </c>
    </row>
    <row r="3" ht="30" customHeight="1">
      <c r="A3" s="8" t="inlineStr">
        <is>
          <t>Parameter</t>
        </is>
      </c>
      <c r="B3" s="8" t="inlineStr">
        <is>
          <t>Value</t>
        </is>
      </c>
      <c r="C3" s="8" t="inlineStr">
        <is>
          <t>Unit</t>
        </is>
      </c>
      <c r="D3" s="8" t="inlineStr">
        <is>
          <t>Purpose</t>
        </is>
      </c>
    </row>
    <row r="4">
      <c r="A4" s="14" t="inlineStr">
        <is>
          <t>Minimum contact uncertainty</t>
        </is>
      </c>
      <c r="B4" s="14" t="n">
        <v>5</v>
      </c>
      <c r="C4" s="14" t="inlineStr">
        <is>
          <t>m</t>
        </is>
      </c>
      <c r="D4" s="14" t="inlineStr">
        <is>
          <t>Lower bound of screening envelope</t>
        </is>
      </c>
    </row>
    <row r="5">
      <c r="A5" s="14" t="inlineStr">
        <is>
          <t>Uncertainty fraction</t>
        </is>
      </c>
      <c r="B5" s="15" t="n">
        <v>0.03</v>
      </c>
      <c r="C5" s="14" t="inlineStr">
        <is>
          <t>fraction</t>
        </is>
      </c>
      <c r="D5" s="14" t="inlineStr">
        <is>
          <t>Screening envelope = MAX(minimum, fraction × effective thickness)</t>
        </is>
      </c>
    </row>
    <row r="6">
      <c r="A6" s="14" t="inlineStr">
        <is>
          <t>Direct transition weight</t>
        </is>
      </c>
      <c r="B6" s="16" t="n">
        <v>0.6</v>
      </c>
      <c r="C6" s="14" t="inlineStr">
        <is>
          <t>weight</t>
        </is>
      </c>
      <c r="D6" s="14" t="inlineStr">
        <is>
          <t>Weight for direct fluid-class transition</t>
        </is>
      </c>
    </row>
    <row r="7">
      <c r="A7" s="14" t="inlineStr">
        <is>
          <t>Sw consistency weight</t>
        </is>
      </c>
      <c r="B7" s="16" t="n">
        <v>0.2</v>
      </c>
      <c r="C7" s="14" t="inlineStr">
        <is>
          <t>weight</t>
        </is>
      </c>
      <c r="D7" s="14" t="inlineStr">
        <is>
          <t>Weight for saturation-direction support</t>
        </is>
      </c>
    </row>
    <row r="8">
      <c r="A8" s="14" t="inlineStr">
        <is>
          <t>Data completeness weight</t>
        </is>
      </c>
      <c r="B8" s="16" t="n">
        <v>0.2</v>
      </c>
      <c r="C8" s="14" t="inlineStr">
        <is>
          <t>weight</t>
        </is>
      </c>
      <c r="D8" s="14" t="inlineStr">
        <is>
          <t>Weight for depth/thickness/fluid completeness</t>
        </is>
      </c>
    </row>
    <row r="11">
      <c r="A11" s="17" t="inlineStr">
        <is>
          <t>Fluid classification logic</t>
        </is>
      </c>
    </row>
    <row r="12">
      <c r="A12" s="18" t="inlineStr">
        <is>
          <t>GAS</t>
        </is>
      </c>
      <c r="B12" s="1" t="inlineStr">
        <is>
          <t>Fluids text contains gas and not water.</t>
        </is>
      </c>
    </row>
    <row r="13">
      <c r="A13" s="18" t="inlineStr">
        <is>
          <t>OIL</t>
        </is>
      </c>
      <c r="B13" s="1" t="inlineStr">
        <is>
          <t>Fluids text contains oil and not water; includes low-concentration/swept-oil descriptions.</t>
        </is>
      </c>
    </row>
    <row r="14">
      <c r="A14" s="18" t="inlineStr">
        <is>
          <t>OIL_WATER</t>
        </is>
      </c>
      <c r="B14" s="1" t="inlineStr">
        <is>
          <t>Fluids text contains both oil and water.</t>
        </is>
      </c>
    </row>
    <row r="15">
      <c r="A15" s="18" t="inlineStr">
        <is>
          <t>GAS_WATER</t>
        </is>
      </c>
      <c r="B15" s="1" t="inlineStr">
        <is>
          <t>Fluids text contains both gas and water.</t>
        </is>
      </c>
    </row>
    <row r="16">
      <c r="A16" s="18" t="inlineStr">
        <is>
          <t>WATER</t>
        </is>
      </c>
      <c r="B16" s="1" t="inlineStr">
        <is>
          <t>Fluids text contains water and not oil/gas.</t>
        </is>
      </c>
    </row>
    <row r="17">
      <c r="A17" s="18" t="inlineStr">
        <is>
          <t>Fluid_Override</t>
        </is>
      </c>
      <c r="B17" s="1" t="inlineStr">
        <is>
          <t>Use this only when the automatic text classification is not appropriate.</t>
        </is>
      </c>
    </row>
    <row r="20">
      <c r="A20" s="17" t="inlineStr">
        <is>
          <t>Research basis</t>
        </is>
      </c>
    </row>
    <row r="21">
      <c r="A21" s="3" t="inlineStr">
        <is>
          <t>The detector follows the supplied CHIRAG FLOWSCAPE methodology: formation-specific fluids are preserved; original/shifted contacts are separated; contact uncertainty is propagated; permeability is not treated as connectivity by itself; and static evidence is treated as a prior that can later be updated with dynamic evidence.</t>
        </is>
      </c>
    </row>
    <row r="22"/>
    <row r="23"/>
  </sheetData>
  <mergeCells count="2">
    <mergeCell ref="A1:D1"/>
    <mergeCell ref="A21:D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5" customWidth="1" min="4" max="4"/>
    <col width="15" customWidth="1" min="5" max="5"/>
    <col width="22" customWidth="1" min="6" max="6"/>
    <col width="19" customWidth="1" min="7" max="7"/>
    <col width="15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23" customWidth="1" min="15" max="15"/>
    <col width="24" customWidth="1" min="16" max="16"/>
    <col width="48" customWidth="1" min="17" max="17"/>
  </cols>
  <sheetData>
    <row r="1" ht="30" customHeight="1">
      <c r="A1" s="8" t="inlineStr">
        <is>
          <t>Well</t>
        </is>
      </c>
      <c r="B1" s="8" t="inlineStr">
        <is>
          <t>Upper Formation</t>
        </is>
      </c>
      <c r="C1" s="8" t="inlineStr">
        <is>
          <t>Lower Formation</t>
        </is>
      </c>
      <c r="D1" s="8" t="inlineStr">
        <is>
          <t>Upper Fluid</t>
        </is>
      </c>
      <c r="E1" s="8" t="inlineStr">
        <is>
          <t>Lower Fluid</t>
        </is>
      </c>
      <c r="F1" s="8" t="inlineStr">
        <is>
          <t>Contact_Type</t>
        </is>
      </c>
      <c r="G1" s="8" t="inlineStr">
        <is>
          <t>Candidate_Contact_TVD</t>
        </is>
      </c>
      <c r="H1" s="8" t="inlineStr">
        <is>
          <t>Uncertainty_m</t>
        </is>
      </c>
      <c r="I1" s="8" t="inlineStr">
        <is>
          <t>Low_TVD</t>
        </is>
      </c>
      <c r="J1" s="8" t="inlineStr">
        <is>
          <t>High_TVD</t>
        </is>
      </c>
      <c r="K1" s="8" t="inlineStr">
        <is>
          <t>Upper_Sw</t>
        </is>
      </c>
      <c r="L1" s="8" t="inlineStr">
        <is>
          <t>Lower_Sw</t>
        </is>
      </c>
      <c r="M1" s="8" t="inlineStr">
        <is>
          <t>Delta_Sw</t>
        </is>
      </c>
      <c r="N1" s="8" t="inlineStr">
        <is>
          <t>Sw_Check</t>
        </is>
      </c>
      <c r="O1" s="8" t="inlineStr">
        <is>
          <t>Contact_Screening_Score</t>
        </is>
      </c>
      <c r="P1" s="8" t="inlineStr">
        <is>
          <t>Evidence_Flag</t>
        </is>
      </c>
      <c r="Q1" s="8" t="inlineStr">
        <is>
          <t>Action / Interpretation</t>
        </is>
      </c>
    </row>
    <row r="2">
      <c r="A2" s="19">
        <f>IF(AND(Master_Data!A2&lt;&gt;"",Master_Data!A2=Master_Data!A3),Master_Data!A2,"")</f>
        <v/>
      </c>
      <c r="B2" s="19">
        <f>IF($A2="","",Master_Data!B2)</f>
        <v/>
      </c>
      <c r="C2" s="19">
        <f>IF($A2="","",Master_Data!B3)</f>
        <v/>
      </c>
      <c r="D2" s="19">
        <f>IF($A2="","",Master_Data!Q2)</f>
        <v/>
      </c>
      <c r="E2" s="19">
        <f>IF($A2="","",Master_Data!Q3)</f>
        <v/>
      </c>
      <c r="F2" s="19">
        <f>IF($A2="","",IF(AND(D2="GAS",E2="OIL"),"GOC",IF(AND(D2="OIL",E2="WATER"),"OWC",IF(AND(D2="GAS",E2="WATER"),"GWC",IF(AND(D2="OIL",E2="OIL_WATER"),"OWC_TRANSITION",IF(AND(D2="OIL_WATER",E2="WATER"),"OWC_TRANSITION",IF(AND(D2="GAS",E2="GAS_WATER"),"GOC_TRANSITION",IF(AND(D2="GAS_WATER",E2="OIL"),"GOC_TRANSITION",IF(OR(D2="OIL_WATER",D2="GAS_WATER"),"TRANSITION_INTERVAL","")))))))))</f>
        <v/>
      </c>
      <c r="G2" s="20">
        <f>IF(OR(F2="",Master_Data!R2="",Master_Data!S2=""),"",IF(RIGHT(F2,10)="TRANSITION",AVERAGE(Master_Data!R2:Master_Data!S2),AVERAGE(Master_Data!S2,Master_Data!R3)))</f>
        <v/>
      </c>
      <c r="H2" s="20">
        <f>IF(G2="","",MAX(Settings!$B$4,Settings!$B$5*AVERAGE(IF(Master_Data!O2&lt;&gt;"",Master_Data!O2,Master_Data!H2),IF(Master_Data!O3&lt;&gt;"",Master_Data!O3,Master_Data!H3))))</f>
        <v/>
      </c>
      <c r="I2" s="20">
        <f>IF(G2="","",G2-H2)</f>
        <v/>
      </c>
      <c r="J2" s="20">
        <f>IF(G2="","",G2+H2)</f>
        <v/>
      </c>
      <c r="K2" s="20">
        <f>IF($A2="","",Master_Data!G2)</f>
        <v/>
      </c>
      <c r="L2" s="20">
        <f>IF($A2="","",Master_Data!G3)</f>
        <v/>
      </c>
      <c r="M2" s="20">
        <f>IF(AND(ISNUMBER(K2),ISNUMBER(L2)),L2-K2,"")</f>
        <v/>
      </c>
      <c r="N2" s="19">
        <f>IF(G2="","",IF(AND(ISNUMBER(K2),ISNUMBER(L2)),IF(OR(F2="GOC",F2="OWC",F2="GWC",F2="OWC_TRANSITION",F2="GOC_TRANSITION"),IF(L2&gt;=K2,"Supports","Conflicts"),"N/A"),"No Sw"))</f>
        <v/>
      </c>
      <c r="O2" s="20">
        <f>IF(G2="","",Settings!$B$6*IF(OR(F2="GOC",F2="OWC",F2="GWC"),1,0.7)+Settings!$B$7*IF(N2="Supports",1,IF(N2="Conflicts",0,0.5))+Settings!$B$8*IF(AND(Master_Data!R2&lt;&gt;"",Master_Data!S2&lt;&gt;"",Master_Data!R3&lt;&gt;"",Master_Data!S3&lt;&gt;""),1,0.5))</f>
        <v/>
      </c>
      <c r="P2" s="19">
        <f>IF(G2="","",IF(N2="Conflicts","SW_CONFLICT",IF(OR(F2="GOC",F2="OWC",F2="GWC"),"DIRECT_FLUID_TRANSITION","TRANSITION_INTERVAL")))</f>
        <v/>
      </c>
      <c r="Q2" s="19">
        <f>IF(G2="","",IF(N2="Conflicts","Investigate contact interpretation / saturation behaviour",IF(OR(F2="OWC",F2="GOC",F2="GWC"),"Candidate contact — validate with logs, pressure and dynamic evidence","Transition zone — do not force to a sharp contact")))</f>
        <v/>
      </c>
    </row>
    <row r="3">
      <c r="A3" s="19">
        <f>IF(AND(Master_Data!A3&lt;&gt;"",Master_Data!A3=Master_Data!A4),Master_Data!A3,"")</f>
        <v/>
      </c>
      <c r="B3" s="19">
        <f>IF($A3="","",Master_Data!B3)</f>
        <v/>
      </c>
      <c r="C3" s="19">
        <f>IF($A3="","",Master_Data!B4)</f>
        <v/>
      </c>
      <c r="D3" s="19">
        <f>IF($A3="","",Master_Data!Q3)</f>
        <v/>
      </c>
      <c r="E3" s="19">
        <f>IF($A3="","",Master_Data!Q4)</f>
        <v/>
      </c>
      <c r="F3" s="19">
        <f>IF($A3="","",IF(AND(D3="GAS",E3="OIL"),"GOC",IF(AND(D3="OIL",E3="WATER"),"OWC",IF(AND(D3="GAS",E3="WATER"),"GWC",IF(AND(D3="OIL",E3="OIL_WATER"),"OWC_TRANSITION",IF(AND(D3="OIL_WATER",E3="WATER"),"OWC_TRANSITION",IF(AND(D3="GAS",E3="GAS_WATER"),"GOC_TRANSITION",IF(AND(D3="GAS_WATER",E3="OIL"),"GOC_TRANSITION",IF(OR(D3="OIL_WATER",D3="GAS_WATER"),"TRANSITION_INTERVAL","")))))))))</f>
        <v/>
      </c>
      <c r="G3" s="20">
        <f>IF(OR(F3="",Master_Data!R3="",Master_Data!S3=""),"",IF(RIGHT(F3,10)="TRANSITION",AVERAGE(Master_Data!R3:Master_Data!S3),AVERAGE(Master_Data!S3,Master_Data!R4)))</f>
        <v/>
      </c>
      <c r="H3" s="20">
        <f>IF(G3="","",MAX(Settings!$B$4,Settings!$B$5*AVERAGE(IF(Master_Data!O3&lt;&gt;"",Master_Data!O3,Master_Data!H3),IF(Master_Data!O4&lt;&gt;"",Master_Data!O4,Master_Data!H4))))</f>
        <v/>
      </c>
      <c r="I3" s="20">
        <f>IF(G3="","",G3-H3)</f>
        <v/>
      </c>
      <c r="J3" s="20">
        <f>IF(G3="","",G3+H3)</f>
        <v/>
      </c>
      <c r="K3" s="20">
        <f>IF($A3="","",Master_Data!G3)</f>
        <v/>
      </c>
      <c r="L3" s="20">
        <f>IF($A3="","",Master_Data!G4)</f>
        <v/>
      </c>
      <c r="M3" s="20">
        <f>IF(AND(ISNUMBER(K3),ISNUMBER(L3)),L3-K3,"")</f>
        <v/>
      </c>
      <c r="N3" s="19">
        <f>IF(G3="","",IF(AND(ISNUMBER(K3),ISNUMBER(L3)),IF(OR(F3="GOC",F3="OWC",F3="GWC",F3="OWC_TRANSITION",F3="GOC_TRANSITION"),IF(L3&gt;=K3,"Supports","Conflicts"),"N/A"),"No Sw"))</f>
        <v/>
      </c>
      <c r="O3" s="20">
        <f>IF(G3="","",Settings!$B$6*IF(OR(F3="GOC",F3="OWC",F3="GWC"),1,0.7)+Settings!$B$7*IF(N3="Supports",1,IF(N3="Conflicts",0,0.5))+Settings!$B$8*IF(AND(Master_Data!R3&lt;&gt;"",Master_Data!S3&lt;&gt;"",Master_Data!R4&lt;&gt;"",Master_Data!S4&lt;&gt;""),1,0.5))</f>
        <v/>
      </c>
      <c r="P3" s="19">
        <f>IF(G3="","",IF(N3="Conflicts","SW_CONFLICT",IF(OR(F3="GOC",F3="OWC",F3="GWC"),"DIRECT_FLUID_TRANSITION","TRANSITION_INTERVAL")))</f>
        <v/>
      </c>
      <c r="Q3" s="19">
        <f>IF(G3="","",IF(N3="Conflicts","Investigate contact interpretation / saturation behaviour",IF(OR(F3="OWC",F3="GOC",F3="GWC"),"Candidate contact — validate with logs, pressure and dynamic evidence","Transition zone — do not force to a sharp contact")))</f>
        <v/>
      </c>
    </row>
    <row r="4">
      <c r="A4" s="19">
        <f>IF(AND(Master_Data!A4&lt;&gt;"",Master_Data!A4=Master_Data!A5),Master_Data!A4,"")</f>
        <v/>
      </c>
      <c r="B4" s="19">
        <f>IF($A4="","",Master_Data!B4)</f>
        <v/>
      </c>
      <c r="C4" s="19">
        <f>IF($A4="","",Master_Data!B5)</f>
        <v/>
      </c>
      <c r="D4" s="19">
        <f>IF($A4="","",Master_Data!Q4)</f>
        <v/>
      </c>
      <c r="E4" s="19">
        <f>IF($A4="","",Master_Data!Q5)</f>
        <v/>
      </c>
      <c r="F4" s="19">
        <f>IF($A4="","",IF(AND(D4="GAS",E4="OIL"),"GOC",IF(AND(D4="OIL",E4="WATER"),"OWC",IF(AND(D4="GAS",E4="WATER"),"GWC",IF(AND(D4="OIL",E4="OIL_WATER"),"OWC_TRANSITION",IF(AND(D4="OIL_WATER",E4="WATER"),"OWC_TRANSITION",IF(AND(D4="GAS",E4="GAS_WATER"),"GOC_TRANSITION",IF(AND(D4="GAS_WATER",E4="OIL"),"GOC_TRANSITION",IF(OR(D4="OIL_WATER",D4="GAS_WATER"),"TRANSITION_INTERVAL","")))))))))</f>
        <v/>
      </c>
      <c r="G4" s="20">
        <f>IF(OR(F4="",Master_Data!R4="",Master_Data!S4=""),"",IF(RIGHT(F4,10)="TRANSITION",AVERAGE(Master_Data!R4:Master_Data!S4),AVERAGE(Master_Data!S4,Master_Data!R5)))</f>
        <v/>
      </c>
      <c r="H4" s="20">
        <f>IF(G4="","",MAX(Settings!$B$4,Settings!$B$5*AVERAGE(IF(Master_Data!O4&lt;&gt;"",Master_Data!O4,Master_Data!H4),IF(Master_Data!O5&lt;&gt;"",Master_Data!O5,Master_Data!H5))))</f>
        <v/>
      </c>
      <c r="I4" s="20">
        <f>IF(G4="","",G4-H4)</f>
        <v/>
      </c>
      <c r="J4" s="20">
        <f>IF(G4="","",G4+H4)</f>
        <v/>
      </c>
      <c r="K4" s="20">
        <f>IF($A4="","",Master_Data!G4)</f>
        <v/>
      </c>
      <c r="L4" s="20">
        <f>IF($A4="","",Master_Data!G5)</f>
        <v/>
      </c>
      <c r="M4" s="20">
        <f>IF(AND(ISNUMBER(K4),ISNUMBER(L4)),L4-K4,"")</f>
        <v/>
      </c>
      <c r="N4" s="19">
        <f>IF(G4="","",IF(AND(ISNUMBER(K4),ISNUMBER(L4)),IF(OR(F4="GOC",F4="OWC",F4="GWC",F4="OWC_TRANSITION",F4="GOC_TRANSITION"),IF(L4&gt;=K4,"Supports","Conflicts"),"N/A"),"No Sw"))</f>
        <v/>
      </c>
      <c r="O4" s="20">
        <f>IF(G4="","",Settings!$B$6*IF(OR(F4="GOC",F4="OWC",F4="GWC"),1,0.7)+Settings!$B$7*IF(N4="Supports",1,IF(N4="Conflicts",0,0.5))+Settings!$B$8*IF(AND(Master_Data!R4&lt;&gt;"",Master_Data!S4&lt;&gt;"",Master_Data!R5&lt;&gt;"",Master_Data!S5&lt;&gt;""),1,0.5))</f>
        <v/>
      </c>
      <c r="P4" s="19">
        <f>IF(G4="","",IF(N4="Conflicts","SW_CONFLICT",IF(OR(F4="GOC",F4="OWC",F4="GWC"),"DIRECT_FLUID_TRANSITION","TRANSITION_INTERVAL")))</f>
        <v/>
      </c>
      <c r="Q4" s="19">
        <f>IF(G4="","",IF(N4="Conflicts","Investigate contact interpretation / saturation behaviour",IF(OR(F4="OWC",F4="GOC",F4="GWC"),"Candidate contact — validate with logs, pressure and dynamic evidence","Transition zone — do not force to a sharp contact")))</f>
        <v/>
      </c>
    </row>
    <row r="5">
      <c r="A5" s="19">
        <f>IF(AND(Master_Data!A5&lt;&gt;"",Master_Data!A5=Master_Data!A6),Master_Data!A5,"")</f>
        <v/>
      </c>
      <c r="B5" s="19">
        <f>IF($A5="","",Master_Data!B5)</f>
        <v/>
      </c>
      <c r="C5" s="19">
        <f>IF($A5="","",Master_Data!B6)</f>
        <v/>
      </c>
      <c r="D5" s="19">
        <f>IF($A5="","",Master_Data!Q5)</f>
        <v/>
      </c>
      <c r="E5" s="19">
        <f>IF($A5="","",Master_Data!Q6)</f>
        <v/>
      </c>
      <c r="F5" s="19">
        <f>IF($A5="","",IF(AND(D5="GAS",E5="OIL"),"GOC",IF(AND(D5="OIL",E5="WATER"),"OWC",IF(AND(D5="GAS",E5="WATER"),"GWC",IF(AND(D5="OIL",E5="OIL_WATER"),"OWC_TRANSITION",IF(AND(D5="OIL_WATER",E5="WATER"),"OWC_TRANSITION",IF(AND(D5="GAS",E5="GAS_WATER"),"GOC_TRANSITION",IF(AND(D5="GAS_WATER",E5="OIL"),"GOC_TRANSITION",IF(OR(D5="OIL_WATER",D5="GAS_WATER"),"TRANSITION_INTERVAL","")))))))))</f>
        <v/>
      </c>
      <c r="G5" s="20">
        <f>IF(OR(F5="",Master_Data!R5="",Master_Data!S5=""),"",IF(RIGHT(F5,10)="TRANSITION",AVERAGE(Master_Data!R5:Master_Data!S5),AVERAGE(Master_Data!S5,Master_Data!R6)))</f>
        <v/>
      </c>
      <c r="H5" s="20">
        <f>IF(G5="","",MAX(Settings!$B$4,Settings!$B$5*AVERAGE(IF(Master_Data!O5&lt;&gt;"",Master_Data!O5,Master_Data!H5),IF(Master_Data!O6&lt;&gt;"",Master_Data!O6,Master_Data!H6))))</f>
        <v/>
      </c>
      <c r="I5" s="20">
        <f>IF(G5="","",G5-H5)</f>
        <v/>
      </c>
      <c r="J5" s="20">
        <f>IF(G5="","",G5+H5)</f>
        <v/>
      </c>
      <c r="K5" s="20">
        <f>IF($A5="","",Master_Data!G5)</f>
        <v/>
      </c>
      <c r="L5" s="20">
        <f>IF($A5="","",Master_Data!G6)</f>
        <v/>
      </c>
      <c r="M5" s="20">
        <f>IF(AND(ISNUMBER(K5),ISNUMBER(L5)),L5-K5,"")</f>
        <v/>
      </c>
      <c r="N5" s="19">
        <f>IF(G5="","",IF(AND(ISNUMBER(K5),ISNUMBER(L5)),IF(OR(F5="GOC",F5="OWC",F5="GWC",F5="OWC_TRANSITION",F5="GOC_TRANSITION"),IF(L5&gt;=K5,"Supports","Conflicts"),"N/A"),"No Sw"))</f>
        <v/>
      </c>
      <c r="O5" s="20">
        <f>IF(G5="","",Settings!$B$6*IF(OR(F5="GOC",F5="OWC",F5="GWC"),1,0.7)+Settings!$B$7*IF(N5="Supports",1,IF(N5="Conflicts",0,0.5))+Settings!$B$8*IF(AND(Master_Data!R5&lt;&gt;"",Master_Data!S5&lt;&gt;"",Master_Data!R6&lt;&gt;"",Master_Data!S6&lt;&gt;""),1,0.5))</f>
        <v/>
      </c>
      <c r="P5" s="19">
        <f>IF(G5="","",IF(N5="Conflicts","SW_CONFLICT",IF(OR(F5="GOC",F5="OWC",F5="GWC"),"DIRECT_FLUID_TRANSITION","TRANSITION_INTERVAL")))</f>
        <v/>
      </c>
      <c r="Q5" s="19">
        <f>IF(G5="","",IF(N5="Conflicts","Investigate contact interpretation / saturation behaviour",IF(OR(F5="OWC",F5="GOC",F5="GWC"),"Candidate contact — validate with logs, pressure and dynamic evidence","Transition zone — do not force to a sharp contact")))</f>
        <v/>
      </c>
    </row>
    <row r="6">
      <c r="A6" s="19">
        <f>IF(AND(Master_Data!A6&lt;&gt;"",Master_Data!A6=Master_Data!A7),Master_Data!A6,"")</f>
        <v/>
      </c>
      <c r="B6" s="19">
        <f>IF($A6="","",Master_Data!B6)</f>
        <v/>
      </c>
      <c r="C6" s="19">
        <f>IF($A6="","",Master_Data!B7)</f>
        <v/>
      </c>
      <c r="D6" s="19">
        <f>IF($A6="","",Master_Data!Q6)</f>
        <v/>
      </c>
      <c r="E6" s="19">
        <f>IF($A6="","",Master_Data!Q7)</f>
        <v/>
      </c>
      <c r="F6" s="19">
        <f>IF($A6="","",IF(AND(D6="GAS",E6="OIL"),"GOC",IF(AND(D6="OIL",E6="WATER"),"OWC",IF(AND(D6="GAS",E6="WATER"),"GWC",IF(AND(D6="OIL",E6="OIL_WATER"),"OWC_TRANSITION",IF(AND(D6="OIL_WATER",E6="WATER"),"OWC_TRANSITION",IF(AND(D6="GAS",E6="GAS_WATER"),"GOC_TRANSITION",IF(AND(D6="GAS_WATER",E6="OIL"),"GOC_TRANSITION",IF(OR(D6="OIL_WATER",D6="GAS_WATER"),"TRANSITION_INTERVAL","")))))))))</f>
        <v/>
      </c>
      <c r="G6" s="20">
        <f>IF(OR(F6="",Master_Data!R6="",Master_Data!S6=""),"",IF(RIGHT(F6,10)="TRANSITION",AVERAGE(Master_Data!R6:Master_Data!S6),AVERAGE(Master_Data!S6,Master_Data!R7)))</f>
        <v/>
      </c>
      <c r="H6" s="20">
        <f>IF(G6="","",MAX(Settings!$B$4,Settings!$B$5*AVERAGE(IF(Master_Data!O6&lt;&gt;"",Master_Data!O6,Master_Data!H6),IF(Master_Data!O7&lt;&gt;"",Master_Data!O7,Master_Data!H7))))</f>
        <v/>
      </c>
      <c r="I6" s="20">
        <f>IF(G6="","",G6-H6)</f>
        <v/>
      </c>
      <c r="J6" s="20">
        <f>IF(G6="","",G6+H6)</f>
        <v/>
      </c>
      <c r="K6" s="20">
        <f>IF($A6="","",Master_Data!G6)</f>
        <v/>
      </c>
      <c r="L6" s="20">
        <f>IF($A6="","",Master_Data!G7)</f>
        <v/>
      </c>
      <c r="M6" s="20">
        <f>IF(AND(ISNUMBER(K6),ISNUMBER(L6)),L6-K6,"")</f>
        <v/>
      </c>
      <c r="N6" s="19">
        <f>IF(G6="","",IF(AND(ISNUMBER(K6),ISNUMBER(L6)),IF(OR(F6="GOC",F6="OWC",F6="GWC",F6="OWC_TRANSITION",F6="GOC_TRANSITION"),IF(L6&gt;=K6,"Supports","Conflicts"),"N/A"),"No Sw"))</f>
        <v/>
      </c>
      <c r="O6" s="20">
        <f>IF(G6="","",Settings!$B$6*IF(OR(F6="GOC",F6="OWC",F6="GWC"),1,0.7)+Settings!$B$7*IF(N6="Supports",1,IF(N6="Conflicts",0,0.5))+Settings!$B$8*IF(AND(Master_Data!R6&lt;&gt;"",Master_Data!S6&lt;&gt;"",Master_Data!R7&lt;&gt;"",Master_Data!S7&lt;&gt;""),1,0.5))</f>
        <v/>
      </c>
      <c r="P6" s="19">
        <f>IF(G6="","",IF(N6="Conflicts","SW_CONFLICT",IF(OR(F6="GOC",F6="OWC",F6="GWC"),"DIRECT_FLUID_TRANSITION","TRANSITION_INTERVAL")))</f>
        <v/>
      </c>
      <c r="Q6" s="19">
        <f>IF(G6="","",IF(N6="Conflicts","Investigate contact interpretation / saturation behaviour",IF(OR(F6="OWC",F6="GOC",F6="GWC"),"Candidate contact — validate with logs, pressure and dynamic evidence","Transition zone — do not force to a sharp contact")))</f>
        <v/>
      </c>
    </row>
    <row r="7">
      <c r="A7" s="19">
        <f>IF(AND(Master_Data!A7&lt;&gt;"",Master_Data!A7=Master_Data!A8),Master_Data!A7,"")</f>
        <v/>
      </c>
      <c r="B7" s="19">
        <f>IF($A7="","",Master_Data!B7)</f>
        <v/>
      </c>
      <c r="C7" s="19">
        <f>IF($A7="","",Master_Data!B8)</f>
        <v/>
      </c>
      <c r="D7" s="19">
        <f>IF($A7="","",Master_Data!Q7)</f>
        <v/>
      </c>
      <c r="E7" s="19">
        <f>IF($A7="","",Master_Data!Q8)</f>
        <v/>
      </c>
      <c r="F7" s="19">
        <f>IF($A7="","",IF(AND(D7="GAS",E7="OIL"),"GOC",IF(AND(D7="OIL",E7="WATER"),"OWC",IF(AND(D7="GAS",E7="WATER"),"GWC",IF(AND(D7="OIL",E7="OIL_WATER"),"OWC_TRANSITION",IF(AND(D7="OIL_WATER",E7="WATER"),"OWC_TRANSITION",IF(AND(D7="GAS",E7="GAS_WATER"),"GOC_TRANSITION",IF(AND(D7="GAS_WATER",E7="OIL"),"GOC_TRANSITION",IF(OR(D7="OIL_WATER",D7="GAS_WATER"),"TRANSITION_INTERVAL","")))))))))</f>
        <v/>
      </c>
      <c r="G7" s="20">
        <f>IF(OR(F7="",Master_Data!R7="",Master_Data!S7=""),"",IF(RIGHT(F7,10)="TRANSITION",AVERAGE(Master_Data!R7:Master_Data!S7),AVERAGE(Master_Data!S7,Master_Data!R8)))</f>
        <v/>
      </c>
      <c r="H7" s="20">
        <f>IF(G7="","",MAX(Settings!$B$4,Settings!$B$5*AVERAGE(IF(Master_Data!O7&lt;&gt;"",Master_Data!O7,Master_Data!H7),IF(Master_Data!O8&lt;&gt;"",Master_Data!O8,Master_Data!H8))))</f>
        <v/>
      </c>
      <c r="I7" s="20">
        <f>IF(G7="","",G7-H7)</f>
        <v/>
      </c>
      <c r="J7" s="20">
        <f>IF(G7="","",G7+H7)</f>
        <v/>
      </c>
      <c r="K7" s="20">
        <f>IF($A7="","",Master_Data!G7)</f>
        <v/>
      </c>
      <c r="L7" s="20">
        <f>IF($A7="","",Master_Data!G8)</f>
        <v/>
      </c>
      <c r="M7" s="20">
        <f>IF(AND(ISNUMBER(K7),ISNUMBER(L7)),L7-K7,"")</f>
        <v/>
      </c>
      <c r="N7" s="19">
        <f>IF(G7="","",IF(AND(ISNUMBER(K7),ISNUMBER(L7)),IF(OR(F7="GOC",F7="OWC",F7="GWC",F7="OWC_TRANSITION",F7="GOC_TRANSITION"),IF(L7&gt;=K7,"Supports","Conflicts"),"N/A"),"No Sw"))</f>
        <v/>
      </c>
      <c r="O7" s="20">
        <f>IF(G7="","",Settings!$B$6*IF(OR(F7="GOC",F7="OWC",F7="GWC"),1,0.7)+Settings!$B$7*IF(N7="Supports",1,IF(N7="Conflicts",0,0.5))+Settings!$B$8*IF(AND(Master_Data!R7&lt;&gt;"",Master_Data!S7&lt;&gt;"",Master_Data!R8&lt;&gt;"",Master_Data!S8&lt;&gt;""),1,0.5))</f>
        <v/>
      </c>
      <c r="P7" s="19">
        <f>IF(G7="","",IF(N7="Conflicts","SW_CONFLICT",IF(OR(F7="GOC",F7="OWC",F7="GWC"),"DIRECT_FLUID_TRANSITION","TRANSITION_INTERVAL")))</f>
        <v/>
      </c>
      <c r="Q7" s="19">
        <f>IF(G7="","",IF(N7="Conflicts","Investigate contact interpretation / saturation behaviour",IF(OR(F7="OWC",F7="GOC",F7="GWC"),"Candidate contact — validate with logs, pressure and dynamic evidence","Transition zone — do not force to a sharp contact")))</f>
        <v/>
      </c>
    </row>
    <row r="8">
      <c r="A8" s="19">
        <f>IF(AND(Master_Data!A8&lt;&gt;"",Master_Data!A8=Master_Data!A9),Master_Data!A8,"")</f>
        <v/>
      </c>
      <c r="B8" s="19">
        <f>IF($A8="","",Master_Data!B8)</f>
        <v/>
      </c>
      <c r="C8" s="19">
        <f>IF($A8="","",Master_Data!B9)</f>
        <v/>
      </c>
      <c r="D8" s="19">
        <f>IF($A8="","",Master_Data!Q8)</f>
        <v/>
      </c>
      <c r="E8" s="19">
        <f>IF($A8="","",Master_Data!Q9)</f>
        <v/>
      </c>
      <c r="F8" s="19">
        <f>IF($A8="","",IF(AND(D8="GAS",E8="OIL"),"GOC",IF(AND(D8="OIL",E8="WATER"),"OWC",IF(AND(D8="GAS",E8="WATER"),"GWC",IF(AND(D8="OIL",E8="OIL_WATER"),"OWC_TRANSITION",IF(AND(D8="OIL_WATER",E8="WATER"),"OWC_TRANSITION",IF(AND(D8="GAS",E8="GAS_WATER"),"GOC_TRANSITION",IF(AND(D8="GAS_WATER",E8="OIL"),"GOC_TRANSITION",IF(OR(D8="OIL_WATER",D8="GAS_WATER"),"TRANSITION_INTERVAL","")))))))))</f>
        <v/>
      </c>
      <c r="G8" s="20">
        <f>IF(OR(F8="",Master_Data!R8="",Master_Data!S8=""),"",IF(RIGHT(F8,10)="TRANSITION",AVERAGE(Master_Data!R8:Master_Data!S8),AVERAGE(Master_Data!S8,Master_Data!R9)))</f>
        <v/>
      </c>
      <c r="H8" s="20">
        <f>IF(G8="","",MAX(Settings!$B$4,Settings!$B$5*AVERAGE(IF(Master_Data!O8&lt;&gt;"",Master_Data!O8,Master_Data!H8),IF(Master_Data!O9&lt;&gt;"",Master_Data!O9,Master_Data!H9))))</f>
        <v/>
      </c>
      <c r="I8" s="20">
        <f>IF(G8="","",G8-H8)</f>
        <v/>
      </c>
      <c r="J8" s="20">
        <f>IF(G8="","",G8+H8)</f>
        <v/>
      </c>
      <c r="K8" s="20">
        <f>IF($A8="","",Master_Data!G8)</f>
        <v/>
      </c>
      <c r="L8" s="20">
        <f>IF($A8="","",Master_Data!G9)</f>
        <v/>
      </c>
      <c r="M8" s="20">
        <f>IF(AND(ISNUMBER(K8),ISNUMBER(L8)),L8-K8,"")</f>
        <v/>
      </c>
      <c r="N8" s="19">
        <f>IF(G8="","",IF(AND(ISNUMBER(K8),ISNUMBER(L8)),IF(OR(F8="GOC",F8="OWC",F8="GWC",F8="OWC_TRANSITION",F8="GOC_TRANSITION"),IF(L8&gt;=K8,"Supports","Conflicts"),"N/A"),"No Sw"))</f>
        <v/>
      </c>
      <c r="O8" s="20">
        <f>IF(G8="","",Settings!$B$6*IF(OR(F8="GOC",F8="OWC",F8="GWC"),1,0.7)+Settings!$B$7*IF(N8="Supports",1,IF(N8="Conflicts",0,0.5))+Settings!$B$8*IF(AND(Master_Data!R8&lt;&gt;"",Master_Data!S8&lt;&gt;"",Master_Data!R9&lt;&gt;"",Master_Data!S9&lt;&gt;""),1,0.5))</f>
        <v/>
      </c>
      <c r="P8" s="19">
        <f>IF(G8="","",IF(N8="Conflicts","SW_CONFLICT",IF(OR(F8="GOC",F8="OWC",F8="GWC"),"DIRECT_FLUID_TRANSITION","TRANSITION_INTERVAL")))</f>
        <v/>
      </c>
      <c r="Q8" s="19">
        <f>IF(G8="","",IF(N8="Conflicts","Investigate contact interpretation / saturation behaviour",IF(OR(F8="OWC",F8="GOC",F8="GWC"),"Candidate contact — validate with logs, pressure and dynamic evidence","Transition zone — do not force to a sharp contact")))</f>
        <v/>
      </c>
    </row>
    <row r="9">
      <c r="A9" s="19">
        <f>IF(AND(Master_Data!A9&lt;&gt;"",Master_Data!A9=Master_Data!A10),Master_Data!A9,"")</f>
        <v/>
      </c>
      <c r="B9" s="19">
        <f>IF($A9="","",Master_Data!B9)</f>
        <v/>
      </c>
      <c r="C9" s="19">
        <f>IF($A9="","",Master_Data!B10)</f>
        <v/>
      </c>
      <c r="D9" s="19">
        <f>IF($A9="","",Master_Data!Q9)</f>
        <v/>
      </c>
      <c r="E9" s="19">
        <f>IF($A9="","",Master_Data!Q10)</f>
        <v/>
      </c>
      <c r="F9" s="19">
        <f>IF($A9="","",IF(AND(D9="GAS",E9="OIL"),"GOC",IF(AND(D9="OIL",E9="WATER"),"OWC",IF(AND(D9="GAS",E9="WATER"),"GWC",IF(AND(D9="OIL",E9="OIL_WATER"),"OWC_TRANSITION",IF(AND(D9="OIL_WATER",E9="WATER"),"OWC_TRANSITION",IF(AND(D9="GAS",E9="GAS_WATER"),"GOC_TRANSITION",IF(AND(D9="GAS_WATER",E9="OIL"),"GOC_TRANSITION",IF(OR(D9="OIL_WATER",D9="GAS_WATER"),"TRANSITION_INTERVAL","")))))))))</f>
        <v/>
      </c>
      <c r="G9" s="20">
        <f>IF(OR(F9="",Master_Data!R9="",Master_Data!S9=""),"",IF(RIGHT(F9,10)="TRANSITION",AVERAGE(Master_Data!R9:Master_Data!S9),AVERAGE(Master_Data!S9,Master_Data!R10)))</f>
        <v/>
      </c>
      <c r="H9" s="20">
        <f>IF(G9="","",MAX(Settings!$B$4,Settings!$B$5*AVERAGE(IF(Master_Data!O9&lt;&gt;"",Master_Data!O9,Master_Data!H9),IF(Master_Data!O10&lt;&gt;"",Master_Data!O10,Master_Data!H10))))</f>
        <v/>
      </c>
      <c r="I9" s="20">
        <f>IF(G9="","",G9-H9)</f>
        <v/>
      </c>
      <c r="J9" s="20">
        <f>IF(G9="","",G9+H9)</f>
        <v/>
      </c>
      <c r="K9" s="20">
        <f>IF($A9="","",Master_Data!G9)</f>
        <v/>
      </c>
      <c r="L9" s="20">
        <f>IF($A9="","",Master_Data!G10)</f>
        <v/>
      </c>
      <c r="M9" s="20">
        <f>IF(AND(ISNUMBER(K9),ISNUMBER(L9)),L9-K9,"")</f>
        <v/>
      </c>
      <c r="N9" s="19">
        <f>IF(G9="","",IF(AND(ISNUMBER(K9),ISNUMBER(L9)),IF(OR(F9="GOC",F9="OWC",F9="GWC",F9="OWC_TRANSITION",F9="GOC_TRANSITION"),IF(L9&gt;=K9,"Supports","Conflicts"),"N/A"),"No Sw"))</f>
        <v/>
      </c>
      <c r="O9" s="20">
        <f>IF(G9="","",Settings!$B$6*IF(OR(F9="GOC",F9="OWC",F9="GWC"),1,0.7)+Settings!$B$7*IF(N9="Supports",1,IF(N9="Conflicts",0,0.5))+Settings!$B$8*IF(AND(Master_Data!R9&lt;&gt;"",Master_Data!S9&lt;&gt;"",Master_Data!R10&lt;&gt;"",Master_Data!S10&lt;&gt;""),1,0.5))</f>
        <v/>
      </c>
      <c r="P9" s="19">
        <f>IF(G9="","",IF(N9="Conflicts","SW_CONFLICT",IF(OR(F9="GOC",F9="OWC",F9="GWC"),"DIRECT_FLUID_TRANSITION","TRANSITION_INTERVAL")))</f>
        <v/>
      </c>
      <c r="Q9" s="19">
        <f>IF(G9="","",IF(N9="Conflicts","Investigate contact interpretation / saturation behaviour",IF(OR(F9="OWC",F9="GOC",F9="GWC"),"Candidate contact — validate with logs, pressure and dynamic evidence","Transition zone — do not force to a sharp contact")))</f>
        <v/>
      </c>
    </row>
    <row r="10">
      <c r="A10" s="19">
        <f>IF(AND(Master_Data!A10&lt;&gt;"",Master_Data!A10=Master_Data!A11),Master_Data!A10,"")</f>
        <v/>
      </c>
      <c r="B10" s="19">
        <f>IF($A10="","",Master_Data!B10)</f>
        <v/>
      </c>
      <c r="C10" s="19">
        <f>IF($A10="","",Master_Data!B11)</f>
        <v/>
      </c>
      <c r="D10" s="19">
        <f>IF($A10="","",Master_Data!Q10)</f>
        <v/>
      </c>
      <c r="E10" s="19">
        <f>IF($A10="","",Master_Data!Q11)</f>
        <v/>
      </c>
      <c r="F10" s="19">
        <f>IF($A10="","",IF(AND(D10="GAS",E10="OIL"),"GOC",IF(AND(D10="OIL",E10="WATER"),"OWC",IF(AND(D10="GAS",E10="WATER"),"GWC",IF(AND(D10="OIL",E10="OIL_WATER"),"OWC_TRANSITION",IF(AND(D10="OIL_WATER",E10="WATER"),"OWC_TRANSITION",IF(AND(D10="GAS",E10="GAS_WATER"),"GOC_TRANSITION",IF(AND(D10="GAS_WATER",E10="OIL"),"GOC_TRANSITION",IF(OR(D10="OIL_WATER",D10="GAS_WATER"),"TRANSITION_INTERVAL","")))))))))</f>
        <v/>
      </c>
      <c r="G10" s="20">
        <f>IF(OR(F10="",Master_Data!R10="",Master_Data!S10=""),"",IF(RIGHT(F10,10)="TRANSITION",AVERAGE(Master_Data!R10:Master_Data!S10),AVERAGE(Master_Data!S10,Master_Data!R11)))</f>
        <v/>
      </c>
      <c r="H10" s="20">
        <f>IF(G10="","",MAX(Settings!$B$4,Settings!$B$5*AVERAGE(IF(Master_Data!O10&lt;&gt;"",Master_Data!O10,Master_Data!H10),IF(Master_Data!O11&lt;&gt;"",Master_Data!O11,Master_Data!H11))))</f>
        <v/>
      </c>
      <c r="I10" s="20">
        <f>IF(G10="","",G10-H10)</f>
        <v/>
      </c>
      <c r="J10" s="20">
        <f>IF(G10="","",G10+H10)</f>
        <v/>
      </c>
      <c r="K10" s="20">
        <f>IF($A10="","",Master_Data!G10)</f>
        <v/>
      </c>
      <c r="L10" s="20">
        <f>IF($A10="","",Master_Data!G11)</f>
        <v/>
      </c>
      <c r="M10" s="20">
        <f>IF(AND(ISNUMBER(K10),ISNUMBER(L10)),L10-K10,"")</f>
        <v/>
      </c>
      <c r="N10" s="19">
        <f>IF(G10="","",IF(AND(ISNUMBER(K10),ISNUMBER(L10)),IF(OR(F10="GOC",F10="OWC",F10="GWC",F10="OWC_TRANSITION",F10="GOC_TRANSITION"),IF(L10&gt;=K10,"Supports","Conflicts"),"N/A"),"No Sw"))</f>
        <v/>
      </c>
      <c r="O10" s="20">
        <f>IF(G10="","",Settings!$B$6*IF(OR(F10="GOC",F10="OWC",F10="GWC"),1,0.7)+Settings!$B$7*IF(N10="Supports",1,IF(N10="Conflicts",0,0.5))+Settings!$B$8*IF(AND(Master_Data!R10&lt;&gt;"",Master_Data!S10&lt;&gt;"",Master_Data!R11&lt;&gt;"",Master_Data!S11&lt;&gt;""),1,0.5))</f>
        <v/>
      </c>
      <c r="P10" s="19">
        <f>IF(G10="","",IF(N10="Conflicts","SW_CONFLICT",IF(OR(F10="GOC",F10="OWC",F10="GWC"),"DIRECT_FLUID_TRANSITION","TRANSITION_INTERVAL")))</f>
        <v/>
      </c>
      <c r="Q10" s="19">
        <f>IF(G10="","",IF(N10="Conflicts","Investigate contact interpretation / saturation behaviour",IF(OR(F10="OWC",F10="GOC",F10="GWC"),"Candidate contact — validate with logs, pressure and dynamic evidence","Transition zone — do not force to a sharp contact")))</f>
        <v/>
      </c>
    </row>
    <row r="11">
      <c r="A11" s="19">
        <f>IF(AND(Master_Data!A11&lt;&gt;"",Master_Data!A11=Master_Data!A12),Master_Data!A11,"")</f>
        <v/>
      </c>
      <c r="B11" s="19">
        <f>IF($A11="","",Master_Data!B11)</f>
        <v/>
      </c>
      <c r="C11" s="19">
        <f>IF($A11="","",Master_Data!B12)</f>
        <v/>
      </c>
      <c r="D11" s="19">
        <f>IF($A11="","",Master_Data!Q11)</f>
        <v/>
      </c>
      <c r="E11" s="19">
        <f>IF($A11="","",Master_Data!Q12)</f>
        <v/>
      </c>
      <c r="F11" s="19">
        <f>IF($A11="","",IF(AND(D11="GAS",E11="OIL"),"GOC",IF(AND(D11="OIL",E11="WATER"),"OWC",IF(AND(D11="GAS",E11="WATER"),"GWC",IF(AND(D11="OIL",E11="OIL_WATER"),"OWC_TRANSITION",IF(AND(D11="OIL_WATER",E11="WATER"),"OWC_TRANSITION",IF(AND(D11="GAS",E11="GAS_WATER"),"GOC_TRANSITION",IF(AND(D11="GAS_WATER",E11="OIL"),"GOC_TRANSITION",IF(OR(D11="OIL_WATER",D11="GAS_WATER"),"TRANSITION_INTERVAL","")))))))))</f>
        <v/>
      </c>
      <c r="G11" s="20">
        <f>IF(OR(F11="",Master_Data!R11="",Master_Data!S11=""),"",IF(RIGHT(F11,10)="TRANSITION",AVERAGE(Master_Data!R11:Master_Data!S11),AVERAGE(Master_Data!S11,Master_Data!R12)))</f>
        <v/>
      </c>
      <c r="H11" s="20">
        <f>IF(G11="","",MAX(Settings!$B$4,Settings!$B$5*AVERAGE(IF(Master_Data!O11&lt;&gt;"",Master_Data!O11,Master_Data!H11),IF(Master_Data!O12&lt;&gt;"",Master_Data!O12,Master_Data!H12))))</f>
        <v/>
      </c>
      <c r="I11" s="20">
        <f>IF(G11="","",G11-H11)</f>
        <v/>
      </c>
      <c r="J11" s="20">
        <f>IF(G11="","",G11+H11)</f>
        <v/>
      </c>
      <c r="K11" s="20">
        <f>IF($A11="","",Master_Data!G11)</f>
        <v/>
      </c>
      <c r="L11" s="20">
        <f>IF($A11="","",Master_Data!G12)</f>
        <v/>
      </c>
      <c r="M11" s="20">
        <f>IF(AND(ISNUMBER(K11),ISNUMBER(L11)),L11-K11,"")</f>
        <v/>
      </c>
      <c r="N11" s="19">
        <f>IF(G11="","",IF(AND(ISNUMBER(K11),ISNUMBER(L11)),IF(OR(F11="GOC",F11="OWC",F11="GWC",F11="OWC_TRANSITION",F11="GOC_TRANSITION"),IF(L11&gt;=K11,"Supports","Conflicts"),"N/A"),"No Sw"))</f>
        <v/>
      </c>
      <c r="O11" s="20">
        <f>IF(G11="","",Settings!$B$6*IF(OR(F11="GOC",F11="OWC",F11="GWC"),1,0.7)+Settings!$B$7*IF(N11="Supports",1,IF(N11="Conflicts",0,0.5))+Settings!$B$8*IF(AND(Master_Data!R11&lt;&gt;"",Master_Data!S11&lt;&gt;"",Master_Data!R12&lt;&gt;"",Master_Data!S12&lt;&gt;""),1,0.5))</f>
        <v/>
      </c>
      <c r="P11" s="19">
        <f>IF(G11="","",IF(N11="Conflicts","SW_CONFLICT",IF(OR(F11="GOC",F11="OWC",F11="GWC"),"DIRECT_FLUID_TRANSITION","TRANSITION_INTERVAL")))</f>
        <v/>
      </c>
      <c r="Q11" s="19">
        <f>IF(G11="","",IF(N11="Conflicts","Investigate contact interpretation / saturation behaviour",IF(OR(F11="OWC",F11="GOC",F11="GWC"),"Candidate contact — validate with logs, pressure and dynamic evidence","Transition zone — do not force to a sharp contact")))</f>
        <v/>
      </c>
    </row>
    <row r="12">
      <c r="A12" s="19">
        <f>IF(AND(Master_Data!A12&lt;&gt;"",Master_Data!A12=Master_Data!A13),Master_Data!A12,"")</f>
        <v/>
      </c>
      <c r="B12" s="19">
        <f>IF($A12="","",Master_Data!B12)</f>
        <v/>
      </c>
      <c r="C12" s="19">
        <f>IF($A12="","",Master_Data!B13)</f>
        <v/>
      </c>
      <c r="D12" s="19">
        <f>IF($A12="","",Master_Data!Q12)</f>
        <v/>
      </c>
      <c r="E12" s="19">
        <f>IF($A12="","",Master_Data!Q13)</f>
        <v/>
      </c>
      <c r="F12" s="19">
        <f>IF($A12="","",IF(AND(D12="GAS",E12="OIL"),"GOC",IF(AND(D12="OIL",E12="WATER"),"OWC",IF(AND(D12="GAS",E12="WATER"),"GWC",IF(AND(D12="OIL",E12="OIL_WATER"),"OWC_TRANSITION",IF(AND(D12="OIL_WATER",E12="WATER"),"OWC_TRANSITION",IF(AND(D12="GAS",E12="GAS_WATER"),"GOC_TRANSITION",IF(AND(D12="GAS_WATER",E12="OIL"),"GOC_TRANSITION",IF(OR(D12="OIL_WATER",D12="GAS_WATER"),"TRANSITION_INTERVAL","")))))))))</f>
        <v/>
      </c>
      <c r="G12" s="20">
        <f>IF(OR(F12="",Master_Data!R12="",Master_Data!S12=""),"",IF(RIGHT(F12,10)="TRANSITION",AVERAGE(Master_Data!R12:Master_Data!S12),AVERAGE(Master_Data!S12,Master_Data!R13)))</f>
        <v/>
      </c>
      <c r="H12" s="20">
        <f>IF(G12="","",MAX(Settings!$B$4,Settings!$B$5*AVERAGE(IF(Master_Data!O12&lt;&gt;"",Master_Data!O12,Master_Data!H12),IF(Master_Data!O13&lt;&gt;"",Master_Data!O13,Master_Data!H13))))</f>
        <v/>
      </c>
      <c r="I12" s="20">
        <f>IF(G12="","",G12-H12)</f>
        <v/>
      </c>
      <c r="J12" s="20">
        <f>IF(G12="","",G12+H12)</f>
        <v/>
      </c>
      <c r="K12" s="20">
        <f>IF($A12="","",Master_Data!G12)</f>
        <v/>
      </c>
      <c r="L12" s="20">
        <f>IF($A12="","",Master_Data!G13)</f>
        <v/>
      </c>
      <c r="M12" s="20">
        <f>IF(AND(ISNUMBER(K12),ISNUMBER(L12)),L12-K12,"")</f>
        <v/>
      </c>
      <c r="N12" s="19">
        <f>IF(G12="","",IF(AND(ISNUMBER(K12),ISNUMBER(L12)),IF(OR(F12="GOC",F12="OWC",F12="GWC",F12="OWC_TRANSITION",F12="GOC_TRANSITION"),IF(L12&gt;=K12,"Supports","Conflicts"),"N/A"),"No Sw"))</f>
        <v/>
      </c>
      <c r="O12" s="20">
        <f>IF(G12="","",Settings!$B$6*IF(OR(F12="GOC",F12="OWC",F12="GWC"),1,0.7)+Settings!$B$7*IF(N12="Supports",1,IF(N12="Conflicts",0,0.5))+Settings!$B$8*IF(AND(Master_Data!R12&lt;&gt;"",Master_Data!S12&lt;&gt;"",Master_Data!R13&lt;&gt;"",Master_Data!S13&lt;&gt;""),1,0.5))</f>
        <v/>
      </c>
      <c r="P12" s="19">
        <f>IF(G12="","",IF(N12="Conflicts","SW_CONFLICT",IF(OR(F12="GOC",F12="OWC",F12="GWC"),"DIRECT_FLUID_TRANSITION","TRANSITION_INTERVAL")))</f>
        <v/>
      </c>
      <c r="Q12" s="19">
        <f>IF(G12="","",IF(N12="Conflicts","Investigate contact interpretation / saturation behaviour",IF(OR(F12="OWC",F12="GOC",F12="GWC"),"Candidate contact — validate with logs, pressure and dynamic evidence","Transition zone — do not force to a sharp contact")))</f>
        <v/>
      </c>
    </row>
    <row r="13">
      <c r="A13" s="19">
        <f>IF(AND(Master_Data!A13&lt;&gt;"",Master_Data!A13=Master_Data!A14),Master_Data!A13,"")</f>
        <v/>
      </c>
      <c r="B13" s="19">
        <f>IF($A13="","",Master_Data!B13)</f>
        <v/>
      </c>
      <c r="C13" s="19">
        <f>IF($A13="","",Master_Data!B14)</f>
        <v/>
      </c>
      <c r="D13" s="19">
        <f>IF($A13="","",Master_Data!Q13)</f>
        <v/>
      </c>
      <c r="E13" s="19">
        <f>IF($A13="","",Master_Data!Q14)</f>
        <v/>
      </c>
      <c r="F13" s="19">
        <f>IF($A13="","",IF(AND(D13="GAS",E13="OIL"),"GOC",IF(AND(D13="OIL",E13="WATER"),"OWC",IF(AND(D13="GAS",E13="WATER"),"GWC",IF(AND(D13="OIL",E13="OIL_WATER"),"OWC_TRANSITION",IF(AND(D13="OIL_WATER",E13="WATER"),"OWC_TRANSITION",IF(AND(D13="GAS",E13="GAS_WATER"),"GOC_TRANSITION",IF(AND(D13="GAS_WATER",E13="OIL"),"GOC_TRANSITION",IF(OR(D13="OIL_WATER",D13="GAS_WATER"),"TRANSITION_INTERVAL","")))))))))</f>
        <v/>
      </c>
      <c r="G13" s="20">
        <f>IF(OR(F13="",Master_Data!R13="",Master_Data!S13=""),"",IF(RIGHT(F13,10)="TRANSITION",AVERAGE(Master_Data!R13:Master_Data!S13),AVERAGE(Master_Data!S13,Master_Data!R14)))</f>
        <v/>
      </c>
      <c r="H13" s="20">
        <f>IF(G13="","",MAX(Settings!$B$4,Settings!$B$5*AVERAGE(IF(Master_Data!O13&lt;&gt;"",Master_Data!O13,Master_Data!H13),IF(Master_Data!O14&lt;&gt;"",Master_Data!O14,Master_Data!H14))))</f>
        <v/>
      </c>
      <c r="I13" s="20">
        <f>IF(G13="","",G13-H13)</f>
        <v/>
      </c>
      <c r="J13" s="20">
        <f>IF(G13="","",G13+H13)</f>
        <v/>
      </c>
      <c r="K13" s="20">
        <f>IF($A13="","",Master_Data!G13)</f>
        <v/>
      </c>
      <c r="L13" s="20">
        <f>IF($A13="","",Master_Data!G14)</f>
        <v/>
      </c>
      <c r="M13" s="20">
        <f>IF(AND(ISNUMBER(K13),ISNUMBER(L13)),L13-K13,"")</f>
        <v/>
      </c>
      <c r="N13" s="19">
        <f>IF(G13="","",IF(AND(ISNUMBER(K13),ISNUMBER(L13)),IF(OR(F13="GOC",F13="OWC",F13="GWC",F13="OWC_TRANSITION",F13="GOC_TRANSITION"),IF(L13&gt;=K13,"Supports","Conflicts"),"N/A"),"No Sw"))</f>
        <v/>
      </c>
      <c r="O13" s="20">
        <f>IF(G13="","",Settings!$B$6*IF(OR(F13="GOC",F13="OWC",F13="GWC"),1,0.7)+Settings!$B$7*IF(N13="Supports",1,IF(N13="Conflicts",0,0.5))+Settings!$B$8*IF(AND(Master_Data!R13&lt;&gt;"",Master_Data!S13&lt;&gt;"",Master_Data!R14&lt;&gt;"",Master_Data!S14&lt;&gt;""),1,0.5))</f>
        <v/>
      </c>
      <c r="P13" s="19">
        <f>IF(G13="","",IF(N13="Conflicts","SW_CONFLICT",IF(OR(F13="GOC",F13="OWC",F13="GWC"),"DIRECT_FLUID_TRANSITION","TRANSITION_INTERVAL")))</f>
        <v/>
      </c>
      <c r="Q13" s="19">
        <f>IF(G13="","",IF(N13="Conflicts","Investigate contact interpretation / saturation behaviour",IF(OR(F13="OWC",F13="GOC",F13="GWC"),"Candidate contact — validate with logs, pressure and dynamic evidence","Transition zone — do not force to a sharp contact")))</f>
        <v/>
      </c>
    </row>
    <row r="14">
      <c r="A14" s="19">
        <f>IF(AND(Master_Data!A14&lt;&gt;"",Master_Data!A14=Master_Data!A15),Master_Data!A14,"")</f>
        <v/>
      </c>
      <c r="B14" s="19">
        <f>IF($A14="","",Master_Data!B14)</f>
        <v/>
      </c>
      <c r="C14" s="19">
        <f>IF($A14="","",Master_Data!B15)</f>
        <v/>
      </c>
      <c r="D14" s="19">
        <f>IF($A14="","",Master_Data!Q14)</f>
        <v/>
      </c>
      <c r="E14" s="19">
        <f>IF($A14="","",Master_Data!Q15)</f>
        <v/>
      </c>
      <c r="F14" s="19">
        <f>IF($A14="","",IF(AND(D14="GAS",E14="OIL"),"GOC",IF(AND(D14="OIL",E14="WATER"),"OWC",IF(AND(D14="GAS",E14="WATER"),"GWC",IF(AND(D14="OIL",E14="OIL_WATER"),"OWC_TRANSITION",IF(AND(D14="OIL_WATER",E14="WATER"),"OWC_TRANSITION",IF(AND(D14="GAS",E14="GAS_WATER"),"GOC_TRANSITION",IF(AND(D14="GAS_WATER",E14="OIL"),"GOC_TRANSITION",IF(OR(D14="OIL_WATER",D14="GAS_WATER"),"TRANSITION_INTERVAL","")))))))))</f>
        <v/>
      </c>
      <c r="G14" s="20">
        <f>IF(OR(F14="",Master_Data!R14="",Master_Data!S14=""),"",IF(RIGHT(F14,10)="TRANSITION",AVERAGE(Master_Data!R14:Master_Data!S14),AVERAGE(Master_Data!S14,Master_Data!R15)))</f>
        <v/>
      </c>
      <c r="H14" s="20">
        <f>IF(G14="","",MAX(Settings!$B$4,Settings!$B$5*AVERAGE(IF(Master_Data!O14&lt;&gt;"",Master_Data!O14,Master_Data!H14),IF(Master_Data!O15&lt;&gt;"",Master_Data!O15,Master_Data!H15))))</f>
        <v/>
      </c>
      <c r="I14" s="20">
        <f>IF(G14="","",G14-H14)</f>
        <v/>
      </c>
      <c r="J14" s="20">
        <f>IF(G14="","",G14+H14)</f>
        <v/>
      </c>
      <c r="K14" s="20">
        <f>IF($A14="","",Master_Data!G14)</f>
        <v/>
      </c>
      <c r="L14" s="20">
        <f>IF($A14="","",Master_Data!G15)</f>
        <v/>
      </c>
      <c r="M14" s="20">
        <f>IF(AND(ISNUMBER(K14),ISNUMBER(L14)),L14-K14,"")</f>
        <v/>
      </c>
      <c r="N14" s="19">
        <f>IF(G14="","",IF(AND(ISNUMBER(K14),ISNUMBER(L14)),IF(OR(F14="GOC",F14="OWC",F14="GWC",F14="OWC_TRANSITION",F14="GOC_TRANSITION"),IF(L14&gt;=K14,"Supports","Conflicts"),"N/A"),"No Sw"))</f>
        <v/>
      </c>
      <c r="O14" s="20">
        <f>IF(G14="","",Settings!$B$6*IF(OR(F14="GOC",F14="OWC",F14="GWC"),1,0.7)+Settings!$B$7*IF(N14="Supports",1,IF(N14="Conflicts",0,0.5))+Settings!$B$8*IF(AND(Master_Data!R14&lt;&gt;"",Master_Data!S14&lt;&gt;"",Master_Data!R15&lt;&gt;"",Master_Data!S15&lt;&gt;""),1,0.5))</f>
        <v/>
      </c>
      <c r="P14" s="19">
        <f>IF(G14="","",IF(N14="Conflicts","SW_CONFLICT",IF(OR(F14="GOC",F14="OWC",F14="GWC"),"DIRECT_FLUID_TRANSITION","TRANSITION_INTERVAL")))</f>
        <v/>
      </c>
      <c r="Q14" s="19">
        <f>IF(G14="","",IF(N14="Conflicts","Investigate contact interpretation / saturation behaviour",IF(OR(F14="OWC",F14="GOC",F14="GWC"),"Candidate contact — validate with logs, pressure and dynamic evidence","Transition zone — do not force to a sharp contact")))</f>
        <v/>
      </c>
    </row>
    <row r="15">
      <c r="A15" s="19">
        <f>IF(AND(Master_Data!A15&lt;&gt;"",Master_Data!A15=Master_Data!A16),Master_Data!A15,"")</f>
        <v/>
      </c>
      <c r="B15" s="19">
        <f>IF($A15="","",Master_Data!B15)</f>
        <v/>
      </c>
      <c r="C15" s="19">
        <f>IF($A15="","",Master_Data!B16)</f>
        <v/>
      </c>
      <c r="D15" s="19">
        <f>IF($A15="","",Master_Data!Q15)</f>
        <v/>
      </c>
      <c r="E15" s="19">
        <f>IF($A15="","",Master_Data!Q16)</f>
        <v/>
      </c>
      <c r="F15" s="19">
        <f>IF($A15="","",IF(AND(D15="GAS",E15="OIL"),"GOC",IF(AND(D15="OIL",E15="WATER"),"OWC",IF(AND(D15="GAS",E15="WATER"),"GWC",IF(AND(D15="OIL",E15="OIL_WATER"),"OWC_TRANSITION",IF(AND(D15="OIL_WATER",E15="WATER"),"OWC_TRANSITION",IF(AND(D15="GAS",E15="GAS_WATER"),"GOC_TRANSITION",IF(AND(D15="GAS_WATER",E15="OIL"),"GOC_TRANSITION",IF(OR(D15="OIL_WATER",D15="GAS_WATER"),"TRANSITION_INTERVAL","")))))))))</f>
        <v/>
      </c>
      <c r="G15" s="20">
        <f>IF(OR(F15="",Master_Data!R15="",Master_Data!S15=""),"",IF(RIGHT(F15,10)="TRANSITION",AVERAGE(Master_Data!R15:Master_Data!S15),AVERAGE(Master_Data!S15,Master_Data!R16)))</f>
        <v/>
      </c>
      <c r="H15" s="20">
        <f>IF(G15="","",MAX(Settings!$B$4,Settings!$B$5*AVERAGE(IF(Master_Data!O15&lt;&gt;"",Master_Data!O15,Master_Data!H15),IF(Master_Data!O16&lt;&gt;"",Master_Data!O16,Master_Data!H16))))</f>
        <v/>
      </c>
      <c r="I15" s="20">
        <f>IF(G15="","",G15-H15)</f>
        <v/>
      </c>
      <c r="J15" s="20">
        <f>IF(G15="","",G15+H15)</f>
        <v/>
      </c>
      <c r="K15" s="20">
        <f>IF($A15="","",Master_Data!G15)</f>
        <v/>
      </c>
      <c r="L15" s="20">
        <f>IF($A15="","",Master_Data!G16)</f>
        <v/>
      </c>
      <c r="M15" s="20">
        <f>IF(AND(ISNUMBER(K15),ISNUMBER(L15)),L15-K15,"")</f>
        <v/>
      </c>
      <c r="N15" s="19">
        <f>IF(G15="","",IF(AND(ISNUMBER(K15),ISNUMBER(L15)),IF(OR(F15="GOC",F15="OWC",F15="GWC",F15="OWC_TRANSITION",F15="GOC_TRANSITION"),IF(L15&gt;=K15,"Supports","Conflicts"),"N/A"),"No Sw"))</f>
        <v/>
      </c>
      <c r="O15" s="20">
        <f>IF(G15="","",Settings!$B$6*IF(OR(F15="GOC",F15="OWC",F15="GWC"),1,0.7)+Settings!$B$7*IF(N15="Supports",1,IF(N15="Conflicts",0,0.5))+Settings!$B$8*IF(AND(Master_Data!R15&lt;&gt;"",Master_Data!S15&lt;&gt;"",Master_Data!R16&lt;&gt;"",Master_Data!S16&lt;&gt;""),1,0.5))</f>
        <v/>
      </c>
      <c r="P15" s="19">
        <f>IF(G15="","",IF(N15="Conflicts","SW_CONFLICT",IF(OR(F15="GOC",F15="OWC",F15="GWC"),"DIRECT_FLUID_TRANSITION","TRANSITION_INTERVAL")))</f>
        <v/>
      </c>
      <c r="Q15" s="19">
        <f>IF(G15="","",IF(N15="Conflicts","Investigate contact interpretation / saturation behaviour",IF(OR(F15="OWC",F15="GOC",F15="GWC"),"Candidate contact — validate with logs, pressure and dynamic evidence","Transition zone — do not force to a sharp contact")))</f>
        <v/>
      </c>
    </row>
    <row r="16">
      <c r="A16" s="19">
        <f>IF(AND(Master_Data!A16&lt;&gt;"",Master_Data!A16=Master_Data!A17),Master_Data!A16,"")</f>
        <v/>
      </c>
      <c r="B16" s="19">
        <f>IF($A16="","",Master_Data!B16)</f>
        <v/>
      </c>
      <c r="C16" s="19">
        <f>IF($A16="","",Master_Data!B17)</f>
        <v/>
      </c>
      <c r="D16" s="19">
        <f>IF($A16="","",Master_Data!Q16)</f>
        <v/>
      </c>
      <c r="E16" s="19">
        <f>IF($A16="","",Master_Data!Q17)</f>
        <v/>
      </c>
      <c r="F16" s="19">
        <f>IF($A16="","",IF(AND(D16="GAS",E16="OIL"),"GOC",IF(AND(D16="OIL",E16="WATER"),"OWC",IF(AND(D16="GAS",E16="WATER"),"GWC",IF(AND(D16="OIL",E16="OIL_WATER"),"OWC_TRANSITION",IF(AND(D16="OIL_WATER",E16="WATER"),"OWC_TRANSITION",IF(AND(D16="GAS",E16="GAS_WATER"),"GOC_TRANSITION",IF(AND(D16="GAS_WATER",E16="OIL"),"GOC_TRANSITION",IF(OR(D16="OIL_WATER",D16="GAS_WATER"),"TRANSITION_INTERVAL","")))))))))</f>
        <v/>
      </c>
      <c r="G16" s="20">
        <f>IF(OR(F16="",Master_Data!R16="",Master_Data!S16=""),"",IF(RIGHT(F16,10)="TRANSITION",AVERAGE(Master_Data!R16:Master_Data!S16),AVERAGE(Master_Data!S16,Master_Data!R17)))</f>
        <v/>
      </c>
      <c r="H16" s="20">
        <f>IF(G16="","",MAX(Settings!$B$4,Settings!$B$5*AVERAGE(IF(Master_Data!O16&lt;&gt;"",Master_Data!O16,Master_Data!H16),IF(Master_Data!O17&lt;&gt;"",Master_Data!O17,Master_Data!H17))))</f>
        <v/>
      </c>
      <c r="I16" s="20">
        <f>IF(G16="","",G16-H16)</f>
        <v/>
      </c>
      <c r="J16" s="20">
        <f>IF(G16="","",G16+H16)</f>
        <v/>
      </c>
      <c r="K16" s="20">
        <f>IF($A16="","",Master_Data!G16)</f>
        <v/>
      </c>
      <c r="L16" s="20">
        <f>IF($A16="","",Master_Data!G17)</f>
        <v/>
      </c>
      <c r="M16" s="20">
        <f>IF(AND(ISNUMBER(K16),ISNUMBER(L16)),L16-K16,"")</f>
        <v/>
      </c>
      <c r="N16" s="19">
        <f>IF(G16="","",IF(AND(ISNUMBER(K16),ISNUMBER(L16)),IF(OR(F16="GOC",F16="OWC",F16="GWC",F16="OWC_TRANSITION",F16="GOC_TRANSITION"),IF(L16&gt;=K16,"Supports","Conflicts"),"N/A"),"No Sw"))</f>
        <v/>
      </c>
      <c r="O16" s="20">
        <f>IF(G16="","",Settings!$B$6*IF(OR(F16="GOC",F16="OWC",F16="GWC"),1,0.7)+Settings!$B$7*IF(N16="Supports",1,IF(N16="Conflicts",0,0.5))+Settings!$B$8*IF(AND(Master_Data!R16&lt;&gt;"",Master_Data!S16&lt;&gt;"",Master_Data!R17&lt;&gt;"",Master_Data!S17&lt;&gt;""),1,0.5))</f>
        <v/>
      </c>
      <c r="P16" s="19">
        <f>IF(G16="","",IF(N16="Conflicts","SW_CONFLICT",IF(OR(F16="GOC",F16="OWC",F16="GWC"),"DIRECT_FLUID_TRANSITION","TRANSITION_INTERVAL")))</f>
        <v/>
      </c>
      <c r="Q16" s="19">
        <f>IF(G16="","",IF(N16="Conflicts","Investigate contact interpretation / saturation behaviour",IF(OR(F16="OWC",F16="GOC",F16="GWC"),"Candidate contact — validate with logs, pressure and dynamic evidence","Transition zone — do not force to a sharp contact")))</f>
        <v/>
      </c>
    </row>
    <row r="17">
      <c r="A17" s="19">
        <f>IF(AND(Master_Data!A17&lt;&gt;"",Master_Data!A17=Master_Data!A18),Master_Data!A17,"")</f>
        <v/>
      </c>
      <c r="B17" s="19">
        <f>IF($A17="","",Master_Data!B17)</f>
        <v/>
      </c>
      <c r="C17" s="19">
        <f>IF($A17="","",Master_Data!B18)</f>
        <v/>
      </c>
      <c r="D17" s="19">
        <f>IF($A17="","",Master_Data!Q17)</f>
        <v/>
      </c>
      <c r="E17" s="19">
        <f>IF($A17="","",Master_Data!Q18)</f>
        <v/>
      </c>
      <c r="F17" s="19">
        <f>IF($A17="","",IF(AND(D17="GAS",E17="OIL"),"GOC",IF(AND(D17="OIL",E17="WATER"),"OWC",IF(AND(D17="GAS",E17="WATER"),"GWC",IF(AND(D17="OIL",E17="OIL_WATER"),"OWC_TRANSITION",IF(AND(D17="OIL_WATER",E17="WATER"),"OWC_TRANSITION",IF(AND(D17="GAS",E17="GAS_WATER"),"GOC_TRANSITION",IF(AND(D17="GAS_WATER",E17="OIL"),"GOC_TRANSITION",IF(OR(D17="OIL_WATER",D17="GAS_WATER"),"TRANSITION_INTERVAL","")))))))))</f>
        <v/>
      </c>
      <c r="G17" s="20">
        <f>IF(OR(F17="",Master_Data!R17="",Master_Data!S17=""),"",IF(RIGHT(F17,10)="TRANSITION",AVERAGE(Master_Data!R17:Master_Data!S17),AVERAGE(Master_Data!S17,Master_Data!R18)))</f>
        <v/>
      </c>
      <c r="H17" s="20">
        <f>IF(G17="","",MAX(Settings!$B$4,Settings!$B$5*AVERAGE(IF(Master_Data!O17&lt;&gt;"",Master_Data!O17,Master_Data!H17),IF(Master_Data!O18&lt;&gt;"",Master_Data!O18,Master_Data!H18))))</f>
        <v/>
      </c>
      <c r="I17" s="20">
        <f>IF(G17="","",G17-H17)</f>
        <v/>
      </c>
      <c r="J17" s="20">
        <f>IF(G17="","",G17+H17)</f>
        <v/>
      </c>
      <c r="K17" s="20">
        <f>IF($A17="","",Master_Data!G17)</f>
        <v/>
      </c>
      <c r="L17" s="20">
        <f>IF($A17="","",Master_Data!G18)</f>
        <v/>
      </c>
      <c r="M17" s="20">
        <f>IF(AND(ISNUMBER(K17),ISNUMBER(L17)),L17-K17,"")</f>
        <v/>
      </c>
      <c r="N17" s="19">
        <f>IF(G17="","",IF(AND(ISNUMBER(K17),ISNUMBER(L17)),IF(OR(F17="GOC",F17="OWC",F17="GWC",F17="OWC_TRANSITION",F17="GOC_TRANSITION"),IF(L17&gt;=K17,"Supports","Conflicts"),"N/A"),"No Sw"))</f>
        <v/>
      </c>
      <c r="O17" s="20">
        <f>IF(G17="","",Settings!$B$6*IF(OR(F17="GOC",F17="OWC",F17="GWC"),1,0.7)+Settings!$B$7*IF(N17="Supports",1,IF(N17="Conflicts",0,0.5))+Settings!$B$8*IF(AND(Master_Data!R17&lt;&gt;"",Master_Data!S17&lt;&gt;"",Master_Data!R18&lt;&gt;"",Master_Data!S18&lt;&gt;""),1,0.5))</f>
        <v/>
      </c>
      <c r="P17" s="19">
        <f>IF(G17="","",IF(N17="Conflicts","SW_CONFLICT",IF(OR(F17="GOC",F17="OWC",F17="GWC"),"DIRECT_FLUID_TRANSITION","TRANSITION_INTERVAL")))</f>
        <v/>
      </c>
      <c r="Q17" s="19">
        <f>IF(G17="","",IF(N17="Conflicts","Investigate contact interpretation / saturation behaviour",IF(OR(F17="OWC",F17="GOC",F17="GWC"),"Candidate contact — validate with logs, pressure and dynamic evidence","Transition zone — do not force to a sharp contact")))</f>
        <v/>
      </c>
    </row>
    <row r="18">
      <c r="A18" s="19">
        <f>IF(AND(Master_Data!A18&lt;&gt;"",Master_Data!A18=Master_Data!A19),Master_Data!A18,"")</f>
        <v/>
      </c>
      <c r="B18" s="19">
        <f>IF($A18="","",Master_Data!B18)</f>
        <v/>
      </c>
      <c r="C18" s="19">
        <f>IF($A18="","",Master_Data!B19)</f>
        <v/>
      </c>
      <c r="D18" s="19">
        <f>IF($A18="","",Master_Data!Q18)</f>
        <v/>
      </c>
      <c r="E18" s="19">
        <f>IF($A18="","",Master_Data!Q19)</f>
        <v/>
      </c>
      <c r="F18" s="19">
        <f>IF($A18="","",IF(AND(D18="GAS",E18="OIL"),"GOC",IF(AND(D18="OIL",E18="WATER"),"OWC",IF(AND(D18="GAS",E18="WATER"),"GWC",IF(AND(D18="OIL",E18="OIL_WATER"),"OWC_TRANSITION",IF(AND(D18="OIL_WATER",E18="WATER"),"OWC_TRANSITION",IF(AND(D18="GAS",E18="GAS_WATER"),"GOC_TRANSITION",IF(AND(D18="GAS_WATER",E18="OIL"),"GOC_TRANSITION",IF(OR(D18="OIL_WATER",D18="GAS_WATER"),"TRANSITION_INTERVAL","")))))))))</f>
        <v/>
      </c>
      <c r="G18" s="20">
        <f>IF(OR(F18="",Master_Data!R18="",Master_Data!S18=""),"",IF(RIGHT(F18,10)="TRANSITION",AVERAGE(Master_Data!R18:Master_Data!S18),AVERAGE(Master_Data!S18,Master_Data!R19)))</f>
        <v/>
      </c>
      <c r="H18" s="20">
        <f>IF(G18="","",MAX(Settings!$B$4,Settings!$B$5*AVERAGE(IF(Master_Data!O18&lt;&gt;"",Master_Data!O18,Master_Data!H18),IF(Master_Data!O19&lt;&gt;"",Master_Data!O19,Master_Data!H19))))</f>
        <v/>
      </c>
      <c r="I18" s="20">
        <f>IF(G18="","",G18-H18)</f>
        <v/>
      </c>
      <c r="J18" s="20">
        <f>IF(G18="","",G18+H18)</f>
        <v/>
      </c>
      <c r="K18" s="20">
        <f>IF($A18="","",Master_Data!G18)</f>
        <v/>
      </c>
      <c r="L18" s="20">
        <f>IF($A18="","",Master_Data!G19)</f>
        <v/>
      </c>
      <c r="M18" s="20">
        <f>IF(AND(ISNUMBER(K18),ISNUMBER(L18)),L18-K18,"")</f>
        <v/>
      </c>
      <c r="N18" s="19">
        <f>IF(G18="","",IF(AND(ISNUMBER(K18),ISNUMBER(L18)),IF(OR(F18="GOC",F18="OWC",F18="GWC",F18="OWC_TRANSITION",F18="GOC_TRANSITION"),IF(L18&gt;=K18,"Supports","Conflicts"),"N/A"),"No Sw"))</f>
        <v/>
      </c>
      <c r="O18" s="20">
        <f>IF(G18="","",Settings!$B$6*IF(OR(F18="GOC",F18="OWC",F18="GWC"),1,0.7)+Settings!$B$7*IF(N18="Supports",1,IF(N18="Conflicts",0,0.5))+Settings!$B$8*IF(AND(Master_Data!R18&lt;&gt;"",Master_Data!S18&lt;&gt;"",Master_Data!R19&lt;&gt;"",Master_Data!S19&lt;&gt;""),1,0.5))</f>
        <v/>
      </c>
      <c r="P18" s="19">
        <f>IF(G18="","",IF(N18="Conflicts","SW_CONFLICT",IF(OR(F18="GOC",F18="OWC",F18="GWC"),"DIRECT_FLUID_TRANSITION","TRANSITION_INTERVAL")))</f>
        <v/>
      </c>
      <c r="Q18" s="19">
        <f>IF(G18="","",IF(N18="Conflicts","Investigate contact interpretation / saturation behaviour",IF(OR(F18="OWC",F18="GOC",F18="GWC"),"Candidate contact — validate with logs, pressure and dynamic evidence","Transition zone — do not force to a sharp contact")))</f>
        <v/>
      </c>
    </row>
    <row r="19">
      <c r="A19" s="19">
        <f>IF(AND(Master_Data!A19&lt;&gt;"",Master_Data!A19=Master_Data!A20),Master_Data!A19,"")</f>
        <v/>
      </c>
      <c r="B19" s="19">
        <f>IF($A19="","",Master_Data!B19)</f>
        <v/>
      </c>
      <c r="C19" s="19">
        <f>IF($A19="","",Master_Data!B20)</f>
        <v/>
      </c>
      <c r="D19" s="19">
        <f>IF($A19="","",Master_Data!Q19)</f>
        <v/>
      </c>
      <c r="E19" s="19">
        <f>IF($A19="","",Master_Data!Q20)</f>
        <v/>
      </c>
      <c r="F19" s="19">
        <f>IF($A19="","",IF(AND(D19="GAS",E19="OIL"),"GOC",IF(AND(D19="OIL",E19="WATER"),"OWC",IF(AND(D19="GAS",E19="WATER"),"GWC",IF(AND(D19="OIL",E19="OIL_WATER"),"OWC_TRANSITION",IF(AND(D19="OIL_WATER",E19="WATER"),"OWC_TRANSITION",IF(AND(D19="GAS",E19="GAS_WATER"),"GOC_TRANSITION",IF(AND(D19="GAS_WATER",E19="OIL"),"GOC_TRANSITION",IF(OR(D19="OIL_WATER",D19="GAS_WATER"),"TRANSITION_INTERVAL","")))))))))</f>
        <v/>
      </c>
      <c r="G19" s="20">
        <f>IF(OR(F19="",Master_Data!R19="",Master_Data!S19=""),"",IF(RIGHT(F19,10)="TRANSITION",AVERAGE(Master_Data!R19:Master_Data!S19),AVERAGE(Master_Data!S19,Master_Data!R20)))</f>
        <v/>
      </c>
      <c r="H19" s="20">
        <f>IF(G19="","",MAX(Settings!$B$4,Settings!$B$5*AVERAGE(IF(Master_Data!O19&lt;&gt;"",Master_Data!O19,Master_Data!H19),IF(Master_Data!O20&lt;&gt;"",Master_Data!O20,Master_Data!H20))))</f>
        <v/>
      </c>
      <c r="I19" s="20">
        <f>IF(G19="","",G19-H19)</f>
        <v/>
      </c>
      <c r="J19" s="20">
        <f>IF(G19="","",G19+H19)</f>
        <v/>
      </c>
      <c r="K19" s="20">
        <f>IF($A19="","",Master_Data!G19)</f>
        <v/>
      </c>
      <c r="L19" s="20">
        <f>IF($A19="","",Master_Data!G20)</f>
        <v/>
      </c>
      <c r="M19" s="20">
        <f>IF(AND(ISNUMBER(K19),ISNUMBER(L19)),L19-K19,"")</f>
        <v/>
      </c>
      <c r="N19" s="19">
        <f>IF(G19="","",IF(AND(ISNUMBER(K19),ISNUMBER(L19)),IF(OR(F19="GOC",F19="OWC",F19="GWC",F19="OWC_TRANSITION",F19="GOC_TRANSITION"),IF(L19&gt;=K19,"Supports","Conflicts"),"N/A"),"No Sw"))</f>
        <v/>
      </c>
      <c r="O19" s="20">
        <f>IF(G19="","",Settings!$B$6*IF(OR(F19="GOC",F19="OWC",F19="GWC"),1,0.7)+Settings!$B$7*IF(N19="Supports",1,IF(N19="Conflicts",0,0.5))+Settings!$B$8*IF(AND(Master_Data!R19&lt;&gt;"",Master_Data!S19&lt;&gt;"",Master_Data!R20&lt;&gt;"",Master_Data!S20&lt;&gt;""),1,0.5))</f>
        <v/>
      </c>
      <c r="P19" s="19">
        <f>IF(G19="","",IF(N19="Conflicts","SW_CONFLICT",IF(OR(F19="GOC",F19="OWC",F19="GWC"),"DIRECT_FLUID_TRANSITION","TRANSITION_INTERVAL")))</f>
        <v/>
      </c>
      <c r="Q19" s="19">
        <f>IF(G19="","",IF(N19="Conflicts","Investigate contact interpretation / saturation behaviour",IF(OR(F19="OWC",F19="GOC",F19="GWC"),"Candidate contact — validate with logs, pressure and dynamic evidence","Transition zone — do not force to a sharp contact")))</f>
        <v/>
      </c>
    </row>
    <row r="20">
      <c r="A20" s="19">
        <f>IF(AND(Master_Data!A20&lt;&gt;"",Master_Data!A20=Master_Data!A21),Master_Data!A20,"")</f>
        <v/>
      </c>
      <c r="B20" s="19">
        <f>IF($A20="","",Master_Data!B20)</f>
        <v/>
      </c>
      <c r="C20" s="19">
        <f>IF($A20="","",Master_Data!B21)</f>
        <v/>
      </c>
      <c r="D20" s="19">
        <f>IF($A20="","",Master_Data!Q20)</f>
        <v/>
      </c>
      <c r="E20" s="19">
        <f>IF($A20="","",Master_Data!Q21)</f>
        <v/>
      </c>
      <c r="F20" s="19">
        <f>IF($A20="","",IF(AND(D20="GAS",E20="OIL"),"GOC",IF(AND(D20="OIL",E20="WATER"),"OWC",IF(AND(D20="GAS",E20="WATER"),"GWC",IF(AND(D20="OIL",E20="OIL_WATER"),"OWC_TRANSITION",IF(AND(D20="OIL_WATER",E20="WATER"),"OWC_TRANSITION",IF(AND(D20="GAS",E20="GAS_WATER"),"GOC_TRANSITION",IF(AND(D20="GAS_WATER",E20="OIL"),"GOC_TRANSITION",IF(OR(D20="OIL_WATER",D20="GAS_WATER"),"TRANSITION_INTERVAL","")))))))))</f>
        <v/>
      </c>
      <c r="G20" s="20">
        <f>IF(OR(F20="",Master_Data!R20="",Master_Data!S20=""),"",IF(RIGHT(F20,10)="TRANSITION",AVERAGE(Master_Data!R20:Master_Data!S20),AVERAGE(Master_Data!S20,Master_Data!R21)))</f>
        <v/>
      </c>
      <c r="H20" s="20">
        <f>IF(G20="","",MAX(Settings!$B$4,Settings!$B$5*AVERAGE(IF(Master_Data!O20&lt;&gt;"",Master_Data!O20,Master_Data!H20),IF(Master_Data!O21&lt;&gt;"",Master_Data!O21,Master_Data!H21))))</f>
        <v/>
      </c>
      <c r="I20" s="20">
        <f>IF(G20="","",G20-H20)</f>
        <v/>
      </c>
      <c r="J20" s="20">
        <f>IF(G20="","",G20+H20)</f>
        <v/>
      </c>
      <c r="K20" s="20">
        <f>IF($A20="","",Master_Data!G20)</f>
        <v/>
      </c>
      <c r="L20" s="20">
        <f>IF($A20="","",Master_Data!G21)</f>
        <v/>
      </c>
      <c r="M20" s="20">
        <f>IF(AND(ISNUMBER(K20),ISNUMBER(L20)),L20-K20,"")</f>
        <v/>
      </c>
      <c r="N20" s="19">
        <f>IF(G20="","",IF(AND(ISNUMBER(K20),ISNUMBER(L20)),IF(OR(F20="GOC",F20="OWC",F20="GWC",F20="OWC_TRANSITION",F20="GOC_TRANSITION"),IF(L20&gt;=K20,"Supports","Conflicts"),"N/A"),"No Sw"))</f>
        <v/>
      </c>
      <c r="O20" s="20">
        <f>IF(G20="","",Settings!$B$6*IF(OR(F20="GOC",F20="OWC",F20="GWC"),1,0.7)+Settings!$B$7*IF(N20="Supports",1,IF(N20="Conflicts",0,0.5))+Settings!$B$8*IF(AND(Master_Data!R20&lt;&gt;"",Master_Data!S20&lt;&gt;"",Master_Data!R21&lt;&gt;"",Master_Data!S21&lt;&gt;""),1,0.5))</f>
        <v/>
      </c>
      <c r="P20" s="19">
        <f>IF(G20="","",IF(N20="Conflicts","SW_CONFLICT",IF(OR(F20="GOC",F20="OWC",F20="GWC"),"DIRECT_FLUID_TRANSITION","TRANSITION_INTERVAL")))</f>
        <v/>
      </c>
      <c r="Q20" s="19">
        <f>IF(G20="","",IF(N20="Conflicts","Investigate contact interpretation / saturation behaviour",IF(OR(F20="OWC",F20="GOC",F20="GWC"),"Candidate contact — validate with logs, pressure and dynamic evidence","Transition zone — do not force to a sharp contact")))</f>
        <v/>
      </c>
    </row>
    <row r="21">
      <c r="A21" s="19">
        <f>IF(AND(Master_Data!A21&lt;&gt;"",Master_Data!A21=Master_Data!A22),Master_Data!A21,"")</f>
        <v/>
      </c>
      <c r="B21" s="19">
        <f>IF($A21="","",Master_Data!B21)</f>
        <v/>
      </c>
      <c r="C21" s="19">
        <f>IF($A21="","",Master_Data!B22)</f>
        <v/>
      </c>
      <c r="D21" s="19">
        <f>IF($A21="","",Master_Data!Q21)</f>
        <v/>
      </c>
      <c r="E21" s="19">
        <f>IF($A21="","",Master_Data!Q22)</f>
        <v/>
      </c>
      <c r="F21" s="19">
        <f>IF($A21="","",IF(AND(D21="GAS",E21="OIL"),"GOC",IF(AND(D21="OIL",E21="WATER"),"OWC",IF(AND(D21="GAS",E21="WATER"),"GWC",IF(AND(D21="OIL",E21="OIL_WATER"),"OWC_TRANSITION",IF(AND(D21="OIL_WATER",E21="WATER"),"OWC_TRANSITION",IF(AND(D21="GAS",E21="GAS_WATER"),"GOC_TRANSITION",IF(AND(D21="GAS_WATER",E21="OIL"),"GOC_TRANSITION",IF(OR(D21="OIL_WATER",D21="GAS_WATER"),"TRANSITION_INTERVAL","")))))))))</f>
        <v/>
      </c>
      <c r="G21" s="20">
        <f>IF(OR(F21="",Master_Data!R21="",Master_Data!S21=""),"",IF(RIGHT(F21,10)="TRANSITION",AVERAGE(Master_Data!R21:Master_Data!S21),AVERAGE(Master_Data!S21,Master_Data!R22)))</f>
        <v/>
      </c>
      <c r="H21" s="20">
        <f>IF(G21="","",MAX(Settings!$B$4,Settings!$B$5*AVERAGE(IF(Master_Data!O21&lt;&gt;"",Master_Data!O21,Master_Data!H21),IF(Master_Data!O22&lt;&gt;"",Master_Data!O22,Master_Data!H22))))</f>
        <v/>
      </c>
      <c r="I21" s="20">
        <f>IF(G21="","",G21-H21)</f>
        <v/>
      </c>
      <c r="J21" s="20">
        <f>IF(G21="","",G21+H21)</f>
        <v/>
      </c>
      <c r="K21" s="20">
        <f>IF($A21="","",Master_Data!G21)</f>
        <v/>
      </c>
      <c r="L21" s="20">
        <f>IF($A21="","",Master_Data!G22)</f>
        <v/>
      </c>
      <c r="M21" s="20">
        <f>IF(AND(ISNUMBER(K21),ISNUMBER(L21)),L21-K21,"")</f>
        <v/>
      </c>
      <c r="N21" s="19">
        <f>IF(G21="","",IF(AND(ISNUMBER(K21),ISNUMBER(L21)),IF(OR(F21="GOC",F21="OWC",F21="GWC",F21="OWC_TRANSITION",F21="GOC_TRANSITION"),IF(L21&gt;=K21,"Supports","Conflicts"),"N/A"),"No Sw"))</f>
        <v/>
      </c>
      <c r="O21" s="20">
        <f>IF(G21="","",Settings!$B$6*IF(OR(F21="GOC",F21="OWC",F21="GWC"),1,0.7)+Settings!$B$7*IF(N21="Supports",1,IF(N21="Conflicts",0,0.5))+Settings!$B$8*IF(AND(Master_Data!R21&lt;&gt;"",Master_Data!S21&lt;&gt;"",Master_Data!R22&lt;&gt;"",Master_Data!S22&lt;&gt;""),1,0.5))</f>
        <v/>
      </c>
      <c r="P21" s="19">
        <f>IF(G21="","",IF(N21="Conflicts","SW_CONFLICT",IF(OR(F21="GOC",F21="OWC",F21="GWC"),"DIRECT_FLUID_TRANSITION","TRANSITION_INTERVAL")))</f>
        <v/>
      </c>
      <c r="Q21" s="19">
        <f>IF(G21="","",IF(N21="Conflicts","Investigate contact interpretation / saturation behaviour",IF(OR(F21="OWC",F21="GOC",F21="GWC"),"Candidate contact — validate with logs, pressure and dynamic evidence","Transition zone — do not force to a sharp contact")))</f>
        <v/>
      </c>
    </row>
    <row r="22">
      <c r="A22" s="19">
        <f>IF(AND(Master_Data!A22&lt;&gt;"",Master_Data!A22=Master_Data!A23),Master_Data!A22,"")</f>
        <v/>
      </c>
      <c r="B22" s="19">
        <f>IF($A22="","",Master_Data!B22)</f>
        <v/>
      </c>
      <c r="C22" s="19">
        <f>IF($A22="","",Master_Data!B23)</f>
        <v/>
      </c>
      <c r="D22" s="19">
        <f>IF($A22="","",Master_Data!Q22)</f>
        <v/>
      </c>
      <c r="E22" s="19">
        <f>IF($A22="","",Master_Data!Q23)</f>
        <v/>
      </c>
      <c r="F22" s="19">
        <f>IF($A22="","",IF(AND(D22="GAS",E22="OIL"),"GOC",IF(AND(D22="OIL",E22="WATER"),"OWC",IF(AND(D22="GAS",E22="WATER"),"GWC",IF(AND(D22="OIL",E22="OIL_WATER"),"OWC_TRANSITION",IF(AND(D22="OIL_WATER",E22="WATER"),"OWC_TRANSITION",IF(AND(D22="GAS",E22="GAS_WATER"),"GOC_TRANSITION",IF(AND(D22="GAS_WATER",E22="OIL"),"GOC_TRANSITION",IF(OR(D22="OIL_WATER",D22="GAS_WATER"),"TRANSITION_INTERVAL","")))))))))</f>
        <v/>
      </c>
      <c r="G22" s="20">
        <f>IF(OR(F22="",Master_Data!R22="",Master_Data!S22=""),"",IF(RIGHT(F22,10)="TRANSITION",AVERAGE(Master_Data!R22:Master_Data!S22),AVERAGE(Master_Data!S22,Master_Data!R23)))</f>
        <v/>
      </c>
      <c r="H22" s="20">
        <f>IF(G22="","",MAX(Settings!$B$4,Settings!$B$5*AVERAGE(IF(Master_Data!O22&lt;&gt;"",Master_Data!O22,Master_Data!H22),IF(Master_Data!O23&lt;&gt;"",Master_Data!O23,Master_Data!H23))))</f>
        <v/>
      </c>
      <c r="I22" s="20">
        <f>IF(G22="","",G22-H22)</f>
        <v/>
      </c>
      <c r="J22" s="20">
        <f>IF(G22="","",G22+H22)</f>
        <v/>
      </c>
      <c r="K22" s="20">
        <f>IF($A22="","",Master_Data!G22)</f>
        <v/>
      </c>
      <c r="L22" s="20">
        <f>IF($A22="","",Master_Data!G23)</f>
        <v/>
      </c>
      <c r="M22" s="20">
        <f>IF(AND(ISNUMBER(K22),ISNUMBER(L22)),L22-K22,"")</f>
        <v/>
      </c>
      <c r="N22" s="19">
        <f>IF(G22="","",IF(AND(ISNUMBER(K22),ISNUMBER(L22)),IF(OR(F22="GOC",F22="OWC",F22="GWC",F22="OWC_TRANSITION",F22="GOC_TRANSITION"),IF(L22&gt;=K22,"Supports","Conflicts"),"N/A"),"No Sw"))</f>
        <v/>
      </c>
      <c r="O22" s="20">
        <f>IF(G22="","",Settings!$B$6*IF(OR(F22="GOC",F22="OWC",F22="GWC"),1,0.7)+Settings!$B$7*IF(N22="Supports",1,IF(N22="Conflicts",0,0.5))+Settings!$B$8*IF(AND(Master_Data!R22&lt;&gt;"",Master_Data!S22&lt;&gt;"",Master_Data!R23&lt;&gt;"",Master_Data!S23&lt;&gt;""),1,0.5))</f>
        <v/>
      </c>
      <c r="P22" s="19">
        <f>IF(G22="","",IF(N22="Conflicts","SW_CONFLICT",IF(OR(F22="GOC",F22="OWC",F22="GWC"),"DIRECT_FLUID_TRANSITION","TRANSITION_INTERVAL")))</f>
        <v/>
      </c>
      <c r="Q22" s="19">
        <f>IF(G22="","",IF(N22="Conflicts","Investigate contact interpretation / saturation behaviour",IF(OR(F22="OWC",F22="GOC",F22="GWC"),"Candidate contact — validate with logs, pressure and dynamic evidence","Transition zone — do not force to a sharp contact")))</f>
        <v/>
      </c>
    </row>
    <row r="23">
      <c r="A23" s="19">
        <f>IF(AND(Master_Data!A23&lt;&gt;"",Master_Data!A23=Master_Data!A24),Master_Data!A23,"")</f>
        <v/>
      </c>
      <c r="B23" s="19">
        <f>IF($A23="","",Master_Data!B23)</f>
        <v/>
      </c>
      <c r="C23" s="19">
        <f>IF($A23="","",Master_Data!B24)</f>
        <v/>
      </c>
      <c r="D23" s="19">
        <f>IF($A23="","",Master_Data!Q23)</f>
        <v/>
      </c>
      <c r="E23" s="19">
        <f>IF($A23="","",Master_Data!Q24)</f>
        <v/>
      </c>
      <c r="F23" s="19">
        <f>IF($A23="","",IF(AND(D23="GAS",E23="OIL"),"GOC",IF(AND(D23="OIL",E23="WATER"),"OWC",IF(AND(D23="GAS",E23="WATER"),"GWC",IF(AND(D23="OIL",E23="OIL_WATER"),"OWC_TRANSITION",IF(AND(D23="OIL_WATER",E23="WATER"),"OWC_TRANSITION",IF(AND(D23="GAS",E23="GAS_WATER"),"GOC_TRANSITION",IF(AND(D23="GAS_WATER",E23="OIL"),"GOC_TRANSITION",IF(OR(D23="OIL_WATER",D23="GAS_WATER"),"TRANSITION_INTERVAL","")))))))))</f>
        <v/>
      </c>
      <c r="G23" s="20">
        <f>IF(OR(F23="",Master_Data!R23="",Master_Data!S23=""),"",IF(RIGHT(F23,10)="TRANSITION",AVERAGE(Master_Data!R23:Master_Data!S23),AVERAGE(Master_Data!S23,Master_Data!R24)))</f>
        <v/>
      </c>
      <c r="H23" s="20">
        <f>IF(G23="","",MAX(Settings!$B$4,Settings!$B$5*AVERAGE(IF(Master_Data!O23&lt;&gt;"",Master_Data!O23,Master_Data!H23),IF(Master_Data!O24&lt;&gt;"",Master_Data!O24,Master_Data!H24))))</f>
        <v/>
      </c>
      <c r="I23" s="20">
        <f>IF(G23="","",G23-H23)</f>
        <v/>
      </c>
      <c r="J23" s="20">
        <f>IF(G23="","",G23+H23)</f>
        <v/>
      </c>
      <c r="K23" s="20">
        <f>IF($A23="","",Master_Data!G23)</f>
        <v/>
      </c>
      <c r="L23" s="20">
        <f>IF($A23="","",Master_Data!G24)</f>
        <v/>
      </c>
      <c r="M23" s="20">
        <f>IF(AND(ISNUMBER(K23),ISNUMBER(L23)),L23-K23,"")</f>
        <v/>
      </c>
      <c r="N23" s="19">
        <f>IF(G23="","",IF(AND(ISNUMBER(K23),ISNUMBER(L23)),IF(OR(F23="GOC",F23="OWC",F23="GWC",F23="OWC_TRANSITION",F23="GOC_TRANSITION"),IF(L23&gt;=K23,"Supports","Conflicts"),"N/A"),"No Sw"))</f>
        <v/>
      </c>
      <c r="O23" s="20">
        <f>IF(G23="","",Settings!$B$6*IF(OR(F23="GOC",F23="OWC",F23="GWC"),1,0.7)+Settings!$B$7*IF(N23="Supports",1,IF(N23="Conflicts",0,0.5))+Settings!$B$8*IF(AND(Master_Data!R23&lt;&gt;"",Master_Data!S23&lt;&gt;"",Master_Data!R24&lt;&gt;"",Master_Data!S24&lt;&gt;""),1,0.5))</f>
        <v/>
      </c>
      <c r="P23" s="19">
        <f>IF(G23="","",IF(N23="Conflicts","SW_CONFLICT",IF(OR(F23="GOC",F23="OWC",F23="GWC"),"DIRECT_FLUID_TRANSITION","TRANSITION_INTERVAL")))</f>
        <v/>
      </c>
      <c r="Q23" s="19">
        <f>IF(G23="","",IF(N23="Conflicts","Investigate contact interpretation / saturation behaviour",IF(OR(F23="OWC",F23="GOC",F23="GWC"),"Candidate contact — validate with logs, pressure and dynamic evidence","Transition zone — do not force to a sharp contact")))</f>
        <v/>
      </c>
    </row>
    <row r="24">
      <c r="A24" s="19">
        <f>IF(AND(Master_Data!A24&lt;&gt;"",Master_Data!A24=Master_Data!A25),Master_Data!A24,"")</f>
        <v/>
      </c>
      <c r="B24" s="19">
        <f>IF($A24="","",Master_Data!B24)</f>
        <v/>
      </c>
      <c r="C24" s="19">
        <f>IF($A24="","",Master_Data!B25)</f>
        <v/>
      </c>
      <c r="D24" s="19">
        <f>IF($A24="","",Master_Data!Q24)</f>
        <v/>
      </c>
      <c r="E24" s="19">
        <f>IF($A24="","",Master_Data!Q25)</f>
        <v/>
      </c>
      <c r="F24" s="19">
        <f>IF($A24="","",IF(AND(D24="GAS",E24="OIL"),"GOC",IF(AND(D24="OIL",E24="WATER"),"OWC",IF(AND(D24="GAS",E24="WATER"),"GWC",IF(AND(D24="OIL",E24="OIL_WATER"),"OWC_TRANSITION",IF(AND(D24="OIL_WATER",E24="WATER"),"OWC_TRANSITION",IF(AND(D24="GAS",E24="GAS_WATER"),"GOC_TRANSITION",IF(AND(D24="GAS_WATER",E24="OIL"),"GOC_TRANSITION",IF(OR(D24="OIL_WATER",D24="GAS_WATER"),"TRANSITION_INTERVAL","")))))))))</f>
        <v/>
      </c>
      <c r="G24" s="20">
        <f>IF(OR(F24="",Master_Data!R24="",Master_Data!S24=""),"",IF(RIGHT(F24,10)="TRANSITION",AVERAGE(Master_Data!R24:Master_Data!S24),AVERAGE(Master_Data!S24,Master_Data!R25)))</f>
        <v/>
      </c>
      <c r="H24" s="20">
        <f>IF(G24="","",MAX(Settings!$B$4,Settings!$B$5*AVERAGE(IF(Master_Data!O24&lt;&gt;"",Master_Data!O24,Master_Data!H24),IF(Master_Data!O25&lt;&gt;"",Master_Data!O25,Master_Data!H25))))</f>
        <v/>
      </c>
      <c r="I24" s="20">
        <f>IF(G24="","",G24-H24)</f>
        <v/>
      </c>
      <c r="J24" s="20">
        <f>IF(G24="","",G24+H24)</f>
        <v/>
      </c>
      <c r="K24" s="20">
        <f>IF($A24="","",Master_Data!G24)</f>
        <v/>
      </c>
      <c r="L24" s="20">
        <f>IF($A24="","",Master_Data!G25)</f>
        <v/>
      </c>
      <c r="M24" s="20">
        <f>IF(AND(ISNUMBER(K24),ISNUMBER(L24)),L24-K24,"")</f>
        <v/>
      </c>
      <c r="N24" s="19">
        <f>IF(G24="","",IF(AND(ISNUMBER(K24),ISNUMBER(L24)),IF(OR(F24="GOC",F24="OWC",F24="GWC",F24="OWC_TRANSITION",F24="GOC_TRANSITION"),IF(L24&gt;=K24,"Supports","Conflicts"),"N/A"),"No Sw"))</f>
        <v/>
      </c>
      <c r="O24" s="20">
        <f>IF(G24="","",Settings!$B$6*IF(OR(F24="GOC",F24="OWC",F24="GWC"),1,0.7)+Settings!$B$7*IF(N24="Supports",1,IF(N24="Conflicts",0,0.5))+Settings!$B$8*IF(AND(Master_Data!R24&lt;&gt;"",Master_Data!S24&lt;&gt;"",Master_Data!R25&lt;&gt;"",Master_Data!S25&lt;&gt;""),1,0.5))</f>
        <v/>
      </c>
      <c r="P24" s="19">
        <f>IF(G24="","",IF(N24="Conflicts","SW_CONFLICT",IF(OR(F24="GOC",F24="OWC",F24="GWC"),"DIRECT_FLUID_TRANSITION","TRANSITION_INTERVAL")))</f>
        <v/>
      </c>
      <c r="Q24" s="19">
        <f>IF(G24="","",IF(N24="Conflicts","Investigate contact interpretation / saturation behaviour",IF(OR(F24="OWC",F24="GOC",F24="GWC"),"Candidate contact — validate with logs, pressure and dynamic evidence","Transition zone — do not force to a sharp contact")))</f>
        <v/>
      </c>
    </row>
    <row r="25">
      <c r="A25" s="19">
        <f>IF(AND(Master_Data!A25&lt;&gt;"",Master_Data!A25=Master_Data!A26),Master_Data!A25,"")</f>
        <v/>
      </c>
      <c r="B25" s="19">
        <f>IF($A25="","",Master_Data!B25)</f>
        <v/>
      </c>
      <c r="C25" s="19">
        <f>IF($A25="","",Master_Data!B26)</f>
        <v/>
      </c>
      <c r="D25" s="19">
        <f>IF($A25="","",Master_Data!Q25)</f>
        <v/>
      </c>
      <c r="E25" s="19">
        <f>IF($A25="","",Master_Data!Q26)</f>
        <v/>
      </c>
      <c r="F25" s="19">
        <f>IF($A25="","",IF(AND(D25="GAS",E25="OIL"),"GOC",IF(AND(D25="OIL",E25="WATER"),"OWC",IF(AND(D25="GAS",E25="WATER"),"GWC",IF(AND(D25="OIL",E25="OIL_WATER"),"OWC_TRANSITION",IF(AND(D25="OIL_WATER",E25="WATER"),"OWC_TRANSITION",IF(AND(D25="GAS",E25="GAS_WATER"),"GOC_TRANSITION",IF(AND(D25="GAS_WATER",E25="OIL"),"GOC_TRANSITION",IF(OR(D25="OIL_WATER",D25="GAS_WATER"),"TRANSITION_INTERVAL","")))))))))</f>
        <v/>
      </c>
      <c r="G25" s="20">
        <f>IF(OR(F25="",Master_Data!R25="",Master_Data!S25=""),"",IF(RIGHT(F25,10)="TRANSITION",AVERAGE(Master_Data!R25:Master_Data!S25),AVERAGE(Master_Data!S25,Master_Data!R26)))</f>
        <v/>
      </c>
      <c r="H25" s="20">
        <f>IF(G25="","",MAX(Settings!$B$4,Settings!$B$5*AVERAGE(IF(Master_Data!O25&lt;&gt;"",Master_Data!O25,Master_Data!H25),IF(Master_Data!O26&lt;&gt;"",Master_Data!O26,Master_Data!H26))))</f>
        <v/>
      </c>
      <c r="I25" s="20">
        <f>IF(G25="","",G25-H25)</f>
        <v/>
      </c>
      <c r="J25" s="20">
        <f>IF(G25="","",G25+H25)</f>
        <v/>
      </c>
      <c r="K25" s="20">
        <f>IF($A25="","",Master_Data!G25)</f>
        <v/>
      </c>
      <c r="L25" s="20">
        <f>IF($A25="","",Master_Data!G26)</f>
        <v/>
      </c>
      <c r="M25" s="20">
        <f>IF(AND(ISNUMBER(K25),ISNUMBER(L25)),L25-K25,"")</f>
        <v/>
      </c>
      <c r="N25" s="19">
        <f>IF(G25="","",IF(AND(ISNUMBER(K25),ISNUMBER(L25)),IF(OR(F25="GOC",F25="OWC",F25="GWC",F25="OWC_TRANSITION",F25="GOC_TRANSITION"),IF(L25&gt;=K25,"Supports","Conflicts"),"N/A"),"No Sw"))</f>
        <v/>
      </c>
      <c r="O25" s="20">
        <f>IF(G25="","",Settings!$B$6*IF(OR(F25="GOC",F25="OWC",F25="GWC"),1,0.7)+Settings!$B$7*IF(N25="Supports",1,IF(N25="Conflicts",0,0.5))+Settings!$B$8*IF(AND(Master_Data!R25&lt;&gt;"",Master_Data!S25&lt;&gt;"",Master_Data!R26&lt;&gt;"",Master_Data!S26&lt;&gt;""),1,0.5))</f>
        <v/>
      </c>
      <c r="P25" s="19">
        <f>IF(G25="","",IF(N25="Conflicts","SW_CONFLICT",IF(OR(F25="GOC",F25="OWC",F25="GWC"),"DIRECT_FLUID_TRANSITION","TRANSITION_INTERVAL")))</f>
        <v/>
      </c>
      <c r="Q25" s="19">
        <f>IF(G25="","",IF(N25="Conflicts","Investigate contact interpretation / saturation behaviour",IF(OR(F25="OWC",F25="GOC",F25="GWC"),"Candidate contact — validate with logs, pressure and dynamic evidence","Transition zone — do not force to a sharp contact")))</f>
        <v/>
      </c>
    </row>
    <row r="26">
      <c r="A26" s="19">
        <f>IF(AND(Master_Data!A26&lt;&gt;"",Master_Data!A26=Master_Data!A27),Master_Data!A26,"")</f>
        <v/>
      </c>
      <c r="B26" s="19">
        <f>IF($A26="","",Master_Data!B26)</f>
        <v/>
      </c>
      <c r="C26" s="19">
        <f>IF($A26="","",Master_Data!B27)</f>
        <v/>
      </c>
      <c r="D26" s="19">
        <f>IF($A26="","",Master_Data!Q26)</f>
        <v/>
      </c>
      <c r="E26" s="19">
        <f>IF($A26="","",Master_Data!Q27)</f>
        <v/>
      </c>
      <c r="F26" s="19">
        <f>IF($A26="","",IF(AND(D26="GAS",E26="OIL"),"GOC",IF(AND(D26="OIL",E26="WATER"),"OWC",IF(AND(D26="GAS",E26="WATER"),"GWC",IF(AND(D26="OIL",E26="OIL_WATER"),"OWC_TRANSITION",IF(AND(D26="OIL_WATER",E26="WATER"),"OWC_TRANSITION",IF(AND(D26="GAS",E26="GAS_WATER"),"GOC_TRANSITION",IF(AND(D26="GAS_WATER",E26="OIL"),"GOC_TRANSITION",IF(OR(D26="OIL_WATER",D26="GAS_WATER"),"TRANSITION_INTERVAL","")))))))))</f>
        <v/>
      </c>
      <c r="G26" s="20">
        <f>IF(OR(F26="",Master_Data!R26="",Master_Data!S26=""),"",IF(RIGHT(F26,10)="TRANSITION",AVERAGE(Master_Data!R26:Master_Data!S26),AVERAGE(Master_Data!S26,Master_Data!R27)))</f>
        <v/>
      </c>
      <c r="H26" s="20">
        <f>IF(G26="","",MAX(Settings!$B$4,Settings!$B$5*AVERAGE(IF(Master_Data!O26&lt;&gt;"",Master_Data!O26,Master_Data!H26),IF(Master_Data!O27&lt;&gt;"",Master_Data!O27,Master_Data!H27))))</f>
        <v/>
      </c>
      <c r="I26" s="20">
        <f>IF(G26="","",G26-H26)</f>
        <v/>
      </c>
      <c r="J26" s="20">
        <f>IF(G26="","",G26+H26)</f>
        <v/>
      </c>
      <c r="K26" s="20">
        <f>IF($A26="","",Master_Data!G26)</f>
        <v/>
      </c>
      <c r="L26" s="20">
        <f>IF($A26="","",Master_Data!G27)</f>
        <v/>
      </c>
      <c r="M26" s="20">
        <f>IF(AND(ISNUMBER(K26),ISNUMBER(L26)),L26-K26,"")</f>
        <v/>
      </c>
      <c r="N26" s="19">
        <f>IF(G26="","",IF(AND(ISNUMBER(K26),ISNUMBER(L26)),IF(OR(F26="GOC",F26="OWC",F26="GWC",F26="OWC_TRANSITION",F26="GOC_TRANSITION"),IF(L26&gt;=K26,"Supports","Conflicts"),"N/A"),"No Sw"))</f>
        <v/>
      </c>
      <c r="O26" s="20">
        <f>IF(G26="","",Settings!$B$6*IF(OR(F26="GOC",F26="OWC",F26="GWC"),1,0.7)+Settings!$B$7*IF(N26="Supports",1,IF(N26="Conflicts",0,0.5))+Settings!$B$8*IF(AND(Master_Data!R26&lt;&gt;"",Master_Data!S26&lt;&gt;"",Master_Data!R27&lt;&gt;"",Master_Data!S27&lt;&gt;""),1,0.5))</f>
        <v/>
      </c>
      <c r="P26" s="19">
        <f>IF(G26="","",IF(N26="Conflicts","SW_CONFLICT",IF(OR(F26="GOC",F26="OWC",F26="GWC"),"DIRECT_FLUID_TRANSITION","TRANSITION_INTERVAL")))</f>
        <v/>
      </c>
      <c r="Q26" s="19">
        <f>IF(G26="","",IF(N26="Conflicts","Investigate contact interpretation / saturation behaviour",IF(OR(F26="OWC",F26="GOC",F26="GWC"),"Candidate contact — validate with logs, pressure and dynamic evidence","Transition zone — do not force to a sharp contact")))</f>
        <v/>
      </c>
    </row>
    <row r="27">
      <c r="A27" s="19">
        <f>IF(AND(Master_Data!A27&lt;&gt;"",Master_Data!A27=Master_Data!A28),Master_Data!A27,"")</f>
        <v/>
      </c>
      <c r="B27" s="19">
        <f>IF($A27="","",Master_Data!B27)</f>
        <v/>
      </c>
      <c r="C27" s="19">
        <f>IF($A27="","",Master_Data!B28)</f>
        <v/>
      </c>
      <c r="D27" s="19">
        <f>IF($A27="","",Master_Data!Q27)</f>
        <v/>
      </c>
      <c r="E27" s="19">
        <f>IF($A27="","",Master_Data!Q28)</f>
        <v/>
      </c>
      <c r="F27" s="19">
        <f>IF($A27="","",IF(AND(D27="GAS",E27="OIL"),"GOC",IF(AND(D27="OIL",E27="WATER"),"OWC",IF(AND(D27="GAS",E27="WATER"),"GWC",IF(AND(D27="OIL",E27="OIL_WATER"),"OWC_TRANSITION",IF(AND(D27="OIL_WATER",E27="WATER"),"OWC_TRANSITION",IF(AND(D27="GAS",E27="GAS_WATER"),"GOC_TRANSITION",IF(AND(D27="GAS_WATER",E27="OIL"),"GOC_TRANSITION",IF(OR(D27="OIL_WATER",D27="GAS_WATER"),"TRANSITION_INTERVAL","")))))))))</f>
        <v/>
      </c>
      <c r="G27" s="20">
        <f>IF(OR(F27="",Master_Data!R27="",Master_Data!S27=""),"",IF(RIGHT(F27,10)="TRANSITION",AVERAGE(Master_Data!R27:Master_Data!S27),AVERAGE(Master_Data!S27,Master_Data!R28)))</f>
        <v/>
      </c>
      <c r="H27" s="20">
        <f>IF(G27="","",MAX(Settings!$B$4,Settings!$B$5*AVERAGE(IF(Master_Data!O27&lt;&gt;"",Master_Data!O27,Master_Data!H27),IF(Master_Data!O28&lt;&gt;"",Master_Data!O28,Master_Data!H28))))</f>
        <v/>
      </c>
      <c r="I27" s="20">
        <f>IF(G27="","",G27-H27)</f>
        <v/>
      </c>
      <c r="J27" s="20">
        <f>IF(G27="","",G27+H27)</f>
        <v/>
      </c>
      <c r="K27" s="20">
        <f>IF($A27="","",Master_Data!G27)</f>
        <v/>
      </c>
      <c r="L27" s="20">
        <f>IF($A27="","",Master_Data!G28)</f>
        <v/>
      </c>
      <c r="M27" s="20">
        <f>IF(AND(ISNUMBER(K27),ISNUMBER(L27)),L27-K27,"")</f>
        <v/>
      </c>
      <c r="N27" s="19">
        <f>IF(G27="","",IF(AND(ISNUMBER(K27),ISNUMBER(L27)),IF(OR(F27="GOC",F27="OWC",F27="GWC",F27="OWC_TRANSITION",F27="GOC_TRANSITION"),IF(L27&gt;=K27,"Supports","Conflicts"),"N/A"),"No Sw"))</f>
        <v/>
      </c>
      <c r="O27" s="20">
        <f>IF(G27="","",Settings!$B$6*IF(OR(F27="GOC",F27="OWC",F27="GWC"),1,0.7)+Settings!$B$7*IF(N27="Supports",1,IF(N27="Conflicts",0,0.5))+Settings!$B$8*IF(AND(Master_Data!R27&lt;&gt;"",Master_Data!S27&lt;&gt;"",Master_Data!R28&lt;&gt;"",Master_Data!S28&lt;&gt;""),1,0.5))</f>
        <v/>
      </c>
      <c r="P27" s="19">
        <f>IF(G27="","",IF(N27="Conflicts","SW_CONFLICT",IF(OR(F27="GOC",F27="OWC",F27="GWC"),"DIRECT_FLUID_TRANSITION","TRANSITION_INTERVAL")))</f>
        <v/>
      </c>
      <c r="Q27" s="19">
        <f>IF(G27="","",IF(N27="Conflicts","Investigate contact interpretation / saturation behaviour",IF(OR(F27="OWC",F27="GOC",F27="GWC"),"Candidate contact — validate with logs, pressure and dynamic evidence","Transition zone — do not force to a sharp contact")))</f>
        <v/>
      </c>
    </row>
    <row r="28">
      <c r="A28" s="19">
        <f>IF(AND(Master_Data!A28&lt;&gt;"",Master_Data!A28=Master_Data!A29),Master_Data!A28,"")</f>
        <v/>
      </c>
      <c r="B28" s="19">
        <f>IF($A28="","",Master_Data!B28)</f>
        <v/>
      </c>
      <c r="C28" s="19">
        <f>IF($A28="","",Master_Data!B29)</f>
        <v/>
      </c>
      <c r="D28" s="19">
        <f>IF($A28="","",Master_Data!Q28)</f>
        <v/>
      </c>
      <c r="E28" s="19">
        <f>IF($A28="","",Master_Data!Q29)</f>
        <v/>
      </c>
      <c r="F28" s="19">
        <f>IF($A28="","",IF(AND(D28="GAS",E28="OIL"),"GOC",IF(AND(D28="OIL",E28="WATER"),"OWC",IF(AND(D28="GAS",E28="WATER"),"GWC",IF(AND(D28="OIL",E28="OIL_WATER"),"OWC_TRANSITION",IF(AND(D28="OIL_WATER",E28="WATER"),"OWC_TRANSITION",IF(AND(D28="GAS",E28="GAS_WATER"),"GOC_TRANSITION",IF(AND(D28="GAS_WATER",E28="OIL"),"GOC_TRANSITION",IF(OR(D28="OIL_WATER",D28="GAS_WATER"),"TRANSITION_INTERVAL","")))))))))</f>
        <v/>
      </c>
      <c r="G28" s="20">
        <f>IF(OR(F28="",Master_Data!R28="",Master_Data!S28=""),"",IF(RIGHT(F28,10)="TRANSITION",AVERAGE(Master_Data!R28:Master_Data!S28),AVERAGE(Master_Data!S28,Master_Data!R29)))</f>
        <v/>
      </c>
      <c r="H28" s="20">
        <f>IF(G28="","",MAX(Settings!$B$4,Settings!$B$5*AVERAGE(IF(Master_Data!O28&lt;&gt;"",Master_Data!O28,Master_Data!H28),IF(Master_Data!O29&lt;&gt;"",Master_Data!O29,Master_Data!H29))))</f>
        <v/>
      </c>
      <c r="I28" s="20">
        <f>IF(G28="","",G28-H28)</f>
        <v/>
      </c>
      <c r="J28" s="20">
        <f>IF(G28="","",G28+H28)</f>
        <v/>
      </c>
      <c r="K28" s="20">
        <f>IF($A28="","",Master_Data!G28)</f>
        <v/>
      </c>
      <c r="L28" s="20">
        <f>IF($A28="","",Master_Data!G29)</f>
        <v/>
      </c>
      <c r="M28" s="20">
        <f>IF(AND(ISNUMBER(K28),ISNUMBER(L28)),L28-K28,"")</f>
        <v/>
      </c>
      <c r="N28" s="19">
        <f>IF(G28="","",IF(AND(ISNUMBER(K28),ISNUMBER(L28)),IF(OR(F28="GOC",F28="OWC",F28="GWC",F28="OWC_TRANSITION",F28="GOC_TRANSITION"),IF(L28&gt;=K28,"Supports","Conflicts"),"N/A"),"No Sw"))</f>
        <v/>
      </c>
      <c r="O28" s="20">
        <f>IF(G28="","",Settings!$B$6*IF(OR(F28="GOC",F28="OWC",F28="GWC"),1,0.7)+Settings!$B$7*IF(N28="Supports",1,IF(N28="Conflicts",0,0.5))+Settings!$B$8*IF(AND(Master_Data!R28&lt;&gt;"",Master_Data!S28&lt;&gt;"",Master_Data!R29&lt;&gt;"",Master_Data!S29&lt;&gt;""),1,0.5))</f>
        <v/>
      </c>
      <c r="P28" s="19">
        <f>IF(G28="","",IF(N28="Conflicts","SW_CONFLICT",IF(OR(F28="GOC",F28="OWC",F28="GWC"),"DIRECT_FLUID_TRANSITION","TRANSITION_INTERVAL")))</f>
        <v/>
      </c>
      <c r="Q28" s="19">
        <f>IF(G28="","",IF(N28="Conflicts","Investigate contact interpretation / saturation behaviour",IF(OR(F28="OWC",F28="GOC",F28="GWC"),"Candidate contact — validate with logs, pressure and dynamic evidence","Transition zone — do not force to a sharp contact")))</f>
        <v/>
      </c>
    </row>
    <row r="29">
      <c r="A29" s="19">
        <f>IF(AND(Master_Data!A29&lt;&gt;"",Master_Data!A29=Master_Data!A30),Master_Data!A29,"")</f>
        <v/>
      </c>
      <c r="B29" s="19">
        <f>IF($A29="","",Master_Data!B29)</f>
        <v/>
      </c>
      <c r="C29" s="19">
        <f>IF($A29="","",Master_Data!B30)</f>
        <v/>
      </c>
      <c r="D29" s="19">
        <f>IF($A29="","",Master_Data!Q29)</f>
        <v/>
      </c>
      <c r="E29" s="19">
        <f>IF($A29="","",Master_Data!Q30)</f>
        <v/>
      </c>
      <c r="F29" s="19">
        <f>IF($A29="","",IF(AND(D29="GAS",E29="OIL"),"GOC",IF(AND(D29="OIL",E29="WATER"),"OWC",IF(AND(D29="GAS",E29="WATER"),"GWC",IF(AND(D29="OIL",E29="OIL_WATER"),"OWC_TRANSITION",IF(AND(D29="OIL_WATER",E29="WATER"),"OWC_TRANSITION",IF(AND(D29="GAS",E29="GAS_WATER"),"GOC_TRANSITION",IF(AND(D29="GAS_WATER",E29="OIL"),"GOC_TRANSITION",IF(OR(D29="OIL_WATER",D29="GAS_WATER"),"TRANSITION_INTERVAL","")))))))))</f>
        <v/>
      </c>
      <c r="G29" s="20">
        <f>IF(OR(F29="",Master_Data!R29="",Master_Data!S29=""),"",IF(RIGHT(F29,10)="TRANSITION",AVERAGE(Master_Data!R29:Master_Data!S29),AVERAGE(Master_Data!S29,Master_Data!R30)))</f>
        <v/>
      </c>
      <c r="H29" s="20">
        <f>IF(G29="","",MAX(Settings!$B$4,Settings!$B$5*AVERAGE(IF(Master_Data!O29&lt;&gt;"",Master_Data!O29,Master_Data!H29),IF(Master_Data!O30&lt;&gt;"",Master_Data!O30,Master_Data!H30))))</f>
        <v/>
      </c>
      <c r="I29" s="20">
        <f>IF(G29="","",G29-H29)</f>
        <v/>
      </c>
      <c r="J29" s="20">
        <f>IF(G29="","",G29+H29)</f>
        <v/>
      </c>
      <c r="K29" s="20">
        <f>IF($A29="","",Master_Data!G29)</f>
        <v/>
      </c>
      <c r="L29" s="20">
        <f>IF($A29="","",Master_Data!G30)</f>
        <v/>
      </c>
      <c r="M29" s="20">
        <f>IF(AND(ISNUMBER(K29),ISNUMBER(L29)),L29-K29,"")</f>
        <v/>
      </c>
      <c r="N29" s="19">
        <f>IF(G29="","",IF(AND(ISNUMBER(K29),ISNUMBER(L29)),IF(OR(F29="GOC",F29="OWC",F29="GWC",F29="OWC_TRANSITION",F29="GOC_TRANSITION"),IF(L29&gt;=K29,"Supports","Conflicts"),"N/A"),"No Sw"))</f>
        <v/>
      </c>
      <c r="O29" s="20">
        <f>IF(G29="","",Settings!$B$6*IF(OR(F29="GOC",F29="OWC",F29="GWC"),1,0.7)+Settings!$B$7*IF(N29="Supports",1,IF(N29="Conflicts",0,0.5))+Settings!$B$8*IF(AND(Master_Data!R29&lt;&gt;"",Master_Data!S29&lt;&gt;"",Master_Data!R30&lt;&gt;"",Master_Data!S30&lt;&gt;""),1,0.5))</f>
        <v/>
      </c>
      <c r="P29" s="19">
        <f>IF(G29="","",IF(N29="Conflicts","SW_CONFLICT",IF(OR(F29="GOC",F29="OWC",F29="GWC"),"DIRECT_FLUID_TRANSITION","TRANSITION_INTERVAL")))</f>
        <v/>
      </c>
      <c r="Q29" s="19">
        <f>IF(G29="","",IF(N29="Conflicts","Investigate contact interpretation / saturation behaviour",IF(OR(F29="OWC",F29="GOC",F29="GWC"),"Candidate contact — validate with logs, pressure and dynamic evidence","Transition zone — do not force to a sharp contact")))</f>
        <v/>
      </c>
    </row>
    <row r="30">
      <c r="A30" s="19">
        <f>IF(AND(Master_Data!A30&lt;&gt;"",Master_Data!A30=Master_Data!A31),Master_Data!A30,"")</f>
        <v/>
      </c>
      <c r="B30" s="19">
        <f>IF($A30="","",Master_Data!B30)</f>
        <v/>
      </c>
      <c r="C30" s="19">
        <f>IF($A30="","",Master_Data!B31)</f>
        <v/>
      </c>
      <c r="D30" s="19">
        <f>IF($A30="","",Master_Data!Q30)</f>
        <v/>
      </c>
      <c r="E30" s="19">
        <f>IF($A30="","",Master_Data!Q31)</f>
        <v/>
      </c>
      <c r="F30" s="19">
        <f>IF($A30="","",IF(AND(D30="GAS",E30="OIL"),"GOC",IF(AND(D30="OIL",E30="WATER"),"OWC",IF(AND(D30="GAS",E30="WATER"),"GWC",IF(AND(D30="OIL",E30="OIL_WATER"),"OWC_TRANSITION",IF(AND(D30="OIL_WATER",E30="WATER"),"OWC_TRANSITION",IF(AND(D30="GAS",E30="GAS_WATER"),"GOC_TRANSITION",IF(AND(D30="GAS_WATER",E30="OIL"),"GOC_TRANSITION",IF(OR(D30="OIL_WATER",D30="GAS_WATER"),"TRANSITION_INTERVAL","")))))))))</f>
        <v/>
      </c>
      <c r="G30" s="20">
        <f>IF(OR(F30="",Master_Data!R30="",Master_Data!S30=""),"",IF(RIGHT(F30,10)="TRANSITION",AVERAGE(Master_Data!R30:Master_Data!S30),AVERAGE(Master_Data!S30,Master_Data!R31)))</f>
        <v/>
      </c>
      <c r="H30" s="20">
        <f>IF(G30="","",MAX(Settings!$B$4,Settings!$B$5*AVERAGE(IF(Master_Data!O30&lt;&gt;"",Master_Data!O30,Master_Data!H30),IF(Master_Data!O31&lt;&gt;"",Master_Data!O31,Master_Data!H31))))</f>
        <v/>
      </c>
      <c r="I30" s="20">
        <f>IF(G30="","",G30-H30)</f>
        <v/>
      </c>
      <c r="J30" s="20">
        <f>IF(G30="","",G30+H30)</f>
        <v/>
      </c>
      <c r="K30" s="20">
        <f>IF($A30="","",Master_Data!G30)</f>
        <v/>
      </c>
      <c r="L30" s="20">
        <f>IF($A30="","",Master_Data!G31)</f>
        <v/>
      </c>
      <c r="M30" s="20">
        <f>IF(AND(ISNUMBER(K30),ISNUMBER(L30)),L30-K30,"")</f>
        <v/>
      </c>
      <c r="N30" s="19">
        <f>IF(G30="","",IF(AND(ISNUMBER(K30),ISNUMBER(L30)),IF(OR(F30="GOC",F30="OWC",F30="GWC",F30="OWC_TRANSITION",F30="GOC_TRANSITION"),IF(L30&gt;=K30,"Supports","Conflicts"),"N/A"),"No Sw"))</f>
        <v/>
      </c>
      <c r="O30" s="20">
        <f>IF(G30="","",Settings!$B$6*IF(OR(F30="GOC",F30="OWC",F30="GWC"),1,0.7)+Settings!$B$7*IF(N30="Supports",1,IF(N30="Conflicts",0,0.5))+Settings!$B$8*IF(AND(Master_Data!R30&lt;&gt;"",Master_Data!S30&lt;&gt;"",Master_Data!R31&lt;&gt;"",Master_Data!S31&lt;&gt;""),1,0.5))</f>
        <v/>
      </c>
      <c r="P30" s="19">
        <f>IF(G30="","",IF(N30="Conflicts","SW_CONFLICT",IF(OR(F30="GOC",F30="OWC",F30="GWC"),"DIRECT_FLUID_TRANSITION","TRANSITION_INTERVAL")))</f>
        <v/>
      </c>
      <c r="Q30" s="19">
        <f>IF(G30="","",IF(N30="Conflicts","Investigate contact interpretation / saturation behaviour",IF(OR(F30="OWC",F30="GOC",F30="GWC"),"Candidate contact — validate with logs, pressure and dynamic evidence","Transition zone — do not force to a sharp contact")))</f>
        <v/>
      </c>
    </row>
    <row r="31">
      <c r="A31" s="19">
        <f>IF(AND(Master_Data!A31&lt;&gt;"",Master_Data!A31=Master_Data!A32),Master_Data!A31,"")</f>
        <v/>
      </c>
      <c r="B31" s="19">
        <f>IF($A31="","",Master_Data!B31)</f>
        <v/>
      </c>
      <c r="C31" s="19">
        <f>IF($A31="","",Master_Data!B32)</f>
        <v/>
      </c>
      <c r="D31" s="19">
        <f>IF($A31="","",Master_Data!Q31)</f>
        <v/>
      </c>
      <c r="E31" s="19">
        <f>IF($A31="","",Master_Data!Q32)</f>
        <v/>
      </c>
      <c r="F31" s="19">
        <f>IF($A31="","",IF(AND(D31="GAS",E31="OIL"),"GOC",IF(AND(D31="OIL",E31="WATER"),"OWC",IF(AND(D31="GAS",E31="WATER"),"GWC",IF(AND(D31="OIL",E31="OIL_WATER"),"OWC_TRANSITION",IF(AND(D31="OIL_WATER",E31="WATER"),"OWC_TRANSITION",IF(AND(D31="GAS",E31="GAS_WATER"),"GOC_TRANSITION",IF(AND(D31="GAS_WATER",E31="OIL"),"GOC_TRANSITION",IF(OR(D31="OIL_WATER",D31="GAS_WATER"),"TRANSITION_INTERVAL","")))))))))</f>
        <v/>
      </c>
      <c r="G31" s="20">
        <f>IF(OR(F31="",Master_Data!R31="",Master_Data!S31=""),"",IF(RIGHT(F31,10)="TRANSITION",AVERAGE(Master_Data!R31:Master_Data!S31),AVERAGE(Master_Data!S31,Master_Data!R32)))</f>
        <v/>
      </c>
      <c r="H31" s="20">
        <f>IF(G31="","",MAX(Settings!$B$4,Settings!$B$5*AVERAGE(IF(Master_Data!O31&lt;&gt;"",Master_Data!O31,Master_Data!H31),IF(Master_Data!O32&lt;&gt;"",Master_Data!O32,Master_Data!H32))))</f>
        <v/>
      </c>
      <c r="I31" s="20">
        <f>IF(G31="","",G31-H31)</f>
        <v/>
      </c>
      <c r="J31" s="20">
        <f>IF(G31="","",G31+H31)</f>
        <v/>
      </c>
      <c r="K31" s="20">
        <f>IF($A31="","",Master_Data!G31)</f>
        <v/>
      </c>
      <c r="L31" s="20">
        <f>IF($A31="","",Master_Data!G32)</f>
        <v/>
      </c>
      <c r="M31" s="20">
        <f>IF(AND(ISNUMBER(K31),ISNUMBER(L31)),L31-K31,"")</f>
        <v/>
      </c>
      <c r="N31" s="19">
        <f>IF(G31="","",IF(AND(ISNUMBER(K31),ISNUMBER(L31)),IF(OR(F31="GOC",F31="OWC",F31="GWC",F31="OWC_TRANSITION",F31="GOC_TRANSITION"),IF(L31&gt;=K31,"Supports","Conflicts"),"N/A"),"No Sw"))</f>
        <v/>
      </c>
      <c r="O31" s="20">
        <f>IF(G31="","",Settings!$B$6*IF(OR(F31="GOC",F31="OWC",F31="GWC"),1,0.7)+Settings!$B$7*IF(N31="Supports",1,IF(N31="Conflicts",0,0.5))+Settings!$B$8*IF(AND(Master_Data!R31&lt;&gt;"",Master_Data!S31&lt;&gt;"",Master_Data!R32&lt;&gt;"",Master_Data!S32&lt;&gt;""),1,0.5))</f>
        <v/>
      </c>
      <c r="P31" s="19">
        <f>IF(G31="","",IF(N31="Conflicts","SW_CONFLICT",IF(OR(F31="GOC",F31="OWC",F31="GWC"),"DIRECT_FLUID_TRANSITION","TRANSITION_INTERVAL")))</f>
        <v/>
      </c>
      <c r="Q31" s="19">
        <f>IF(G31="","",IF(N31="Conflicts","Investigate contact interpretation / saturation behaviour",IF(OR(F31="OWC",F31="GOC",F31="GWC"),"Candidate contact — validate with logs, pressure and dynamic evidence","Transition zone — do not force to a sharp contact")))</f>
        <v/>
      </c>
    </row>
    <row r="32">
      <c r="A32" s="19">
        <f>IF(AND(Master_Data!A32&lt;&gt;"",Master_Data!A32=Master_Data!A33),Master_Data!A32,"")</f>
        <v/>
      </c>
      <c r="B32" s="19">
        <f>IF($A32="","",Master_Data!B32)</f>
        <v/>
      </c>
      <c r="C32" s="19">
        <f>IF($A32="","",Master_Data!B33)</f>
        <v/>
      </c>
      <c r="D32" s="19">
        <f>IF($A32="","",Master_Data!Q32)</f>
        <v/>
      </c>
      <c r="E32" s="19">
        <f>IF($A32="","",Master_Data!Q33)</f>
        <v/>
      </c>
      <c r="F32" s="19">
        <f>IF($A32="","",IF(AND(D32="GAS",E32="OIL"),"GOC",IF(AND(D32="OIL",E32="WATER"),"OWC",IF(AND(D32="GAS",E32="WATER"),"GWC",IF(AND(D32="OIL",E32="OIL_WATER"),"OWC_TRANSITION",IF(AND(D32="OIL_WATER",E32="WATER"),"OWC_TRANSITION",IF(AND(D32="GAS",E32="GAS_WATER"),"GOC_TRANSITION",IF(AND(D32="GAS_WATER",E32="OIL"),"GOC_TRANSITION",IF(OR(D32="OIL_WATER",D32="GAS_WATER"),"TRANSITION_INTERVAL","")))))))))</f>
        <v/>
      </c>
      <c r="G32" s="20">
        <f>IF(OR(F32="",Master_Data!R32="",Master_Data!S32=""),"",IF(RIGHT(F32,10)="TRANSITION",AVERAGE(Master_Data!R32:Master_Data!S32),AVERAGE(Master_Data!S32,Master_Data!R33)))</f>
        <v/>
      </c>
      <c r="H32" s="20">
        <f>IF(G32="","",MAX(Settings!$B$4,Settings!$B$5*AVERAGE(IF(Master_Data!O32&lt;&gt;"",Master_Data!O32,Master_Data!H32),IF(Master_Data!O33&lt;&gt;"",Master_Data!O33,Master_Data!H33))))</f>
        <v/>
      </c>
      <c r="I32" s="20">
        <f>IF(G32="","",G32-H32)</f>
        <v/>
      </c>
      <c r="J32" s="20">
        <f>IF(G32="","",G32+H32)</f>
        <v/>
      </c>
      <c r="K32" s="20">
        <f>IF($A32="","",Master_Data!G32)</f>
        <v/>
      </c>
      <c r="L32" s="20">
        <f>IF($A32="","",Master_Data!G33)</f>
        <v/>
      </c>
      <c r="M32" s="20">
        <f>IF(AND(ISNUMBER(K32),ISNUMBER(L32)),L32-K32,"")</f>
        <v/>
      </c>
      <c r="N32" s="19">
        <f>IF(G32="","",IF(AND(ISNUMBER(K32),ISNUMBER(L32)),IF(OR(F32="GOC",F32="OWC",F32="GWC",F32="OWC_TRANSITION",F32="GOC_TRANSITION"),IF(L32&gt;=K32,"Supports","Conflicts"),"N/A"),"No Sw"))</f>
        <v/>
      </c>
      <c r="O32" s="20">
        <f>IF(G32="","",Settings!$B$6*IF(OR(F32="GOC",F32="OWC",F32="GWC"),1,0.7)+Settings!$B$7*IF(N32="Supports",1,IF(N32="Conflicts",0,0.5))+Settings!$B$8*IF(AND(Master_Data!R32&lt;&gt;"",Master_Data!S32&lt;&gt;"",Master_Data!R33&lt;&gt;"",Master_Data!S33&lt;&gt;""),1,0.5))</f>
        <v/>
      </c>
      <c r="P32" s="19">
        <f>IF(G32="","",IF(N32="Conflicts","SW_CONFLICT",IF(OR(F32="GOC",F32="OWC",F32="GWC"),"DIRECT_FLUID_TRANSITION","TRANSITION_INTERVAL")))</f>
        <v/>
      </c>
      <c r="Q32" s="19">
        <f>IF(G32="","",IF(N32="Conflicts","Investigate contact interpretation / saturation behaviour",IF(OR(F32="OWC",F32="GOC",F32="GWC"),"Candidate contact — validate with logs, pressure and dynamic evidence","Transition zone — do not force to a sharp contact")))</f>
        <v/>
      </c>
    </row>
    <row r="33">
      <c r="A33" s="19">
        <f>IF(AND(Master_Data!A33&lt;&gt;"",Master_Data!A33=Master_Data!A34),Master_Data!A33,"")</f>
        <v/>
      </c>
      <c r="B33" s="19">
        <f>IF($A33="","",Master_Data!B33)</f>
        <v/>
      </c>
      <c r="C33" s="19">
        <f>IF($A33="","",Master_Data!B34)</f>
        <v/>
      </c>
      <c r="D33" s="19">
        <f>IF($A33="","",Master_Data!Q33)</f>
        <v/>
      </c>
      <c r="E33" s="19">
        <f>IF($A33="","",Master_Data!Q34)</f>
        <v/>
      </c>
      <c r="F33" s="19">
        <f>IF($A33="","",IF(AND(D33="GAS",E33="OIL"),"GOC",IF(AND(D33="OIL",E33="WATER"),"OWC",IF(AND(D33="GAS",E33="WATER"),"GWC",IF(AND(D33="OIL",E33="OIL_WATER"),"OWC_TRANSITION",IF(AND(D33="OIL_WATER",E33="WATER"),"OWC_TRANSITION",IF(AND(D33="GAS",E33="GAS_WATER"),"GOC_TRANSITION",IF(AND(D33="GAS_WATER",E33="OIL"),"GOC_TRANSITION",IF(OR(D33="OIL_WATER",D33="GAS_WATER"),"TRANSITION_INTERVAL","")))))))))</f>
        <v/>
      </c>
      <c r="G33" s="20">
        <f>IF(OR(F33="",Master_Data!R33="",Master_Data!S33=""),"",IF(RIGHT(F33,10)="TRANSITION",AVERAGE(Master_Data!R33:Master_Data!S33),AVERAGE(Master_Data!S33,Master_Data!R34)))</f>
        <v/>
      </c>
      <c r="H33" s="20">
        <f>IF(G33="","",MAX(Settings!$B$4,Settings!$B$5*AVERAGE(IF(Master_Data!O33&lt;&gt;"",Master_Data!O33,Master_Data!H33),IF(Master_Data!O34&lt;&gt;"",Master_Data!O34,Master_Data!H34))))</f>
        <v/>
      </c>
      <c r="I33" s="20">
        <f>IF(G33="","",G33-H33)</f>
        <v/>
      </c>
      <c r="J33" s="20">
        <f>IF(G33="","",G33+H33)</f>
        <v/>
      </c>
      <c r="K33" s="20">
        <f>IF($A33="","",Master_Data!G33)</f>
        <v/>
      </c>
      <c r="L33" s="20">
        <f>IF($A33="","",Master_Data!G34)</f>
        <v/>
      </c>
      <c r="M33" s="20">
        <f>IF(AND(ISNUMBER(K33),ISNUMBER(L33)),L33-K33,"")</f>
        <v/>
      </c>
      <c r="N33" s="19">
        <f>IF(G33="","",IF(AND(ISNUMBER(K33),ISNUMBER(L33)),IF(OR(F33="GOC",F33="OWC",F33="GWC",F33="OWC_TRANSITION",F33="GOC_TRANSITION"),IF(L33&gt;=K33,"Supports","Conflicts"),"N/A"),"No Sw"))</f>
        <v/>
      </c>
      <c r="O33" s="20">
        <f>IF(G33="","",Settings!$B$6*IF(OR(F33="GOC",F33="OWC",F33="GWC"),1,0.7)+Settings!$B$7*IF(N33="Supports",1,IF(N33="Conflicts",0,0.5))+Settings!$B$8*IF(AND(Master_Data!R33&lt;&gt;"",Master_Data!S33&lt;&gt;"",Master_Data!R34&lt;&gt;"",Master_Data!S34&lt;&gt;""),1,0.5))</f>
        <v/>
      </c>
      <c r="P33" s="19">
        <f>IF(G33="","",IF(N33="Conflicts","SW_CONFLICT",IF(OR(F33="GOC",F33="OWC",F33="GWC"),"DIRECT_FLUID_TRANSITION","TRANSITION_INTERVAL")))</f>
        <v/>
      </c>
      <c r="Q33" s="19">
        <f>IF(G33="","",IF(N33="Conflicts","Investigate contact interpretation / saturation behaviour",IF(OR(F33="OWC",F33="GOC",F33="GWC"),"Candidate contact — validate with logs, pressure and dynamic evidence","Transition zone — do not force to a sharp contact")))</f>
        <v/>
      </c>
    </row>
    <row r="34">
      <c r="A34" s="19">
        <f>IF(AND(Master_Data!A34&lt;&gt;"",Master_Data!A34=Master_Data!A35),Master_Data!A34,"")</f>
        <v/>
      </c>
      <c r="B34" s="19">
        <f>IF($A34="","",Master_Data!B34)</f>
        <v/>
      </c>
      <c r="C34" s="19">
        <f>IF($A34="","",Master_Data!B35)</f>
        <v/>
      </c>
      <c r="D34" s="19">
        <f>IF($A34="","",Master_Data!Q34)</f>
        <v/>
      </c>
      <c r="E34" s="19">
        <f>IF($A34="","",Master_Data!Q35)</f>
        <v/>
      </c>
      <c r="F34" s="19">
        <f>IF($A34="","",IF(AND(D34="GAS",E34="OIL"),"GOC",IF(AND(D34="OIL",E34="WATER"),"OWC",IF(AND(D34="GAS",E34="WATER"),"GWC",IF(AND(D34="OIL",E34="OIL_WATER"),"OWC_TRANSITION",IF(AND(D34="OIL_WATER",E34="WATER"),"OWC_TRANSITION",IF(AND(D34="GAS",E34="GAS_WATER"),"GOC_TRANSITION",IF(AND(D34="GAS_WATER",E34="OIL"),"GOC_TRANSITION",IF(OR(D34="OIL_WATER",D34="GAS_WATER"),"TRANSITION_INTERVAL","")))))))))</f>
        <v/>
      </c>
      <c r="G34" s="20">
        <f>IF(OR(F34="",Master_Data!R34="",Master_Data!S34=""),"",IF(RIGHT(F34,10)="TRANSITION",AVERAGE(Master_Data!R34:Master_Data!S34),AVERAGE(Master_Data!S34,Master_Data!R35)))</f>
        <v/>
      </c>
      <c r="H34" s="20">
        <f>IF(G34="","",MAX(Settings!$B$4,Settings!$B$5*AVERAGE(IF(Master_Data!O34&lt;&gt;"",Master_Data!O34,Master_Data!H34),IF(Master_Data!O35&lt;&gt;"",Master_Data!O35,Master_Data!H35))))</f>
        <v/>
      </c>
      <c r="I34" s="20">
        <f>IF(G34="","",G34-H34)</f>
        <v/>
      </c>
      <c r="J34" s="20">
        <f>IF(G34="","",G34+H34)</f>
        <v/>
      </c>
      <c r="K34" s="20">
        <f>IF($A34="","",Master_Data!G34)</f>
        <v/>
      </c>
      <c r="L34" s="20">
        <f>IF($A34="","",Master_Data!G35)</f>
        <v/>
      </c>
      <c r="M34" s="20">
        <f>IF(AND(ISNUMBER(K34),ISNUMBER(L34)),L34-K34,"")</f>
        <v/>
      </c>
      <c r="N34" s="19">
        <f>IF(G34="","",IF(AND(ISNUMBER(K34),ISNUMBER(L34)),IF(OR(F34="GOC",F34="OWC",F34="GWC",F34="OWC_TRANSITION",F34="GOC_TRANSITION"),IF(L34&gt;=K34,"Supports","Conflicts"),"N/A"),"No Sw"))</f>
        <v/>
      </c>
      <c r="O34" s="20">
        <f>IF(G34="","",Settings!$B$6*IF(OR(F34="GOC",F34="OWC",F34="GWC"),1,0.7)+Settings!$B$7*IF(N34="Supports",1,IF(N34="Conflicts",0,0.5))+Settings!$B$8*IF(AND(Master_Data!R34&lt;&gt;"",Master_Data!S34&lt;&gt;"",Master_Data!R35&lt;&gt;"",Master_Data!S35&lt;&gt;""),1,0.5))</f>
        <v/>
      </c>
      <c r="P34" s="19">
        <f>IF(G34="","",IF(N34="Conflicts","SW_CONFLICT",IF(OR(F34="GOC",F34="OWC",F34="GWC"),"DIRECT_FLUID_TRANSITION","TRANSITION_INTERVAL")))</f>
        <v/>
      </c>
      <c r="Q34" s="19">
        <f>IF(G34="","",IF(N34="Conflicts","Investigate contact interpretation / saturation behaviour",IF(OR(F34="OWC",F34="GOC",F34="GWC"),"Candidate contact — validate with logs, pressure and dynamic evidence","Transition zone — do not force to a sharp contact")))</f>
        <v/>
      </c>
    </row>
    <row r="35">
      <c r="A35" s="19">
        <f>IF(AND(Master_Data!A35&lt;&gt;"",Master_Data!A35=Master_Data!A36),Master_Data!A35,"")</f>
        <v/>
      </c>
      <c r="B35" s="19">
        <f>IF($A35="","",Master_Data!B35)</f>
        <v/>
      </c>
      <c r="C35" s="19">
        <f>IF($A35="","",Master_Data!B36)</f>
        <v/>
      </c>
      <c r="D35" s="19">
        <f>IF($A35="","",Master_Data!Q35)</f>
        <v/>
      </c>
      <c r="E35" s="19">
        <f>IF($A35="","",Master_Data!Q36)</f>
        <v/>
      </c>
      <c r="F35" s="19">
        <f>IF($A35="","",IF(AND(D35="GAS",E35="OIL"),"GOC",IF(AND(D35="OIL",E35="WATER"),"OWC",IF(AND(D35="GAS",E35="WATER"),"GWC",IF(AND(D35="OIL",E35="OIL_WATER"),"OWC_TRANSITION",IF(AND(D35="OIL_WATER",E35="WATER"),"OWC_TRANSITION",IF(AND(D35="GAS",E35="GAS_WATER"),"GOC_TRANSITION",IF(AND(D35="GAS_WATER",E35="OIL"),"GOC_TRANSITION",IF(OR(D35="OIL_WATER",D35="GAS_WATER"),"TRANSITION_INTERVAL","")))))))))</f>
        <v/>
      </c>
      <c r="G35" s="20">
        <f>IF(OR(F35="",Master_Data!R35="",Master_Data!S35=""),"",IF(RIGHT(F35,10)="TRANSITION",AVERAGE(Master_Data!R35:Master_Data!S35),AVERAGE(Master_Data!S35,Master_Data!R36)))</f>
        <v/>
      </c>
      <c r="H35" s="20">
        <f>IF(G35="","",MAX(Settings!$B$4,Settings!$B$5*AVERAGE(IF(Master_Data!O35&lt;&gt;"",Master_Data!O35,Master_Data!H35),IF(Master_Data!O36&lt;&gt;"",Master_Data!O36,Master_Data!H36))))</f>
        <v/>
      </c>
      <c r="I35" s="20">
        <f>IF(G35="","",G35-H35)</f>
        <v/>
      </c>
      <c r="J35" s="20">
        <f>IF(G35="","",G35+H35)</f>
        <v/>
      </c>
      <c r="K35" s="20">
        <f>IF($A35="","",Master_Data!G35)</f>
        <v/>
      </c>
      <c r="L35" s="20">
        <f>IF($A35="","",Master_Data!G36)</f>
        <v/>
      </c>
      <c r="M35" s="20">
        <f>IF(AND(ISNUMBER(K35),ISNUMBER(L35)),L35-K35,"")</f>
        <v/>
      </c>
      <c r="N35" s="19">
        <f>IF(G35="","",IF(AND(ISNUMBER(K35),ISNUMBER(L35)),IF(OR(F35="GOC",F35="OWC",F35="GWC",F35="OWC_TRANSITION",F35="GOC_TRANSITION"),IF(L35&gt;=K35,"Supports","Conflicts"),"N/A"),"No Sw"))</f>
        <v/>
      </c>
      <c r="O35" s="20">
        <f>IF(G35="","",Settings!$B$6*IF(OR(F35="GOC",F35="OWC",F35="GWC"),1,0.7)+Settings!$B$7*IF(N35="Supports",1,IF(N35="Conflicts",0,0.5))+Settings!$B$8*IF(AND(Master_Data!R35&lt;&gt;"",Master_Data!S35&lt;&gt;"",Master_Data!R36&lt;&gt;"",Master_Data!S36&lt;&gt;""),1,0.5))</f>
        <v/>
      </c>
      <c r="P35" s="19">
        <f>IF(G35="","",IF(N35="Conflicts","SW_CONFLICT",IF(OR(F35="GOC",F35="OWC",F35="GWC"),"DIRECT_FLUID_TRANSITION","TRANSITION_INTERVAL")))</f>
        <v/>
      </c>
      <c r="Q35" s="19">
        <f>IF(G35="","",IF(N35="Conflicts","Investigate contact interpretation / saturation behaviour",IF(OR(F35="OWC",F35="GOC",F35="GWC"),"Candidate contact — validate with logs, pressure and dynamic evidence","Transition zone — do not force to a sharp contact")))</f>
        <v/>
      </c>
    </row>
    <row r="36">
      <c r="A36" s="19">
        <f>IF(AND(Master_Data!A36&lt;&gt;"",Master_Data!A36=Master_Data!A37),Master_Data!A36,"")</f>
        <v/>
      </c>
      <c r="B36" s="19">
        <f>IF($A36="","",Master_Data!B36)</f>
        <v/>
      </c>
      <c r="C36" s="19">
        <f>IF($A36="","",Master_Data!B37)</f>
        <v/>
      </c>
      <c r="D36" s="19">
        <f>IF($A36="","",Master_Data!Q36)</f>
        <v/>
      </c>
      <c r="E36" s="19">
        <f>IF($A36="","",Master_Data!Q37)</f>
        <v/>
      </c>
      <c r="F36" s="19">
        <f>IF($A36="","",IF(AND(D36="GAS",E36="OIL"),"GOC",IF(AND(D36="OIL",E36="WATER"),"OWC",IF(AND(D36="GAS",E36="WATER"),"GWC",IF(AND(D36="OIL",E36="OIL_WATER"),"OWC_TRANSITION",IF(AND(D36="OIL_WATER",E36="WATER"),"OWC_TRANSITION",IF(AND(D36="GAS",E36="GAS_WATER"),"GOC_TRANSITION",IF(AND(D36="GAS_WATER",E36="OIL"),"GOC_TRANSITION",IF(OR(D36="OIL_WATER",D36="GAS_WATER"),"TRANSITION_INTERVAL","")))))))))</f>
        <v/>
      </c>
      <c r="G36" s="20">
        <f>IF(OR(F36="",Master_Data!R36="",Master_Data!S36=""),"",IF(RIGHT(F36,10)="TRANSITION",AVERAGE(Master_Data!R36:Master_Data!S36),AVERAGE(Master_Data!S36,Master_Data!R37)))</f>
        <v/>
      </c>
      <c r="H36" s="20">
        <f>IF(G36="","",MAX(Settings!$B$4,Settings!$B$5*AVERAGE(IF(Master_Data!O36&lt;&gt;"",Master_Data!O36,Master_Data!H36),IF(Master_Data!O37&lt;&gt;"",Master_Data!O37,Master_Data!H37))))</f>
        <v/>
      </c>
      <c r="I36" s="20">
        <f>IF(G36="","",G36-H36)</f>
        <v/>
      </c>
      <c r="J36" s="20">
        <f>IF(G36="","",G36+H36)</f>
        <v/>
      </c>
      <c r="K36" s="20">
        <f>IF($A36="","",Master_Data!G36)</f>
        <v/>
      </c>
      <c r="L36" s="20">
        <f>IF($A36="","",Master_Data!G37)</f>
        <v/>
      </c>
      <c r="M36" s="20">
        <f>IF(AND(ISNUMBER(K36),ISNUMBER(L36)),L36-K36,"")</f>
        <v/>
      </c>
      <c r="N36" s="19">
        <f>IF(G36="","",IF(AND(ISNUMBER(K36),ISNUMBER(L36)),IF(OR(F36="GOC",F36="OWC",F36="GWC",F36="OWC_TRANSITION",F36="GOC_TRANSITION"),IF(L36&gt;=K36,"Supports","Conflicts"),"N/A"),"No Sw"))</f>
        <v/>
      </c>
      <c r="O36" s="20">
        <f>IF(G36="","",Settings!$B$6*IF(OR(F36="GOC",F36="OWC",F36="GWC"),1,0.7)+Settings!$B$7*IF(N36="Supports",1,IF(N36="Conflicts",0,0.5))+Settings!$B$8*IF(AND(Master_Data!R36&lt;&gt;"",Master_Data!S36&lt;&gt;"",Master_Data!R37&lt;&gt;"",Master_Data!S37&lt;&gt;""),1,0.5))</f>
        <v/>
      </c>
      <c r="P36" s="19">
        <f>IF(G36="","",IF(N36="Conflicts","SW_CONFLICT",IF(OR(F36="GOC",F36="OWC",F36="GWC"),"DIRECT_FLUID_TRANSITION","TRANSITION_INTERVAL")))</f>
        <v/>
      </c>
      <c r="Q36" s="19">
        <f>IF(G36="","",IF(N36="Conflicts","Investigate contact interpretation / saturation behaviour",IF(OR(F36="OWC",F36="GOC",F36="GWC"),"Candidate contact — validate with logs, pressure and dynamic evidence","Transition zone — do not force to a sharp contact")))</f>
        <v/>
      </c>
    </row>
    <row r="37">
      <c r="A37" s="19">
        <f>IF(AND(Master_Data!A37&lt;&gt;"",Master_Data!A37=Master_Data!A38),Master_Data!A37,"")</f>
        <v/>
      </c>
      <c r="B37" s="19">
        <f>IF($A37="","",Master_Data!B37)</f>
        <v/>
      </c>
      <c r="C37" s="19">
        <f>IF($A37="","",Master_Data!B38)</f>
        <v/>
      </c>
      <c r="D37" s="19">
        <f>IF($A37="","",Master_Data!Q37)</f>
        <v/>
      </c>
      <c r="E37" s="19">
        <f>IF($A37="","",Master_Data!Q38)</f>
        <v/>
      </c>
      <c r="F37" s="19">
        <f>IF($A37="","",IF(AND(D37="GAS",E37="OIL"),"GOC",IF(AND(D37="OIL",E37="WATER"),"OWC",IF(AND(D37="GAS",E37="WATER"),"GWC",IF(AND(D37="OIL",E37="OIL_WATER"),"OWC_TRANSITION",IF(AND(D37="OIL_WATER",E37="WATER"),"OWC_TRANSITION",IF(AND(D37="GAS",E37="GAS_WATER"),"GOC_TRANSITION",IF(AND(D37="GAS_WATER",E37="OIL"),"GOC_TRANSITION",IF(OR(D37="OIL_WATER",D37="GAS_WATER"),"TRANSITION_INTERVAL","")))))))))</f>
        <v/>
      </c>
      <c r="G37" s="20">
        <f>IF(OR(F37="",Master_Data!R37="",Master_Data!S37=""),"",IF(RIGHT(F37,10)="TRANSITION",AVERAGE(Master_Data!R37:Master_Data!S37),AVERAGE(Master_Data!S37,Master_Data!R38)))</f>
        <v/>
      </c>
      <c r="H37" s="20">
        <f>IF(G37="","",MAX(Settings!$B$4,Settings!$B$5*AVERAGE(IF(Master_Data!O37&lt;&gt;"",Master_Data!O37,Master_Data!H37),IF(Master_Data!O38&lt;&gt;"",Master_Data!O38,Master_Data!H38))))</f>
        <v/>
      </c>
      <c r="I37" s="20">
        <f>IF(G37="","",G37-H37)</f>
        <v/>
      </c>
      <c r="J37" s="20">
        <f>IF(G37="","",G37+H37)</f>
        <v/>
      </c>
      <c r="K37" s="20">
        <f>IF($A37="","",Master_Data!G37)</f>
        <v/>
      </c>
      <c r="L37" s="20">
        <f>IF($A37="","",Master_Data!G38)</f>
        <v/>
      </c>
      <c r="M37" s="20">
        <f>IF(AND(ISNUMBER(K37),ISNUMBER(L37)),L37-K37,"")</f>
        <v/>
      </c>
      <c r="N37" s="19">
        <f>IF(G37="","",IF(AND(ISNUMBER(K37),ISNUMBER(L37)),IF(OR(F37="GOC",F37="OWC",F37="GWC",F37="OWC_TRANSITION",F37="GOC_TRANSITION"),IF(L37&gt;=K37,"Supports","Conflicts"),"N/A"),"No Sw"))</f>
        <v/>
      </c>
      <c r="O37" s="20">
        <f>IF(G37="","",Settings!$B$6*IF(OR(F37="GOC",F37="OWC",F37="GWC"),1,0.7)+Settings!$B$7*IF(N37="Supports",1,IF(N37="Conflicts",0,0.5))+Settings!$B$8*IF(AND(Master_Data!R37&lt;&gt;"",Master_Data!S37&lt;&gt;"",Master_Data!R38&lt;&gt;"",Master_Data!S38&lt;&gt;""),1,0.5))</f>
        <v/>
      </c>
      <c r="P37" s="19">
        <f>IF(G37="","",IF(N37="Conflicts","SW_CONFLICT",IF(OR(F37="GOC",F37="OWC",F37="GWC"),"DIRECT_FLUID_TRANSITION","TRANSITION_INTERVAL")))</f>
        <v/>
      </c>
      <c r="Q37" s="19">
        <f>IF(G37="","",IF(N37="Conflicts","Investigate contact interpretation / saturation behaviour",IF(OR(F37="OWC",F37="GOC",F37="GWC"),"Candidate contact — validate with logs, pressure and dynamic evidence","Transition zone — do not force to a sharp contact")))</f>
        <v/>
      </c>
    </row>
    <row r="38">
      <c r="A38" s="19">
        <f>IF(AND(Master_Data!A38&lt;&gt;"",Master_Data!A38=Master_Data!A39),Master_Data!A38,"")</f>
        <v/>
      </c>
      <c r="B38" s="19">
        <f>IF($A38="","",Master_Data!B38)</f>
        <v/>
      </c>
      <c r="C38" s="19">
        <f>IF($A38="","",Master_Data!B39)</f>
        <v/>
      </c>
      <c r="D38" s="19">
        <f>IF($A38="","",Master_Data!Q38)</f>
        <v/>
      </c>
      <c r="E38" s="19">
        <f>IF($A38="","",Master_Data!Q39)</f>
        <v/>
      </c>
      <c r="F38" s="19">
        <f>IF($A38="","",IF(AND(D38="GAS",E38="OIL"),"GOC",IF(AND(D38="OIL",E38="WATER"),"OWC",IF(AND(D38="GAS",E38="WATER"),"GWC",IF(AND(D38="OIL",E38="OIL_WATER"),"OWC_TRANSITION",IF(AND(D38="OIL_WATER",E38="WATER"),"OWC_TRANSITION",IF(AND(D38="GAS",E38="GAS_WATER"),"GOC_TRANSITION",IF(AND(D38="GAS_WATER",E38="OIL"),"GOC_TRANSITION",IF(OR(D38="OIL_WATER",D38="GAS_WATER"),"TRANSITION_INTERVAL","")))))))))</f>
        <v/>
      </c>
      <c r="G38" s="20">
        <f>IF(OR(F38="",Master_Data!R38="",Master_Data!S38=""),"",IF(RIGHT(F38,10)="TRANSITION",AVERAGE(Master_Data!R38:Master_Data!S38),AVERAGE(Master_Data!S38,Master_Data!R39)))</f>
        <v/>
      </c>
      <c r="H38" s="20">
        <f>IF(G38="","",MAX(Settings!$B$4,Settings!$B$5*AVERAGE(IF(Master_Data!O38&lt;&gt;"",Master_Data!O38,Master_Data!H38),IF(Master_Data!O39&lt;&gt;"",Master_Data!O39,Master_Data!H39))))</f>
        <v/>
      </c>
      <c r="I38" s="20">
        <f>IF(G38="","",G38-H38)</f>
        <v/>
      </c>
      <c r="J38" s="20">
        <f>IF(G38="","",G38+H38)</f>
        <v/>
      </c>
      <c r="K38" s="20">
        <f>IF($A38="","",Master_Data!G38)</f>
        <v/>
      </c>
      <c r="L38" s="20">
        <f>IF($A38="","",Master_Data!G39)</f>
        <v/>
      </c>
      <c r="M38" s="20">
        <f>IF(AND(ISNUMBER(K38),ISNUMBER(L38)),L38-K38,"")</f>
        <v/>
      </c>
      <c r="N38" s="19">
        <f>IF(G38="","",IF(AND(ISNUMBER(K38),ISNUMBER(L38)),IF(OR(F38="GOC",F38="OWC",F38="GWC",F38="OWC_TRANSITION",F38="GOC_TRANSITION"),IF(L38&gt;=K38,"Supports","Conflicts"),"N/A"),"No Sw"))</f>
        <v/>
      </c>
      <c r="O38" s="20">
        <f>IF(G38="","",Settings!$B$6*IF(OR(F38="GOC",F38="OWC",F38="GWC"),1,0.7)+Settings!$B$7*IF(N38="Supports",1,IF(N38="Conflicts",0,0.5))+Settings!$B$8*IF(AND(Master_Data!R38&lt;&gt;"",Master_Data!S38&lt;&gt;"",Master_Data!R39&lt;&gt;"",Master_Data!S39&lt;&gt;""),1,0.5))</f>
        <v/>
      </c>
      <c r="P38" s="19">
        <f>IF(G38="","",IF(N38="Conflicts","SW_CONFLICT",IF(OR(F38="GOC",F38="OWC",F38="GWC"),"DIRECT_FLUID_TRANSITION","TRANSITION_INTERVAL")))</f>
        <v/>
      </c>
      <c r="Q38" s="19">
        <f>IF(G38="","",IF(N38="Conflicts","Investigate contact interpretation / saturation behaviour",IF(OR(F38="OWC",F38="GOC",F38="GWC"),"Candidate contact — validate with logs, pressure and dynamic evidence","Transition zone — do not force to a sharp contact")))</f>
        <v/>
      </c>
    </row>
    <row r="39">
      <c r="A39" s="19">
        <f>IF(AND(Master_Data!A39&lt;&gt;"",Master_Data!A39=Master_Data!A40),Master_Data!A39,"")</f>
        <v/>
      </c>
      <c r="B39" s="19">
        <f>IF($A39="","",Master_Data!B39)</f>
        <v/>
      </c>
      <c r="C39" s="19">
        <f>IF($A39="","",Master_Data!B40)</f>
        <v/>
      </c>
      <c r="D39" s="19">
        <f>IF($A39="","",Master_Data!Q39)</f>
        <v/>
      </c>
      <c r="E39" s="19">
        <f>IF($A39="","",Master_Data!Q40)</f>
        <v/>
      </c>
      <c r="F39" s="19">
        <f>IF($A39="","",IF(AND(D39="GAS",E39="OIL"),"GOC",IF(AND(D39="OIL",E39="WATER"),"OWC",IF(AND(D39="GAS",E39="WATER"),"GWC",IF(AND(D39="OIL",E39="OIL_WATER"),"OWC_TRANSITION",IF(AND(D39="OIL_WATER",E39="WATER"),"OWC_TRANSITION",IF(AND(D39="GAS",E39="GAS_WATER"),"GOC_TRANSITION",IF(AND(D39="GAS_WATER",E39="OIL"),"GOC_TRANSITION",IF(OR(D39="OIL_WATER",D39="GAS_WATER"),"TRANSITION_INTERVAL","")))))))))</f>
        <v/>
      </c>
      <c r="G39" s="20">
        <f>IF(OR(F39="",Master_Data!R39="",Master_Data!S39=""),"",IF(RIGHT(F39,10)="TRANSITION",AVERAGE(Master_Data!R39:Master_Data!S39),AVERAGE(Master_Data!S39,Master_Data!R40)))</f>
        <v/>
      </c>
      <c r="H39" s="20">
        <f>IF(G39="","",MAX(Settings!$B$4,Settings!$B$5*AVERAGE(IF(Master_Data!O39&lt;&gt;"",Master_Data!O39,Master_Data!H39),IF(Master_Data!O40&lt;&gt;"",Master_Data!O40,Master_Data!H40))))</f>
        <v/>
      </c>
      <c r="I39" s="20">
        <f>IF(G39="","",G39-H39)</f>
        <v/>
      </c>
      <c r="J39" s="20">
        <f>IF(G39="","",G39+H39)</f>
        <v/>
      </c>
      <c r="K39" s="20">
        <f>IF($A39="","",Master_Data!G39)</f>
        <v/>
      </c>
      <c r="L39" s="20">
        <f>IF($A39="","",Master_Data!G40)</f>
        <v/>
      </c>
      <c r="M39" s="20">
        <f>IF(AND(ISNUMBER(K39),ISNUMBER(L39)),L39-K39,"")</f>
        <v/>
      </c>
      <c r="N39" s="19">
        <f>IF(G39="","",IF(AND(ISNUMBER(K39),ISNUMBER(L39)),IF(OR(F39="GOC",F39="OWC",F39="GWC",F39="OWC_TRANSITION",F39="GOC_TRANSITION"),IF(L39&gt;=K39,"Supports","Conflicts"),"N/A"),"No Sw"))</f>
        <v/>
      </c>
      <c r="O39" s="20">
        <f>IF(G39="","",Settings!$B$6*IF(OR(F39="GOC",F39="OWC",F39="GWC"),1,0.7)+Settings!$B$7*IF(N39="Supports",1,IF(N39="Conflicts",0,0.5))+Settings!$B$8*IF(AND(Master_Data!R39&lt;&gt;"",Master_Data!S39&lt;&gt;"",Master_Data!R40&lt;&gt;"",Master_Data!S40&lt;&gt;""),1,0.5))</f>
        <v/>
      </c>
      <c r="P39" s="19">
        <f>IF(G39="","",IF(N39="Conflicts","SW_CONFLICT",IF(OR(F39="GOC",F39="OWC",F39="GWC"),"DIRECT_FLUID_TRANSITION","TRANSITION_INTERVAL")))</f>
        <v/>
      </c>
      <c r="Q39" s="19">
        <f>IF(G39="","",IF(N39="Conflicts","Investigate contact interpretation / saturation behaviour",IF(OR(F39="OWC",F39="GOC",F39="GWC"),"Candidate contact — validate with logs, pressure and dynamic evidence","Transition zone — do not force to a sharp contact")))</f>
        <v/>
      </c>
    </row>
    <row r="40">
      <c r="A40" s="19">
        <f>IF(AND(Master_Data!A40&lt;&gt;"",Master_Data!A40=Master_Data!A41),Master_Data!A40,"")</f>
        <v/>
      </c>
      <c r="B40" s="19">
        <f>IF($A40="","",Master_Data!B40)</f>
        <v/>
      </c>
      <c r="C40" s="19">
        <f>IF($A40="","",Master_Data!B41)</f>
        <v/>
      </c>
      <c r="D40" s="19">
        <f>IF($A40="","",Master_Data!Q40)</f>
        <v/>
      </c>
      <c r="E40" s="19">
        <f>IF($A40="","",Master_Data!Q41)</f>
        <v/>
      </c>
      <c r="F40" s="19">
        <f>IF($A40="","",IF(AND(D40="GAS",E40="OIL"),"GOC",IF(AND(D40="OIL",E40="WATER"),"OWC",IF(AND(D40="GAS",E40="WATER"),"GWC",IF(AND(D40="OIL",E40="OIL_WATER"),"OWC_TRANSITION",IF(AND(D40="OIL_WATER",E40="WATER"),"OWC_TRANSITION",IF(AND(D40="GAS",E40="GAS_WATER"),"GOC_TRANSITION",IF(AND(D40="GAS_WATER",E40="OIL"),"GOC_TRANSITION",IF(OR(D40="OIL_WATER",D40="GAS_WATER"),"TRANSITION_INTERVAL","")))))))))</f>
        <v/>
      </c>
      <c r="G40" s="20">
        <f>IF(OR(F40="",Master_Data!R40="",Master_Data!S40=""),"",IF(RIGHT(F40,10)="TRANSITION",AVERAGE(Master_Data!R40:Master_Data!S40),AVERAGE(Master_Data!S40,Master_Data!R41)))</f>
        <v/>
      </c>
      <c r="H40" s="20">
        <f>IF(G40="","",MAX(Settings!$B$4,Settings!$B$5*AVERAGE(IF(Master_Data!O40&lt;&gt;"",Master_Data!O40,Master_Data!H40),IF(Master_Data!O41&lt;&gt;"",Master_Data!O41,Master_Data!H41))))</f>
        <v/>
      </c>
      <c r="I40" s="20">
        <f>IF(G40="","",G40-H40)</f>
        <v/>
      </c>
      <c r="J40" s="20">
        <f>IF(G40="","",G40+H40)</f>
        <v/>
      </c>
      <c r="K40" s="20">
        <f>IF($A40="","",Master_Data!G40)</f>
        <v/>
      </c>
      <c r="L40" s="20">
        <f>IF($A40="","",Master_Data!G41)</f>
        <v/>
      </c>
      <c r="M40" s="20">
        <f>IF(AND(ISNUMBER(K40),ISNUMBER(L40)),L40-K40,"")</f>
        <v/>
      </c>
      <c r="N40" s="19">
        <f>IF(G40="","",IF(AND(ISNUMBER(K40),ISNUMBER(L40)),IF(OR(F40="GOC",F40="OWC",F40="GWC",F40="OWC_TRANSITION",F40="GOC_TRANSITION"),IF(L40&gt;=K40,"Supports","Conflicts"),"N/A"),"No Sw"))</f>
        <v/>
      </c>
      <c r="O40" s="20">
        <f>IF(G40="","",Settings!$B$6*IF(OR(F40="GOC",F40="OWC",F40="GWC"),1,0.7)+Settings!$B$7*IF(N40="Supports",1,IF(N40="Conflicts",0,0.5))+Settings!$B$8*IF(AND(Master_Data!R40&lt;&gt;"",Master_Data!S40&lt;&gt;"",Master_Data!R41&lt;&gt;"",Master_Data!S41&lt;&gt;""),1,0.5))</f>
        <v/>
      </c>
      <c r="P40" s="19">
        <f>IF(G40="","",IF(N40="Conflicts","SW_CONFLICT",IF(OR(F40="GOC",F40="OWC",F40="GWC"),"DIRECT_FLUID_TRANSITION","TRANSITION_INTERVAL")))</f>
        <v/>
      </c>
      <c r="Q40" s="19">
        <f>IF(G40="","",IF(N40="Conflicts","Investigate contact interpretation / saturation behaviour",IF(OR(F40="OWC",F40="GOC",F40="GWC"),"Candidate contact — validate with logs, pressure and dynamic evidence","Transition zone — do not force to a sharp contact")))</f>
        <v/>
      </c>
    </row>
    <row r="41">
      <c r="A41" s="19">
        <f>IF(AND(Master_Data!A41&lt;&gt;"",Master_Data!A41=Master_Data!A42),Master_Data!A41,"")</f>
        <v/>
      </c>
      <c r="B41" s="19">
        <f>IF($A41="","",Master_Data!B41)</f>
        <v/>
      </c>
      <c r="C41" s="19">
        <f>IF($A41="","",Master_Data!B42)</f>
        <v/>
      </c>
      <c r="D41" s="19">
        <f>IF($A41="","",Master_Data!Q41)</f>
        <v/>
      </c>
      <c r="E41" s="19">
        <f>IF($A41="","",Master_Data!Q42)</f>
        <v/>
      </c>
      <c r="F41" s="19">
        <f>IF($A41="","",IF(AND(D41="GAS",E41="OIL"),"GOC",IF(AND(D41="OIL",E41="WATER"),"OWC",IF(AND(D41="GAS",E41="WATER"),"GWC",IF(AND(D41="OIL",E41="OIL_WATER"),"OWC_TRANSITION",IF(AND(D41="OIL_WATER",E41="WATER"),"OWC_TRANSITION",IF(AND(D41="GAS",E41="GAS_WATER"),"GOC_TRANSITION",IF(AND(D41="GAS_WATER",E41="OIL"),"GOC_TRANSITION",IF(OR(D41="OIL_WATER",D41="GAS_WATER"),"TRANSITION_INTERVAL","")))))))))</f>
        <v/>
      </c>
      <c r="G41" s="20">
        <f>IF(OR(F41="",Master_Data!R41="",Master_Data!S41=""),"",IF(RIGHT(F41,10)="TRANSITION",AVERAGE(Master_Data!R41:Master_Data!S41),AVERAGE(Master_Data!S41,Master_Data!R42)))</f>
        <v/>
      </c>
      <c r="H41" s="20">
        <f>IF(G41="","",MAX(Settings!$B$4,Settings!$B$5*AVERAGE(IF(Master_Data!O41&lt;&gt;"",Master_Data!O41,Master_Data!H41),IF(Master_Data!O42&lt;&gt;"",Master_Data!O42,Master_Data!H42))))</f>
        <v/>
      </c>
      <c r="I41" s="20">
        <f>IF(G41="","",G41-H41)</f>
        <v/>
      </c>
      <c r="J41" s="20">
        <f>IF(G41="","",G41+H41)</f>
        <v/>
      </c>
      <c r="K41" s="20">
        <f>IF($A41="","",Master_Data!G41)</f>
        <v/>
      </c>
      <c r="L41" s="20">
        <f>IF($A41="","",Master_Data!G42)</f>
        <v/>
      </c>
      <c r="M41" s="20">
        <f>IF(AND(ISNUMBER(K41),ISNUMBER(L41)),L41-K41,"")</f>
        <v/>
      </c>
      <c r="N41" s="19">
        <f>IF(G41="","",IF(AND(ISNUMBER(K41),ISNUMBER(L41)),IF(OR(F41="GOC",F41="OWC",F41="GWC",F41="OWC_TRANSITION",F41="GOC_TRANSITION"),IF(L41&gt;=K41,"Supports","Conflicts"),"N/A"),"No Sw"))</f>
        <v/>
      </c>
      <c r="O41" s="20">
        <f>IF(G41="","",Settings!$B$6*IF(OR(F41="GOC",F41="OWC",F41="GWC"),1,0.7)+Settings!$B$7*IF(N41="Supports",1,IF(N41="Conflicts",0,0.5))+Settings!$B$8*IF(AND(Master_Data!R41&lt;&gt;"",Master_Data!S41&lt;&gt;"",Master_Data!R42&lt;&gt;"",Master_Data!S42&lt;&gt;""),1,0.5))</f>
        <v/>
      </c>
      <c r="P41" s="19">
        <f>IF(G41="","",IF(N41="Conflicts","SW_CONFLICT",IF(OR(F41="GOC",F41="OWC",F41="GWC"),"DIRECT_FLUID_TRANSITION","TRANSITION_INTERVAL")))</f>
        <v/>
      </c>
      <c r="Q41" s="19">
        <f>IF(G41="","",IF(N41="Conflicts","Investigate contact interpretation / saturation behaviour",IF(OR(F41="OWC",F41="GOC",F41="GWC"),"Candidate contact — validate with logs, pressure and dynamic evidence","Transition zone — do not force to a sharp contact")))</f>
        <v/>
      </c>
    </row>
    <row r="42">
      <c r="A42" s="19">
        <f>IF(AND(Master_Data!A42&lt;&gt;"",Master_Data!A42=Master_Data!A43),Master_Data!A42,"")</f>
        <v/>
      </c>
      <c r="B42" s="19">
        <f>IF($A42="","",Master_Data!B42)</f>
        <v/>
      </c>
      <c r="C42" s="19">
        <f>IF($A42="","",Master_Data!B43)</f>
        <v/>
      </c>
      <c r="D42" s="19">
        <f>IF($A42="","",Master_Data!Q42)</f>
        <v/>
      </c>
      <c r="E42" s="19">
        <f>IF($A42="","",Master_Data!Q43)</f>
        <v/>
      </c>
      <c r="F42" s="19">
        <f>IF($A42="","",IF(AND(D42="GAS",E42="OIL"),"GOC",IF(AND(D42="OIL",E42="WATER"),"OWC",IF(AND(D42="GAS",E42="WATER"),"GWC",IF(AND(D42="OIL",E42="OIL_WATER"),"OWC_TRANSITION",IF(AND(D42="OIL_WATER",E42="WATER"),"OWC_TRANSITION",IF(AND(D42="GAS",E42="GAS_WATER"),"GOC_TRANSITION",IF(AND(D42="GAS_WATER",E42="OIL"),"GOC_TRANSITION",IF(OR(D42="OIL_WATER",D42="GAS_WATER"),"TRANSITION_INTERVAL","")))))))))</f>
        <v/>
      </c>
      <c r="G42" s="20">
        <f>IF(OR(F42="",Master_Data!R42="",Master_Data!S42=""),"",IF(RIGHT(F42,10)="TRANSITION",AVERAGE(Master_Data!R42:Master_Data!S42),AVERAGE(Master_Data!S42,Master_Data!R43)))</f>
        <v/>
      </c>
      <c r="H42" s="20">
        <f>IF(G42="","",MAX(Settings!$B$4,Settings!$B$5*AVERAGE(IF(Master_Data!O42&lt;&gt;"",Master_Data!O42,Master_Data!H42),IF(Master_Data!O43&lt;&gt;"",Master_Data!O43,Master_Data!H43))))</f>
        <v/>
      </c>
      <c r="I42" s="20">
        <f>IF(G42="","",G42-H42)</f>
        <v/>
      </c>
      <c r="J42" s="20">
        <f>IF(G42="","",G42+H42)</f>
        <v/>
      </c>
      <c r="K42" s="20">
        <f>IF($A42="","",Master_Data!G42)</f>
        <v/>
      </c>
      <c r="L42" s="20">
        <f>IF($A42="","",Master_Data!G43)</f>
        <v/>
      </c>
      <c r="M42" s="20">
        <f>IF(AND(ISNUMBER(K42),ISNUMBER(L42)),L42-K42,"")</f>
        <v/>
      </c>
      <c r="N42" s="19">
        <f>IF(G42="","",IF(AND(ISNUMBER(K42),ISNUMBER(L42)),IF(OR(F42="GOC",F42="OWC",F42="GWC",F42="OWC_TRANSITION",F42="GOC_TRANSITION"),IF(L42&gt;=K42,"Supports","Conflicts"),"N/A"),"No Sw"))</f>
        <v/>
      </c>
      <c r="O42" s="20">
        <f>IF(G42="","",Settings!$B$6*IF(OR(F42="GOC",F42="OWC",F42="GWC"),1,0.7)+Settings!$B$7*IF(N42="Supports",1,IF(N42="Conflicts",0,0.5))+Settings!$B$8*IF(AND(Master_Data!R42&lt;&gt;"",Master_Data!S42&lt;&gt;"",Master_Data!R43&lt;&gt;"",Master_Data!S43&lt;&gt;""),1,0.5))</f>
        <v/>
      </c>
      <c r="P42" s="19">
        <f>IF(G42="","",IF(N42="Conflicts","SW_CONFLICT",IF(OR(F42="GOC",F42="OWC",F42="GWC"),"DIRECT_FLUID_TRANSITION","TRANSITION_INTERVAL")))</f>
        <v/>
      </c>
      <c r="Q42" s="19">
        <f>IF(G42="","",IF(N42="Conflicts","Investigate contact interpretation / saturation behaviour",IF(OR(F42="OWC",F42="GOC",F42="GWC"),"Candidate contact — validate with logs, pressure and dynamic evidence","Transition zone — do not force to a sharp contact")))</f>
        <v/>
      </c>
    </row>
    <row r="43">
      <c r="A43" s="19">
        <f>IF(AND(Master_Data!A43&lt;&gt;"",Master_Data!A43=Master_Data!A44),Master_Data!A43,"")</f>
        <v/>
      </c>
      <c r="B43" s="19">
        <f>IF($A43="","",Master_Data!B43)</f>
        <v/>
      </c>
      <c r="C43" s="19">
        <f>IF($A43="","",Master_Data!B44)</f>
        <v/>
      </c>
      <c r="D43" s="19">
        <f>IF($A43="","",Master_Data!Q43)</f>
        <v/>
      </c>
      <c r="E43" s="19">
        <f>IF($A43="","",Master_Data!Q44)</f>
        <v/>
      </c>
      <c r="F43" s="19">
        <f>IF($A43="","",IF(AND(D43="GAS",E43="OIL"),"GOC",IF(AND(D43="OIL",E43="WATER"),"OWC",IF(AND(D43="GAS",E43="WATER"),"GWC",IF(AND(D43="OIL",E43="OIL_WATER"),"OWC_TRANSITION",IF(AND(D43="OIL_WATER",E43="WATER"),"OWC_TRANSITION",IF(AND(D43="GAS",E43="GAS_WATER"),"GOC_TRANSITION",IF(AND(D43="GAS_WATER",E43="OIL"),"GOC_TRANSITION",IF(OR(D43="OIL_WATER",D43="GAS_WATER"),"TRANSITION_INTERVAL","")))))))))</f>
        <v/>
      </c>
      <c r="G43" s="20">
        <f>IF(OR(F43="",Master_Data!R43="",Master_Data!S43=""),"",IF(RIGHT(F43,10)="TRANSITION",AVERAGE(Master_Data!R43:Master_Data!S43),AVERAGE(Master_Data!S43,Master_Data!R44)))</f>
        <v/>
      </c>
      <c r="H43" s="20">
        <f>IF(G43="","",MAX(Settings!$B$4,Settings!$B$5*AVERAGE(IF(Master_Data!O43&lt;&gt;"",Master_Data!O43,Master_Data!H43),IF(Master_Data!O44&lt;&gt;"",Master_Data!O44,Master_Data!H44))))</f>
        <v/>
      </c>
      <c r="I43" s="20">
        <f>IF(G43="","",G43-H43)</f>
        <v/>
      </c>
      <c r="J43" s="20">
        <f>IF(G43="","",G43+H43)</f>
        <v/>
      </c>
      <c r="K43" s="20">
        <f>IF($A43="","",Master_Data!G43)</f>
        <v/>
      </c>
      <c r="L43" s="20">
        <f>IF($A43="","",Master_Data!G44)</f>
        <v/>
      </c>
      <c r="M43" s="20">
        <f>IF(AND(ISNUMBER(K43),ISNUMBER(L43)),L43-K43,"")</f>
        <v/>
      </c>
      <c r="N43" s="19">
        <f>IF(G43="","",IF(AND(ISNUMBER(K43),ISNUMBER(L43)),IF(OR(F43="GOC",F43="OWC",F43="GWC",F43="OWC_TRANSITION",F43="GOC_TRANSITION"),IF(L43&gt;=K43,"Supports","Conflicts"),"N/A"),"No Sw"))</f>
        <v/>
      </c>
      <c r="O43" s="20">
        <f>IF(G43="","",Settings!$B$6*IF(OR(F43="GOC",F43="OWC",F43="GWC"),1,0.7)+Settings!$B$7*IF(N43="Supports",1,IF(N43="Conflicts",0,0.5))+Settings!$B$8*IF(AND(Master_Data!R43&lt;&gt;"",Master_Data!S43&lt;&gt;"",Master_Data!R44&lt;&gt;"",Master_Data!S44&lt;&gt;""),1,0.5))</f>
        <v/>
      </c>
      <c r="P43" s="19">
        <f>IF(G43="","",IF(N43="Conflicts","SW_CONFLICT",IF(OR(F43="GOC",F43="OWC",F43="GWC"),"DIRECT_FLUID_TRANSITION","TRANSITION_INTERVAL")))</f>
        <v/>
      </c>
      <c r="Q43" s="19">
        <f>IF(G43="","",IF(N43="Conflicts","Investigate contact interpretation / saturation behaviour",IF(OR(F43="OWC",F43="GOC",F43="GWC"),"Candidate contact — validate with logs, pressure and dynamic evidence","Transition zone — do not force to a sharp contact")))</f>
        <v/>
      </c>
    </row>
    <row r="44">
      <c r="A44" s="19">
        <f>IF(AND(Master_Data!A44&lt;&gt;"",Master_Data!A44=Master_Data!A45),Master_Data!A44,"")</f>
        <v/>
      </c>
      <c r="B44" s="19">
        <f>IF($A44="","",Master_Data!B44)</f>
        <v/>
      </c>
      <c r="C44" s="19">
        <f>IF($A44="","",Master_Data!B45)</f>
        <v/>
      </c>
      <c r="D44" s="19">
        <f>IF($A44="","",Master_Data!Q44)</f>
        <v/>
      </c>
      <c r="E44" s="19">
        <f>IF($A44="","",Master_Data!Q45)</f>
        <v/>
      </c>
      <c r="F44" s="19">
        <f>IF($A44="","",IF(AND(D44="GAS",E44="OIL"),"GOC",IF(AND(D44="OIL",E44="WATER"),"OWC",IF(AND(D44="GAS",E44="WATER"),"GWC",IF(AND(D44="OIL",E44="OIL_WATER"),"OWC_TRANSITION",IF(AND(D44="OIL_WATER",E44="WATER"),"OWC_TRANSITION",IF(AND(D44="GAS",E44="GAS_WATER"),"GOC_TRANSITION",IF(AND(D44="GAS_WATER",E44="OIL"),"GOC_TRANSITION",IF(OR(D44="OIL_WATER",D44="GAS_WATER"),"TRANSITION_INTERVAL","")))))))))</f>
        <v/>
      </c>
      <c r="G44" s="20">
        <f>IF(OR(F44="",Master_Data!R44="",Master_Data!S44=""),"",IF(RIGHT(F44,10)="TRANSITION",AVERAGE(Master_Data!R44:Master_Data!S44),AVERAGE(Master_Data!S44,Master_Data!R45)))</f>
        <v/>
      </c>
      <c r="H44" s="20">
        <f>IF(G44="","",MAX(Settings!$B$4,Settings!$B$5*AVERAGE(IF(Master_Data!O44&lt;&gt;"",Master_Data!O44,Master_Data!H44),IF(Master_Data!O45&lt;&gt;"",Master_Data!O45,Master_Data!H45))))</f>
        <v/>
      </c>
      <c r="I44" s="20">
        <f>IF(G44="","",G44-H44)</f>
        <v/>
      </c>
      <c r="J44" s="20">
        <f>IF(G44="","",G44+H44)</f>
        <v/>
      </c>
      <c r="K44" s="20">
        <f>IF($A44="","",Master_Data!G44)</f>
        <v/>
      </c>
      <c r="L44" s="20">
        <f>IF($A44="","",Master_Data!G45)</f>
        <v/>
      </c>
      <c r="M44" s="20">
        <f>IF(AND(ISNUMBER(K44),ISNUMBER(L44)),L44-K44,"")</f>
        <v/>
      </c>
      <c r="N44" s="19">
        <f>IF(G44="","",IF(AND(ISNUMBER(K44),ISNUMBER(L44)),IF(OR(F44="GOC",F44="OWC",F44="GWC",F44="OWC_TRANSITION",F44="GOC_TRANSITION"),IF(L44&gt;=K44,"Supports","Conflicts"),"N/A"),"No Sw"))</f>
        <v/>
      </c>
      <c r="O44" s="20">
        <f>IF(G44="","",Settings!$B$6*IF(OR(F44="GOC",F44="OWC",F44="GWC"),1,0.7)+Settings!$B$7*IF(N44="Supports",1,IF(N44="Conflicts",0,0.5))+Settings!$B$8*IF(AND(Master_Data!R44&lt;&gt;"",Master_Data!S44&lt;&gt;"",Master_Data!R45&lt;&gt;"",Master_Data!S45&lt;&gt;""),1,0.5))</f>
        <v/>
      </c>
      <c r="P44" s="19">
        <f>IF(G44="","",IF(N44="Conflicts","SW_CONFLICT",IF(OR(F44="GOC",F44="OWC",F44="GWC"),"DIRECT_FLUID_TRANSITION","TRANSITION_INTERVAL")))</f>
        <v/>
      </c>
      <c r="Q44" s="19">
        <f>IF(G44="","",IF(N44="Conflicts","Investigate contact interpretation / saturation behaviour",IF(OR(F44="OWC",F44="GOC",F44="GWC"),"Candidate contact — validate with logs, pressure and dynamic evidence","Transition zone — do not force to a sharp contact")))</f>
        <v/>
      </c>
    </row>
    <row r="45">
      <c r="A45" s="19">
        <f>IF(AND(Master_Data!A45&lt;&gt;"",Master_Data!A45=Master_Data!A46),Master_Data!A45,"")</f>
        <v/>
      </c>
      <c r="B45" s="19">
        <f>IF($A45="","",Master_Data!B45)</f>
        <v/>
      </c>
      <c r="C45" s="19">
        <f>IF($A45="","",Master_Data!B46)</f>
        <v/>
      </c>
      <c r="D45" s="19">
        <f>IF($A45="","",Master_Data!Q45)</f>
        <v/>
      </c>
      <c r="E45" s="19">
        <f>IF($A45="","",Master_Data!Q46)</f>
        <v/>
      </c>
      <c r="F45" s="19">
        <f>IF($A45="","",IF(AND(D45="GAS",E45="OIL"),"GOC",IF(AND(D45="OIL",E45="WATER"),"OWC",IF(AND(D45="GAS",E45="WATER"),"GWC",IF(AND(D45="OIL",E45="OIL_WATER"),"OWC_TRANSITION",IF(AND(D45="OIL_WATER",E45="WATER"),"OWC_TRANSITION",IF(AND(D45="GAS",E45="GAS_WATER"),"GOC_TRANSITION",IF(AND(D45="GAS_WATER",E45="OIL"),"GOC_TRANSITION",IF(OR(D45="OIL_WATER",D45="GAS_WATER"),"TRANSITION_INTERVAL","")))))))))</f>
        <v/>
      </c>
      <c r="G45" s="20">
        <f>IF(OR(F45="",Master_Data!R45="",Master_Data!S45=""),"",IF(RIGHT(F45,10)="TRANSITION",AVERAGE(Master_Data!R45:Master_Data!S45),AVERAGE(Master_Data!S45,Master_Data!R46)))</f>
        <v/>
      </c>
      <c r="H45" s="20">
        <f>IF(G45="","",MAX(Settings!$B$4,Settings!$B$5*AVERAGE(IF(Master_Data!O45&lt;&gt;"",Master_Data!O45,Master_Data!H45),IF(Master_Data!O46&lt;&gt;"",Master_Data!O46,Master_Data!H46))))</f>
        <v/>
      </c>
      <c r="I45" s="20">
        <f>IF(G45="","",G45-H45)</f>
        <v/>
      </c>
      <c r="J45" s="20">
        <f>IF(G45="","",G45+H45)</f>
        <v/>
      </c>
      <c r="K45" s="20">
        <f>IF($A45="","",Master_Data!G45)</f>
        <v/>
      </c>
      <c r="L45" s="20">
        <f>IF($A45="","",Master_Data!G46)</f>
        <v/>
      </c>
      <c r="M45" s="20">
        <f>IF(AND(ISNUMBER(K45),ISNUMBER(L45)),L45-K45,"")</f>
        <v/>
      </c>
      <c r="N45" s="19">
        <f>IF(G45="","",IF(AND(ISNUMBER(K45),ISNUMBER(L45)),IF(OR(F45="GOC",F45="OWC",F45="GWC",F45="OWC_TRANSITION",F45="GOC_TRANSITION"),IF(L45&gt;=K45,"Supports","Conflicts"),"N/A"),"No Sw"))</f>
        <v/>
      </c>
      <c r="O45" s="20">
        <f>IF(G45="","",Settings!$B$6*IF(OR(F45="GOC",F45="OWC",F45="GWC"),1,0.7)+Settings!$B$7*IF(N45="Supports",1,IF(N45="Conflicts",0,0.5))+Settings!$B$8*IF(AND(Master_Data!R45&lt;&gt;"",Master_Data!S45&lt;&gt;"",Master_Data!R46&lt;&gt;"",Master_Data!S46&lt;&gt;""),1,0.5))</f>
        <v/>
      </c>
      <c r="P45" s="19">
        <f>IF(G45="","",IF(N45="Conflicts","SW_CONFLICT",IF(OR(F45="GOC",F45="OWC",F45="GWC"),"DIRECT_FLUID_TRANSITION","TRANSITION_INTERVAL")))</f>
        <v/>
      </c>
      <c r="Q45" s="19">
        <f>IF(G45="","",IF(N45="Conflicts","Investigate contact interpretation / saturation behaviour",IF(OR(F45="OWC",F45="GOC",F45="GWC"),"Candidate contact — validate with logs, pressure and dynamic evidence","Transition zone — do not force to a sharp contact")))</f>
        <v/>
      </c>
    </row>
    <row r="46">
      <c r="A46" s="19">
        <f>IF(AND(Master_Data!A46&lt;&gt;"",Master_Data!A46=Master_Data!A47),Master_Data!A46,"")</f>
        <v/>
      </c>
      <c r="B46" s="19">
        <f>IF($A46="","",Master_Data!B46)</f>
        <v/>
      </c>
      <c r="C46" s="19">
        <f>IF($A46="","",Master_Data!B47)</f>
        <v/>
      </c>
      <c r="D46" s="19">
        <f>IF($A46="","",Master_Data!Q46)</f>
        <v/>
      </c>
      <c r="E46" s="19">
        <f>IF($A46="","",Master_Data!Q47)</f>
        <v/>
      </c>
      <c r="F46" s="19">
        <f>IF($A46="","",IF(AND(D46="GAS",E46="OIL"),"GOC",IF(AND(D46="OIL",E46="WATER"),"OWC",IF(AND(D46="GAS",E46="WATER"),"GWC",IF(AND(D46="OIL",E46="OIL_WATER"),"OWC_TRANSITION",IF(AND(D46="OIL_WATER",E46="WATER"),"OWC_TRANSITION",IF(AND(D46="GAS",E46="GAS_WATER"),"GOC_TRANSITION",IF(AND(D46="GAS_WATER",E46="OIL"),"GOC_TRANSITION",IF(OR(D46="OIL_WATER",D46="GAS_WATER"),"TRANSITION_INTERVAL","")))))))))</f>
        <v/>
      </c>
      <c r="G46" s="20">
        <f>IF(OR(F46="",Master_Data!R46="",Master_Data!S46=""),"",IF(RIGHT(F46,10)="TRANSITION",AVERAGE(Master_Data!R46:Master_Data!S46),AVERAGE(Master_Data!S46,Master_Data!R47)))</f>
        <v/>
      </c>
      <c r="H46" s="20">
        <f>IF(G46="","",MAX(Settings!$B$4,Settings!$B$5*AVERAGE(IF(Master_Data!O46&lt;&gt;"",Master_Data!O46,Master_Data!H46),IF(Master_Data!O47&lt;&gt;"",Master_Data!O47,Master_Data!H47))))</f>
        <v/>
      </c>
      <c r="I46" s="20">
        <f>IF(G46="","",G46-H46)</f>
        <v/>
      </c>
      <c r="J46" s="20">
        <f>IF(G46="","",G46+H46)</f>
        <v/>
      </c>
      <c r="K46" s="20">
        <f>IF($A46="","",Master_Data!G46)</f>
        <v/>
      </c>
      <c r="L46" s="20">
        <f>IF($A46="","",Master_Data!G47)</f>
        <v/>
      </c>
      <c r="M46" s="20">
        <f>IF(AND(ISNUMBER(K46),ISNUMBER(L46)),L46-K46,"")</f>
        <v/>
      </c>
      <c r="N46" s="19">
        <f>IF(G46="","",IF(AND(ISNUMBER(K46),ISNUMBER(L46)),IF(OR(F46="GOC",F46="OWC",F46="GWC",F46="OWC_TRANSITION",F46="GOC_TRANSITION"),IF(L46&gt;=K46,"Supports","Conflicts"),"N/A"),"No Sw"))</f>
        <v/>
      </c>
      <c r="O46" s="20">
        <f>IF(G46="","",Settings!$B$6*IF(OR(F46="GOC",F46="OWC",F46="GWC"),1,0.7)+Settings!$B$7*IF(N46="Supports",1,IF(N46="Conflicts",0,0.5))+Settings!$B$8*IF(AND(Master_Data!R46&lt;&gt;"",Master_Data!S46&lt;&gt;"",Master_Data!R47&lt;&gt;"",Master_Data!S47&lt;&gt;""),1,0.5))</f>
        <v/>
      </c>
      <c r="P46" s="19">
        <f>IF(G46="","",IF(N46="Conflicts","SW_CONFLICT",IF(OR(F46="GOC",F46="OWC",F46="GWC"),"DIRECT_FLUID_TRANSITION","TRANSITION_INTERVAL")))</f>
        <v/>
      </c>
      <c r="Q46" s="19">
        <f>IF(G46="","",IF(N46="Conflicts","Investigate contact interpretation / saturation behaviour",IF(OR(F46="OWC",F46="GOC",F46="GWC"),"Candidate contact — validate with logs, pressure and dynamic evidence","Transition zone — do not force to a sharp contact")))</f>
        <v/>
      </c>
    </row>
    <row r="47">
      <c r="A47" s="19">
        <f>IF(AND(Master_Data!A47&lt;&gt;"",Master_Data!A47=Master_Data!A48),Master_Data!A47,"")</f>
        <v/>
      </c>
      <c r="B47" s="19">
        <f>IF($A47="","",Master_Data!B47)</f>
        <v/>
      </c>
      <c r="C47" s="19">
        <f>IF($A47="","",Master_Data!B48)</f>
        <v/>
      </c>
      <c r="D47" s="19">
        <f>IF($A47="","",Master_Data!Q47)</f>
        <v/>
      </c>
      <c r="E47" s="19">
        <f>IF($A47="","",Master_Data!Q48)</f>
        <v/>
      </c>
      <c r="F47" s="19">
        <f>IF($A47="","",IF(AND(D47="GAS",E47="OIL"),"GOC",IF(AND(D47="OIL",E47="WATER"),"OWC",IF(AND(D47="GAS",E47="WATER"),"GWC",IF(AND(D47="OIL",E47="OIL_WATER"),"OWC_TRANSITION",IF(AND(D47="OIL_WATER",E47="WATER"),"OWC_TRANSITION",IF(AND(D47="GAS",E47="GAS_WATER"),"GOC_TRANSITION",IF(AND(D47="GAS_WATER",E47="OIL"),"GOC_TRANSITION",IF(OR(D47="OIL_WATER",D47="GAS_WATER"),"TRANSITION_INTERVAL","")))))))))</f>
        <v/>
      </c>
      <c r="G47" s="20">
        <f>IF(OR(F47="",Master_Data!R47="",Master_Data!S47=""),"",IF(RIGHT(F47,10)="TRANSITION",AVERAGE(Master_Data!R47:Master_Data!S47),AVERAGE(Master_Data!S47,Master_Data!R48)))</f>
        <v/>
      </c>
      <c r="H47" s="20">
        <f>IF(G47="","",MAX(Settings!$B$4,Settings!$B$5*AVERAGE(IF(Master_Data!O47&lt;&gt;"",Master_Data!O47,Master_Data!H47),IF(Master_Data!O48&lt;&gt;"",Master_Data!O48,Master_Data!H48))))</f>
        <v/>
      </c>
      <c r="I47" s="20">
        <f>IF(G47="","",G47-H47)</f>
        <v/>
      </c>
      <c r="J47" s="20">
        <f>IF(G47="","",G47+H47)</f>
        <v/>
      </c>
      <c r="K47" s="20">
        <f>IF($A47="","",Master_Data!G47)</f>
        <v/>
      </c>
      <c r="L47" s="20">
        <f>IF($A47="","",Master_Data!G48)</f>
        <v/>
      </c>
      <c r="M47" s="20">
        <f>IF(AND(ISNUMBER(K47),ISNUMBER(L47)),L47-K47,"")</f>
        <v/>
      </c>
      <c r="N47" s="19">
        <f>IF(G47="","",IF(AND(ISNUMBER(K47),ISNUMBER(L47)),IF(OR(F47="GOC",F47="OWC",F47="GWC",F47="OWC_TRANSITION",F47="GOC_TRANSITION"),IF(L47&gt;=K47,"Supports","Conflicts"),"N/A"),"No Sw"))</f>
        <v/>
      </c>
      <c r="O47" s="20">
        <f>IF(G47="","",Settings!$B$6*IF(OR(F47="GOC",F47="OWC",F47="GWC"),1,0.7)+Settings!$B$7*IF(N47="Supports",1,IF(N47="Conflicts",0,0.5))+Settings!$B$8*IF(AND(Master_Data!R47&lt;&gt;"",Master_Data!S47&lt;&gt;"",Master_Data!R48&lt;&gt;"",Master_Data!S48&lt;&gt;""),1,0.5))</f>
        <v/>
      </c>
      <c r="P47" s="19">
        <f>IF(G47="","",IF(N47="Conflicts","SW_CONFLICT",IF(OR(F47="GOC",F47="OWC",F47="GWC"),"DIRECT_FLUID_TRANSITION","TRANSITION_INTERVAL")))</f>
        <v/>
      </c>
      <c r="Q47" s="19">
        <f>IF(G47="","",IF(N47="Conflicts","Investigate contact interpretation / saturation behaviour",IF(OR(F47="OWC",F47="GOC",F47="GWC"),"Candidate contact — validate with logs, pressure and dynamic evidence","Transition zone — do not force to a sharp contact")))</f>
        <v/>
      </c>
    </row>
    <row r="48">
      <c r="A48" s="19">
        <f>IF(AND(Master_Data!A48&lt;&gt;"",Master_Data!A48=Master_Data!A49),Master_Data!A48,"")</f>
        <v/>
      </c>
      <c r="B48" s="19">
        <f>IF($A48="","",Master_Data!B48)</f>
        <v/>
      </c>
      <c r="C48" s="19">
        <f>IF($A48="","",Master_Data!B49)</f>
        <v/>
      </c>
      <c r="D48" s="19">
        <f>IF($A48="","",Master_Data!Q48)</f>
        <v/>
      </c>
      <c r="E48" s="19">
        <f>IF($A48="","",Master_Data!Q49)</f>
        <v/>
      </c>
      <c r="F48" s="19">
        <f>IF($A48="","",IF(AND(D48="GAS",E48="OIL"),"GOC",IF(AND(D48="OIL",E48="WATER"),"OWC",IF(AND(D48="GAS",E48="WATER"),"GWC",IF(AND(D48="OIL",E48="OIL_WATER"),"OWC_TRANSITION",IF(AND(D48="OIL_WATER",E48="WATER"),"OWC_TRANSITION",IF(AND(D48="GAS",E48="GAS_WATER"),"GOC_TRANSITION",IF(AND(D48="GAS_WATER",E48="OIL"),"GOC_TRANSITION",IF(OR(D48="OIL_WATER",D48="GAS_WATER"),"TRANSITION_INTERVAL","")))))))))</f>
        <v/>
      </c>
      <c r="G48" s="20">
        <f>IF(OR(F48="",Master_Data!R48="",Master_Data!S48=""),"",IF(RIGHT(F48,10)="TRANSITION",AVERAGE(Master_Data!R48:Master_Data!S48),AVERAGE(Master_Data!S48,Master_Data!R49)))</f>
        <v/>
      </c>
      <c r="H48" s="20">
        <f>IF(G48="","",MAX(Settings!$B$4,Settings!$B$5*AVERAGE(IF(Master_Data!O48&lt;&gt;"",Master_Data!O48,Master_Data!H48),IF(Master_Data!O49&lt;&gt;"",Master_Data!O49,Master_Data!H49))))</f>
        <v/>
      </c>
      <c r="I48" s="20">
        <f>IF(G48="","",G48-H48)</f>
        <v/>
      </c>
      <c r="J48" s="20">
        <f>IF(G48="","",G48+H48)</f>
        <v/>
      </c>
      <c r="K48" s="20">
        <f>IF($A48="","",Master_Data!G48)</f>
        <v/>
      </c>
      <c r="L48" s="20">
        <f>IF($A48="","",Master_Data!G49)</f>
        <v/>
      </c>
      <c r="M48" s="20">
        <f>IF(AND(ISNUMBER(K48),ISNUMBER(L48)),L48-K48,"")</f>
        <v/>
      </c>
      <c r="N48" s="19">
        <f>IF(G48="","",IF(AND(ISNUMBER(K48),ISNUMBER(L48)),IF(OR(F48="GOC",F48="OWC",F48="GWC",F48="OWC_TRANSITION",F48="GOC_TRANSITION"),IF(L48&gt;=K48,"Supports","Conflicts"),"N/A"),"No Sw"))</f>
        <v/>
      </c>
      <c r="O48" s="20">
        <f>IF(G48="","",Settings!$B$6*IF(OR(F48="GOC",F48="OWC",F48="GWC"),1,0.7)+Settings!$B$7*IF(N48="Supports",1,IF(N48="Conflicts",0,0.5))+Settings!$B$8*IF(AND(Master_Data!R48&lt;&gt;"",Master_Data!S48&lt;&gt;"",Master_Data!R49&lt;&gt;"",Master_Data!S49&lt;&gt;""),1,0.5))</f>
        <v/>
      </c>
      <c r="P48" s="19">
        <f>IF(G48="","",IF(N48="Conflicts","SW_CONFLICT",IF(OR(F48="GOC",F48="OWC",F48="GWC"),"DIRECT_FLUID_TRANSITION","TRANSITION_INTERVAL")))</f>
        <v/>
      </c>
      <c r="Q48" s="19">
        <f>IF(G48="","",IF(N48="Conflicts","Investigate contact interpretation / saturation behaviour",IF(OR(F48="OWC",F48="GOC",F48="GWC"),"Candidate contact — validate with logs, pressure and dynamic evidence","Transition zone — do not force to a sharp contact")))</f>
        <v/>
      </c>
    </row>
    <row r="49">
      <c r="A49" s="19">
        <f>IF(AND(Master_Data!A49&lt;&gt;"",Master_Data!A49=Master_Data!A50),Master_Data!A49,"")</f>
        <v/>
      </c>
      <c r="B49" s="19">
        <f>IF($A49="","",Master_Data!B49)</f>
        <v/>
      </c>
      <c r="C49" s="19">
        <f>IF($A49="","",Master_Data!B50)</f>
        <v/>
      </c>
      <c r="D49" s="19">
        <f>IF($A49="","",Master_Data!Q49)</f>
        <v/>
      </c>
      <c r="E49" s="19">
        <f>IF($A49="","",Master_Data!Q50)</f>
        <v/>
      </c>
      <c r="F49" s="19">
        <f>IF($A49="","",IF(AND(D49="GAS",E49="OIL"),"GOC",IF(AND(D49="OIL",E49="WATER"),"OWC",IF(AND(D49="GAS",E49="WATER"),"GWC",IF(AND(D49="OIL",E49="OIL_WATER"),"OWC_TRANSITION",IF(AND(D49="OIL_WATER",E49="WATER"),"OWC_TRANSITION",IF(AND(D49="GAS",E49="GAS_WATER"),"GOC_TRANSITION",IF(AND(D49="GAS_WATER",E49="OIL"),"GOC_TRANSITION",IF(OR(D49="OIL_WATER",D49="GAS_WATER"),"TRANSITION_INTERVAL","")))))))))</f>
        <v/>
      </c>
      <c r="G49" s="20">
        <f>IF(OR(F49="",Master_Data!R49="",Master_Data!S49=""),"",IF(RIGHT(F49,10)="TRANSITION",AVERAGE(Master_Data!R49:Master_Data!S49),AVERAGE(Master_Data!S49,Master_Data!R50)))</f>
        <v/>
      </c>
      <c r="H49" s="20">
        <f>IF(G49="","",MAX(Settings!$B$4,Settings!$B$5*AVERAGE(IF(Master_Data!O49&lt;&gt;"",Master_Data!O49,Master_Data!H49),IF(Master_Data!O50&lt;&gt;"",Master_Data!O50,Master_Data!H50))))</f>
        <v/>
      </c>
      <c r="I49" s="20">
        <f>IF(G49="","",G49-H49)</f>
        <v/>
      </c>
      <c r="J49" s="20">
        <f>IF(G49="","",G49+H49)</f>
        <v/>
      </c>
      <c r="K49" s="20">
        <f>IF($A49="","",Master_Data!G49)</f>
        <v/>
      </c>
      <c r="L49" s="20">
        <f>IF($A49="","",Master_Data!G50)</f>
        <v/>
      </c>
      <c r="M49" s="20">
        <f>IF(AND(ISNUMBER(K49),ISNUMBER(L49)),L49-K49,"")</f>
        <v/>
      </c>
      <c r="N49" s="19">
        <f>IF(G49="","",IF(AND(ISNUMBER(K49),ISNUMBER(L49)),IF(OR(F49="GOC",F49="OWC",F49="GWC",F49="OWC_TRANSITION",F49="GOC_TRANSITION"),IF(L49&gt;=K49,"Supports","Conflicts"),"N/A"),"No Sw"))</f>
        <v/>
      </c>
      <c r="O49" s="20">
        <f>IF(G49="","",Settings!$B$6*IF(OR(F49="GOC",F49="OWC",F49="GWC"),1,0.7)+Settings!$B$7*IF(N49="Supports",1,IF(N49="Conflicts",0,0.5))+Settings!$B$8*IF(AND(Master_Data!R49&lt;&gt;"",Master_Data!S49&lt;&gt;"",Master_Data!R50&lt;&gt;"",Master_Data!S50&lt;&gt;""),1,0.5))</f>
        <v/>
      </c>
      <c r="P49" s="19">
        <f>IF(G49="","",IF(N49="Conflicts","SW_CONFLICT",IF(OR(F49="GOC",F49="OWC",F49="GWC"),"DIRECT_FLUID_TRANSITION","TRANSITION_INTERVAL")))</f>
        <v/>
      </c>
      <c r="Q49" s="19">
        <f>IF(G49="","",IF(N49="Conflicts","Investigate contact interpretation / saturation behaviour",IF(OR(F49="OWC",F49="GOC",F49="GWC"),"Candidate contact — validate with logs, pressure and dynamic evidence","Transition zone — do not force to a sharp contact")))</f>
        <v/>
      </c>
    </row>
    <row r="50">
      <c r="A50" s="19">
        <f>IF(AND(Master_Data!A50&lt;&gt;"",Master_Data!A50=Master_Data!A51),Master_Data!A50,"")</f>
        <v/>
      </c>
      <c r="B50" s="19">
        <f>IF($A50="","",Master_Data!B50)</f>
        <v/>
      </c>
      <c r="C50" s="19">
        <f>IF($A50="","",Master_Data!B51)</f>
        <v/>
      </c>
      <c r="D50" s="19">
        <f>IF($A50="","",Master_Data!Q50)</f>
        <v/>
      </c>
      <c r="E50" s="19">
        <f>IF($A50="","",Master_Data!Q51)</f>
        <v/>
      </c>
      <c r="F50" s="19">
        <f>IF($A50="","",IF(AND(D50="GAS",E50="OIL"),"GOC",IF(AND(D50="OIL",E50="WATER"),"OWC",IF(AND(D50="GAS",E50="WATER"),"GWC",IF(AND(D50="OIL",E50="OIL_WATER"),"OWC_TRANSITION",IF(AND(D50="OIL_WATER",E50="WATER"),"OWC_TRANSITION",IF(AND(D50="GAS",E50="GAS_WATER"),"GOC_TRANSITION",IF(AND(D50="GAS_WATER",E50="OIL"),"GOC_TRANSITION",IF(OR(D50="OIL_WATER",D50="GAS_WATER"),"TRANSITION_INTERVAL","")))))))))</f>
        <v/>
      </c>
      <c r="G50" s="20">
        <f>IF(OR(F50="",Master_Data!R50="",Master_Data!S50=""),"",IF(RIGHT(F50,10)="TRANSITION",AVERAGE(Master_Data!R50:Master_Data!S50),AVERAGE(Master_Data!S50,Master_Data!R51)))</f>
        <v/>
      </c>
      <c r="H50" s="20">
        <f>IF(G50="","",MAX(Settings!$B$4,Settings!$B$5*AVERAGE(IF(Master_Data!O50&lt;&gt;"",Master_Data!O50,Master_Data!H50),IF(Master_Data!O51&lt;&gt;"",Master_Data!O51,Master_Data!H51))))</f>
        <v/>
      </c>
      <c r="I50" s="20">
        <f>IF(G50="","",G50-H50)</f>
        <v/>
      </c>
      <c r="J50" s="20">
        <f>IF(G50="","",G50+H50)</f>
        <v/>
      </c>
      <c r="K50" s="20">
        <f>IF($A50="","",Master_Data!G50)</f>
        <v/>
      </c>
      <c r="L50" s="20">
        <f>IF($A50="","",Master_Data!G51)</f>
        <v/>
      </c>
      <c r="M50" s="20">
        <f>IF(AND(ISNUMBER(K50),ISNUMBER(L50)),L50-K50,"")</f>
        <v/>
      </c>
      <c r="N50" s="19">
        <f>IF(G50="","",IF(AND(ISNUMBER(K50),ISNUMBER(L50)),IF(OR(F50="GOC",F50="OWC",F50="GWC",F50="OWC_TRANSITION",F50="GOC_TRANSITION"),IF(L50&gt;=K50,"Supports","Conflicts"),"N/A"),"No Sw"))</f>
        <v/>
      </c>
      <c r="O50" s="20">
        <f>IF(G50="","",Settings!$B$6*IF(OR(F50="GOC",F50="OWC",F50="GWC"),1,0.7)+Settings!$B$7*IF(N50="Supports",1,IF(N50="Conflicts",0,0.5))+Settings!$B$8*IF(AND(Master_Data!R50&lt;&gt;"",Master_Data!S50&lt;&gt;"",Master_Data!R51&lt;&gt;"",Master_Data!S51&lt;&gt;""),1,0.5))</f>
        <v/>
      </c>
      <c r="P50" s="19">
        <f>IF(G50="","",IF(N50="Conflicts","SW_CONFLICT",IF(OR(F50="GOC",F50="OWC",F50="GWC"),"DIRECT_FLUID_TRANSITION","TRANSITION_INTERVAL")))</f>
        <v/>
      </c>
      <c r="Q50" s="19">
        <f>IF(G50="","",IF(N50="Conflicts","Investigate contact interpretation / saturation behaviour",IF(OR(F50="OWC",F50="GOC",F50="GWC"),"Candidate contact — validate with logs, pressure and dynamic evidence","Transition zone — do not force to a sharp contact")))</f>
        <v/>
      </c>
    </row>
    <row r="51">
      <c r="A51" s="19">
        <f>IF(AND(Master_Data!A51&lt;&gt;"",Master_Data!A51=Master_Data!A52),Master_Data!A51,"")</f>
        <v/>
      </c>
      <c r="B51" s="19">
        <f>IF($A51="","",Master_Data!B51)</f>
        <v/>
      </c>
      <c r="C51" s="19">
        <f>IF($A51="","",Master_Data!B52)</f>
        <v/>
      </c>
      <c r="D51" s="19">
        <f>IF($A51="","",Master_Data!Q51)</f>
        <v/>
      </c>
      <c r="E51" s="19">
        <f>IF($A51="","",Master_Data!Q52)</f>
        <v/>
      </c>
      <c r="F51" s="19">
        <f>IF($A51="","",IF(AND(D51="GAS",E51="OIL"),"GOC",IF(AND(D51="OIL",E51="WATER"),"OWC",IF(AND(D51="GAS",E51="WATER"),"GWC",IF(AND(D51="OIL",E51="OIL_WATER"),"OWC_TRANSITION",IF(AND(D51="OIL_WATER",E51="WATER"),"OWC_TRANSITION",IF(AND(D51="GAS",E51="GAS_WATER"),"GOC_TRANSITION",IF(AND(D51="GAS_WATER",E51="OIL"),"GOC_TRANSITION",IF(OR(D51="OIL_WATER",D51="GAS_WATER"),"TRANSITION_INTERVAL","")))))))))</f>
        <v/>
      </c>
      <c r="G51" s="20">
        <f>IF(OR(F51="",Master_Data!R51="",Master_Data!S51=""),"",IF(RIGHT(F51,10)="TRANSITION",AVERAGE(Master_Data!R51:Master_Data!S51),AVERAGE(Master_Data!S51,Master_Data!R52)))</f>
        <v/>
      </c>
      <c r="H51" s="20">
        <f>IF(G51="","",MAX(Settings!$B$4,Settings!$B$5*AVERAGE(IF(Master_Data!O51&lt;&gt;"",Master_Data!O51,Master_Data!H51),IF(Master_Data!O52&lt;&gt;"",Master_Data!O52,Master_Data!H52))))</f>
        <v/>
      </c>
      <c r="I51" s="20">
        <f>IF(G51="","",G51-H51)</f>
        <v/>
      </c>
      <c r="J51" s="20">
        <f>IF(G51="","",G51+H51)</f>
        <v/>
      </c>
      <c r="K51" s="20">
        <f>IF($A51="","",Master_Data!G51)</f>
        <v/>
      </c>
      <c r="L51" s="20">
        <f>IF($A51="","",Master_Data!G52)</f>
        <v/>
      </c>
      <c r="M51" s="20">
        <f>IF(AND(ISNUMBER(K51),ISNUMBER(L51)),L51-K51,"")</f>
        <v/>
      </c>
      <c r="N51" s="19">
        <f>IF(G51="","",IF(AND(ISNUMBER(K51),ISNUMBER(L51)),IF(OR(F51="GOC",F51="OWC",F51="GWC",F51="OWC_TRANSITION",F51="GOC_TRANSITION"),IF(L51&gt;=K51,"Supports","Conflicts"),"N/A"),"No Sw"))</f>
        <v/>
      </c>
      <c r="O51" s="20">
        <f>IF(G51="","",Settings!$B$6*IF(OR(F51="GOC",F51="OWC",F51="GWC"),1,0.7)+Settings!$B$7*IF(N51="Supports",1,IF(N51="Conflicts",0,0.5))+Settings!$B$8*IF(AND(Master_Data!R51&lt;&gt;"",Master_Data!S51&lt;&gt;"",Master_Data!R52&lt;&gt;"",Master_Data!S52&lt;&gt;""),1,0.5))</f>
        <v/>
      </c>
      <c r="P51" s="19">
        <f>IF(G51="","",IF(N51="Conflicts","SW_CONFLICT",IF(OR(F51="GOC",F51="OWC",F51="GWC"),"DIRECT_FLUID_TRANSITION","TRANSITION_INTERVAL")))</f>
        <v/>
      </c>
      <c r="Q51" s="19">
        <f>IF(G51="","",IF(N51="Conflicts","Investigate contact interpretation / saturation behaviour",IF(OR(F51="OWC",F51="GOC",F51="GWC"),"Candidate contact — validate with logs, pressure and dynamic evidence","Transition zone — do not force to a sharp contact")))</f>
        <v/>
      </c>
    </row>
    <row r="52">
      <c r="A52" s="19">
        <f>IF(AND(Master_Data!A52&lt;&gt;"",Master_Data!A52=Master_Data!A53),Master_Data!A52,"")</f>
        <v/>
      </c>
      <c r="B52" s="19">
        <f>IF($A52="","",Master_Data!B52)</f>
        <v/>
      </c>
      <c r="C52" s="19">
        <f>IF($A52="","",Master_Data!B53)</f>
        <v/>
      </c>
      <c r="D52" s="19">
        <f>IF($A52="","",Master_Data!Q52)</f>
        <v/>
      </c>
      <c r="E52" s="19">
        <f>IF($A52="","",Master_Data!Q53)</f>
        <v/>
      </c>
      <c r="F52" s="19">
        <f>IF($A52="","",IF(AND(D52="GAS",E52="OIL"),"GOC",IF(AND(D52="OIL",E52="WATER"),"OWC",IF(AND(D52="GAS",E52="WATER"),"GWC",IF(AND(D52="OIL",E52="OIL_WATER"),"OWC_TRANSITION",IF(AND(D52="OIL_WATER",E52="WATER"),"OWC_TRANSITION",IF(AND(D52="GAS",E52="GAS_WATER"),"GOC_TRANSITION",IF(AND(D52="GAS_WATER",E52="OIL"),"GOC_TRANSITION",IF(OR(D52="OIL_WATER",D52="GAS_WATER"),"TRANSITION_INTERVAL","")))))))))</f>
        <v/>
      </c>
      <c r="G52" s="20">
        <f>IF(OR(F52="",Master_Data!R52="",Master_Data!S52=""),"",IF(RIGHT(F52,10)="TRANSITION",AVERAGE(Master_Data!R52:Master_Data!S52),AVERAGE(Master_Data!S52,Master_Data!R53)))</f>
        <v/>
      </c>
      <c r="H52" s="20">
        <f>IF(G52="","",MAX(Settings!$B$4,Settings!$B$5*AVERAGE(IF(Master_Data!O52&lt;&gt;"",Master_Data!O52,Master_Data!H52),IF(Master_Data!O53&lt;&gt;"",Master_Data!O53,Master_Data!H53))))</f>
        <v/>
      </c>
      <c r="I52" s="20">
        <f>IF(G52="","",G52-H52)</f>
        <v/>
      </c>
      <c r="J52" s="20">
        <f>IF(G52="","",G52+H52)</f>
        <v/>
      </c>
      <c r="K52" s="20">
        <f>IF($A52="","",Master_Data!G52)</f>
        <v/>
      </c>
      <c r="L52" s="20">
        <f>IF($A52="","",Master_Data!G53)</f>
        <v/>
      </c>
      <c r="M52" s="20">
        <f>IF(AND(ISNUMBER(K52),ISNUMBER(L52)),L52-K52,"")</f>
        <v/>
      </c>
      <c r="N52" s="19">
        <f>IF(G52="","",IF(AND(ISNUMBER(K52),ISNUMBER(L52)),IF(OR(F52="GOC",F52="OWC",F52="GWC",F52="OWC_TRANSITION",F52="GOC_TRANSITION"),IF(L52&gt;=K52,"Supports","Conflicts"),"N/A"),"No Sw"))</f>
        <v/>
      </c>
      <c r="O52" s="20">
        <f>IF(G52="","",Settings!$B$6*IF(OR(F52="GOC",F52="OWC",F52="GWC"),1,0.7)+Settings!$B$7*IF(N52="Supports",1,IF(N52="Conflicts",0,0.5))+Settings!$B$8*IF(AND(Master_Data!R52&lt;&gt;"",Master_Data!S52&lt;&gt;"",Master_Data!R53&lt;&gt;"",Master_Data!S53&lt;&gt;""),1,0.5))</f>
        <v/>
      </c>
      <c r="P52" s="19">
        <f>IF(G52="","",IF(N52="Conflicts","SW_CONFLICT",IF(OR(F52="GOC",F52="OWC",F52="GWC"),"DIRECT_FLUID_TRANSITION","TRANSITION_INTERVAL")))</f>
        <v/>
      </c>
      <c r="Q52" s="19">
        <f>IF(G52="","",IF(N52="Conflicts","Investigate contact interpretation / saturation behaviour",IF(OR(F52="OWC",F52="GOC",F52="GWC"),"Candidate contact — validate with logs, pressure and dynamic evidence","Transition zone — do not force to a sharp contact")))</f>
        <v/>
      </c>
    </row>
    <row r="53">
      <c r="A53" s="19">
        <f>IF(AND(Master_Data!A53&lt;&gt;"",Master_Data!A53=Master_Data!A54),Master_Data!A53,"")</f>
        <v/>
      </c>
      <c r="B53" s="19">
        <f>IF($A53="","",Master_Data!B53)</f>
        <v/>
      </c>
      <c r="C53" s="19">
        <f>IF($A53="","",Master_Data!B54)</f>
        <v/>
      </c>
      <c r="D53" s="19">
        <f>IF($A53="","",Master_Data!Q53)</f>
        <v/>
      </c>
      <c r="E53" s="19">
        <f>IF($A53="","",Master_Data!Q54)</f>
        <v/>
      </c>
      <c r="F53" s="19">
        <f>IF($A53="","",IF(AND(D53="GAS",E53="OIL"),"GOC",IF(AND(D53="OIL",E53="WATER"),"OWC",IF(AND(D53="GAS",E53="WATER"),"GWC",IF(AND(D53="OIL",E53="OIL_WATER"),"OWC_TRANSITION",IF(AND(D53="OIL_WATER",E53="WATER"),"OWC_TRANSITION",IF(AND(D53="GAS",E53="GAS_WATER"),"GOC_TRANSITION",IF(AND(D53="GAS_WATER",E53="OIL"),"GOC_TRANSITION",IF(OR(D53="OIL_WATER",D53="GAS_WATER"),"TRANSITION_INTERVAL","")))))))))</f>
        <v/>
      </c>
      <c r="G53" s="20">
        <f>IF(OR(F53="",Master_Data!R53="",Master_Data!S53=""),"",IF(RIGHT(F53,10)="TRANSITION",AVERAGE(Master_Data!R53:Master_Data!S53),AVERAGE(Master_Data!S53,Master_Data!R54)))</f>
        <v/>
      </c>
      <c r="H53" s="20">
        <f>IF(G53="","",MAX(Settings!$B$4,Settings!$B$5*AVERAGE(IF(Master_Data!O53&lt;&gt;"",Master_Data!O53,Master_Data!H53),IF(Master_Data!O54&lt;&gt;"",Master_Data!O54,Master_Data!H54))))</f>
        <v/>
      </c>
      <c r="I53" s="20">
        <f>IF(G53="","",G53-H53)</f>
        <v/>
      </c>
      <c r="J53" s="20">
        <f>IF(G53="","",G53+H53)</f>
        <v/>
      </c>
      <c r="K53" s="20">
        <f>IF($A53="","",Master_Data!G53)</f>
        <v/>
      </c>
      <c r="L53" s="20">
        <f>IF($A53="","",Master_Data!G54)</f>
        <v/>
      </c>
      <c r="M53" s="20">
        <f>IF(AND(ISNUMBER(K53),ISNUMBER(L53)),L53-K53,"")</f>
        <v/>
      </c>
      <c r="N53" s="19">
        <f>IF(G53="","",IF(AND(ISNUMBER(K53),ISNUMBER(L53)),IF(OR(F53="GOC",F53="OWC",F53="GWC",F53="OWC_TRANSITION",F53="GOC_TRANSITION"),IF(L53&gt;=K53,"Supports","Conflicts"),"N/A"),"No Sw"))</f>
        <v/>
      </c>
      <c r="O53" s="20">
        <f>IF(G53="","",Settings!$B$6*IF(OR(F53="GOC",F53="OWC",F53="GWC"),1,0.7)+Settings!$B$7*IF(N53="Supports",1,IF(N53="Conflicts",0,0.5))+Settings!$B$8*IF(AND(Master_Data!R53&lt;&gt;"",Master_Data!S53&lt;&gt;"",Master_Data!R54&lt;&gt;"",Master_Data!S54&lt;&gt;""),1,0.5))</f>
        <v/>
      </c>
      <c r="P53" s="19">
        <f>IF(G53="","",IF(N53="Conflicts","SW_CONFLICT",IF(OR(F53="GOC",F53="OWC",F53="GWC"),"DIRECT_FLUID_TRANSITION","TRANSITION_INTERVAL")))</f>
        <v/>
      </c>
      <c r="Q53" s="19">
        <f>IF(G53="","",IF(N53="Conflicts","Investigate contact interpretation / saturation behaviour",IF(OR(F53="OWC",F53="GOC",F53="GWC"),"Candidate contact — validate with logs, pressure and dynamic evidence","Transition zone — do not force to a sharp contact")))</f>
        <v/>
      </c>
    </row>
    <row r="54">
      <c r="A54" s="19">
        <f>IF(AND(Master_Data!A54&lt;&gt;"",Master_Data!A54=Master_Data!A55),Master_Data!A54,"")</f>
        <v/>
      </c>
      <c r="B54" s="19">
        <f>IF($A54="","",Master_Data!B54)</f>
        <v/>
      </c>
      <c r="C54" s="19">
        <f>IF($A54="","",Master_Data!B55)</f>
        <v/>
      </c>
      <c r="D54" s="19">
        <f>IF($A54="","",Master_Data!Q54)</f>
        <v/>
      </c>
      <c r="E54" s="19">
        <f>IF($A54="","",Master_Data!Q55)</f>
        <v/>
      </c>
      <c r="F54" s="19">
        <f>IF($A54="","",IF(AND(D54="GAS",E54="OIL"),"GOC",IF(AND(D54="OIL",E54="WATER"),"OWC",IF(AND(D54="GAS",E54="WATER"),"GWC",IF(AND(D54="OIL",E54="OIL_WATER"),"OWC_TRANSITION",IF(AND(D54="OIL_WATER",E54="WATER"),"OWC_TRANSITION",IF(AND(D54="GAS",E54="GAS_WATER"),"GOC_TRANSITION",IF(AND(D54="GAS_WATER",E54="OIL"),"GOC_TRANSITION",IF(OR(D54="OIL_WATER",D54="GAS_WATER"),"TRANSITION_INTERVAL","")))))))))</f>
        <v/>
      </c>
      <c r="G54" s="20">
        <f>IF(OR(F54="",Master_Data!R54="",Master_Data!S54=""),"",IF(RIGHT(F54,10)="TRANSITION",AVERAGE(Master_Data!R54:Master_Data!S54),AVERAGE(Master_Data!S54,Master_Data!R55)))</f>
        <v/>
      </c>
      <c r="H54" s="20">
        <f>IF(G54="","",MAX(Settings!$B$4,Settings!$B$5*AVERAGE(IF(Master_Data!O54&lt;&gt;"",Master_Data!O54,Master_Data!H54),IF(Master_Data!O55&lt;&gt;"",Master_Data!O55,Master_Data!H55))))</f>
        <v/>
      </c>
      <c r="I54" s="20">
        <f>IF(G54="","",G54-H54)</f>
        <v/>
      </c>
      <c r="J54" s="20">
        <f>IF(G54="","",G54+H54)</f>
        <v/>
      </c>
      <c r="K54" s="20">
        <f>IF($A54="","",Master_Data!G54)</f>
        <v/>
      </c>
      <c r="L54" s="20">
        <f>IF($A54="","",Master_Data!G55)</f>
        <v/>
      </c>
      <c r="M54" s="20">
        <f>IF(AND(ISNUMBER(K54),ISNUMBER(L54)),L54-K54,"")</f>
        <v/>
      </c>
      <c r="N54" s="19">
        <f>IF(G54="","",IF(AND(ISNUMBER(K54),ISNUMBER(L54)),IF(OR(F54="GOC",F54="OWC",F54="GWC",F54="OWC_TRANSITION",F54="GOC_TRANSITION"),IF(L54&gt;=K54,"Supports","Conflicts"),"N/A"),"No Sw"))</f>
        <v/>
      </c>
      <c r="O54" s="20">
        <f>IF(G54="","",Settings!$B$6*IF(OR(F54="GOC",F54="OWC",F54="GWC"),1,0.7)+Settings!$B$7*IF(N54="Supports",1,IF(N54="Conflicts",0,0.5))+Settings!$B$8*IF(AND(Master_Data!R54&lt;&gt;"",Master_Data!S54&lt;&gt;"",Master_Data!R55&lt;&gt;"",Master_Data!S55&lt;&gt;""),1,0.5))</f>
        <v/>
      </c>
      <c r="P54" s="19">
        <f>IF(G54="","",IF(N54="Conflicts","SW_CONFLICT",IF(OR(F54="GOC",F54="OWC",F54="GWC"),"DIRECT_FLUID_TRANSITION","TRANSITION_INTERVAL")))</f>
        <v/>
      </c>
      <c r="Q54" s="19">
        <f>IF(G54="","",IF(N54="Conflicts","Investigate contact interpretation / saturation behaviour",IF(OR(F54="OWC",F54="GOC",F54="GWC"),"Candidate contact — validate with logs, pressure and dynamic evidence","Transition zone — do not force to a sharp contact")))</f>
        <v/>
      </c>
    </row>
    <row r="55">
      <c r="A55" s="19">
        <f>IF(AND(Master_Data!A55&lt;&gt;"",Master_Data!A55=Master_Data!A56),Master_Data!A55,"")</f>
        <v/>
      </c>
      <c r="B55" s="19">
        <f>IF($A55="","",Master_Data!B55)</f>
        <v/>
      </c>
      <c r="C55" s="19">
        <f>IF($A55="","",Master_Data!B56)</f>
        <v/>
      </c>
      <c r="D55" s="19">
        <f>IF($A55="","",Master_Data!Q55)</f>
        <v/>
      </c>
      <c r="E55" s="19">
        <f>IF($A55="","",Master_Data!Q56)</f>
        <v/>
      </c>
      <c r="F55" s="19">
        <f>IF($A55="","",IF(AND(D55="GAS",E55="OIL"),"GOC",IF(AND(D55="OIL",E55="WATER"),"OWC",IF(AND(D55="GAS",E55="WATER"),"GWC",IF(AND(D55="OIL",E55="OIL_WATER"),"OWC_TRANSITION",IF(AND(D55="OIL_WATER",E55="WATER"),"OWC_TRANSITION",IF(AND(D55="GAS",E55="GAS_WATER"),"GOC_TRANSITION",IF(AND(D55="GAS_WATER",E55="OIL"),"GOC_TRANSITION",IF(OR(D55="OIL_WATER",D55="GAS_WATER"),"TRANSITION_INTERVAL","")))))))))</f>
        <v/>
      </c>
      <c r="G55" s="20">
        <f>IF(OR(F55="",Master_Data!R55="",Master_Data!S55=""),"",IF(RIGHT(F55,10)="TRANSITION",AVERAGE(Master_Data!R55:Master_Data!S55),AVERAGE(Master_Data!S55,Master_Data!R56)))</f>
        <v/>
      </c>
      <c r="H55" s="20">
        <f>IF(G55="","",MAX(Settings!$B$4,Settings!$B$5*AVERAGE(IF(Master_Data!O55&lt;&gt;"",Master_Data!O55,Master_Data!H55),IF(Master_Data!O56&lt;&gt;"",Master_Data!O56,Master_Data!H56))))</f>
        <v/>
      </c>
      <c r="I55" s="20">
        <f>IF(G55="","",G55-H55)</f>
        <v/>
      </c>
      <c r="J55" s="20">
        <f>IF(G55="","",G55+H55)</f>
        <v/>
      </c>
      <c r="K55" s="20">
        <f>IF($A55="","",Master_Data!G55)</f>
        <v/>
      </c>
      <c r="L55" s="20">
        <f>IF($A55="","",Master_Data!G56)</f>
        <v/>
      </c>
      <c r="M55" s="20">
        <f>IF(AND(ISNUMBER(K55),ISNUMBER(L55)),L55-K55,"")</f>
        <v/>
      </c>
      <c r="N55" s="19">
        <f>IF(G55="","",IF(AND(ISNUMBER(K55),ISNUMBER(L55)),IF(OR(F55="GOC",F55="OWC",F55="GWC",F55="OWC_TRANSITION",F55="GOC_TRANSITION"),IF(L55&gt;=K55,"Supports","Conflicts"),"N/A"),"No Sw"))</f>
        <v/>
      </c>
      <c r="O55" s="20">
        <f>IF(G55="","",Settings!$B$6*IF(OR(F55="GOC",F55="OWC",F55="GWC"),1,0.7)+Settings!$B$7*IF(N55="Supports",1,IF(N55="Conflicts",0,0.5))+Settings!$B$8*IF(AND(Master_Data!R55&lt;&gt;"",Master_Data!S55&lt;&gt;"",Master_Data!R56&lt;&gt;"",Master_Data!S56&lt;&gt;""),1,0.5))</f>
        <v/>
      </c>
      <c r="P55" s="19">
        <f>IF(G55="","",IF(N55="Conflicts","SW_CONFLICT",IF(OR(F55="GOC",F55="OWC",F55="GWC"),"DIRECT_FLUID_TRANSITION","TRANSITION_INTERVAL")))</f>
        <v/>
      </c>
      <c r="Q55" s="19">
        <f>IF(G55="","",IF(N55="Conflicts","Investigate contact interpretation / saturation behaviour",IF(OR(F55="OWC",F55="GOC",F55="GWC"),"Candidate contact — validate with logs, pressure and dynamic evidence","Transition zone — do not force to a sharp contact")))</f>
        <v/>
      </c>
    </row>
    <row r="56">
      <c r="A56" s="19">
        <f>IF(AND(Master_Data!A56&lt;&gt;"",Master_Data!A56=Master_Data!A57),Master_Data!A56,"")</f>
        <v/>
      </c>
      <c r="B56" s="19">
        <f>IF($A56="","",Master_Data!B56)</f>
        <v/>
      </c>
      <c r="C56" s="19">
        <f>IF($A56="","",Master_Data!B57)</f>
        <v/>
      </c>
      <c r="D56" s="19">
        <f>IF($A56="","",Master_Data!Q56)</f>
        <v/>
      </c>
      <c r="E56" s="19">
        <f>IF($A56="","",Master_Data!Q57)</f>
        <v/>
      </c>
      <c r="F56" s="19">
        <f>IF($A56="","",IF(AND(D56="GAS",E56="OIL"),"GOC",IF(AND(D56="OIL",E56="WATER"),"OWC",IF(AND(D56="GAS",E56="WATER"),"GWC",IF(AND(D56="OIL",E56="OIL_WATER"),"OWC_TRANSITION",IF(AND(D56="OIL_WATER",E56="WATER"),"OWC_TRANSITION",IF(AND(D56="GAS",E56="GAS_WATER"),"GOC_TRANSITION",IF(AND(D56="GAS_WATER",E56="OIL"),"GOC_TRANSITION",IF(OR(D56="OIL_WATER",D56="GAS_WATER"),"TRANSITION_INTERVAL","")))))))))</f>
        <v/>
      </c>
      <c r="G56" s="20">
        <f>IF(OR(F56="",Master_Data!R56="",Master_Data!S56=""),"",IF(RIGHT(F56,10)="TRANSITION",AVERAGE(Master_Data!R56:Master_Data!S56),AVERAGE(Master_Data!S56,Master_Data!R57)))</f>
        <v/>
      </c>
      <c r="H56" s="20">
        <f>IF(G56="","",MAX(Settings!$B$4,Settings!$B$5*AVERAGE(IF(Master_Data!O56&lt;&gt;"",Master_Data!O56,Master_Data!H56),IF(Master_Data!O57&lt;&gt;"",Master_Data!O57,Master_Data!H57))))</f>
        <v/>
      </c>
      <c r="I56" s="20">
        <f>IF(G56="","",G56-H56)</f>
        <v/>
      </c>
      <c r="J56" s="20">
        <f>IF(G56="","",G56+H56)</f>
        <v/>
      </c>
      <c r="K56" s="20">
        <f>IF($A56="","",Master_Data!G56)</f>
        <v/>
      </c>
      <c r="L56" s="20">
        <f>IF($A56="","",Master_Data!G57)</f>
        <v/>
      </c>
      <c r="M56" s="20">
        <f>IF(AND(ISNUMBER(K56),ISNUMBER(L56)),L56-K56,"")</f>
        <v/>
      </c>
      <c r="N56" s="19">
        <f>IF(G56="","",IF(AND(ISNUMBER(K56),ISNUMBER(L56)),IF(OR(F56="GOC",F56="OWC",F56="GWC",F56="OWC_TRANSITION",F56="GOC_TRANSITION"),IF(L56&gt;=K56,"Supports","Conflicts"),"N/A"),"No Sw"))</f>
        <v/>
      </c>
      <c r="O56" s="20">
        <f>IF(G56="","",Settings!$B$6*IF(OR(F56="GOC",F56="OWC",F56="GWC"),1,0.7)+Settings!$B$7*IF(N56="Supports",1,IF(N56="Conflicts",0,0.5))+Settings!$B$8*IF(AND(Master_Data!R56&lt;&gt;"",Master_Data!S56&lt;&gt;"",Master_Data!R57&lt;&gt;"",Master_Data!S57&lt;&gt;""),1,0.5))</f>
        <v/>
      </c>
      <c r="P56" s="19">
        <f>IF(G56="","",IF(N56="Conflicts","SW_CONFLICT",IF(OR(F56="GOC",F56="OWC",F56="GWC"),"DIRECT_FLUID_TRANSITION","TRANSITION_INTERVAL")))</f>
        <v/>
      </c>
      <c r="Q56" s="19">
        <f>IF(G56="","",IF(N56="Conflicts","Investigate contact interpretation / saturation behaviour",IF(OR(F56="OWC",F56="GOC",F56="GWC"),"Candidate contact — validate with logs, pressure and dynamic evidence","Transition zone — do not force to a sharp contact")))</f>
        <v/>
      </c>
    </row>
    <row r="57">
      <c r="A57" s="19">
        <f>IF(AND(Master_Data!A57&lt;&gt;"",Master_Data!A57=Master_Data!A58),Master_Data!A57,"")</f>
        <v/>
      </c>
      <c r="B57" s="19">
        <f>IF($A57="","",Master_Data!B57)</f>
        <v/>
      </c>
      <c r="C57" s="19">
        <f>IF($A57="","",Master_Data!B58)</f>
        <v/>
      </c>
      <c r="D57" s="19">
        <f>IF($A57="","",Master_Data!Q57)</f>
        <v/>
      </c>
      <c r="E57" s="19">
        <f>IF($A57="","",Master_Data!Q58)</f>
        <v/>
      </c>
      <c r="F57" s="19">
        <f>IF($A57="","",IF(AND(D57="GAS",E57="OIL"),"GOC",IF(AND(D57="OIL",E57="WATER"),"OWC",IF(AND(D57="GAS",E57="WATER"),"GWC",IF(AND(D57="OIL",E57="OIL_WATER"),"OWC_TRANSITION",IF(AND(D57="OIL_WATER",E57="WATER"),"OWC_TRANSITION",IF(AND(D57="GAS",E57="GAS_WATER"),"GOC_TRANSITION",IF(AND(D57="GAS_WATER",E57="OIL"),"GOC_TRANSITION",IF(OR(D57="OIL_WATER",D57="GAS_WATER"),"TRANSITION_INTERVAL","")))))))))</f>
        <v/>
      </c>
      <c r="G57" s="20">
        <f>IF(OR(F57="",Master_Data!R57="",Master_Data!S57=""),"",IF(RIGHT(F57,10)="TRANSITION",AVERAGE(Master_Data!R57:Master_Data!S57),AVERAGE(Master_Data!S57,Master_Data!R58)))</f>
        <v/>
      </c>
      <c r="H57" s="20">
        <f>IF(G57="","",MAX(Settings!$B$4,Settings!$B$5*AVERAGE(IF(Master_Data!O57&lt;&gt;"",Master_Data!O57,Master_Data!H57),IF(Master_Data!O58&lt;&gt;"",Master_Data!O58,Master_Data!H58))))</f>
        <v/>
      </c>
      <c r="I57" s="20">
        <f>IF(G57="","",G57-H57)</f>
        <v/>
      </c>
      <c r="J57" s="20">
        <f>IF(G57="","",G57+H57)</f>
        <v/>
      </c>
      <c r="K57" s="20">
        <f>IF($A57="","",Master_Data!G57)</f>
        <v/>
      </c>
      <c r="L57" s="20">
        <f>IF($A57="","",Master_Data!G58)</f>
        <v/>
      </c>
      <c r="M57" s="20">
        <f>IF(AND(ISNUMBER(K57),ISNUMBER(L57)),L57-K57,"")</f>
        <v/>
      </c>
      <c r="N57" s="19">
        <f>IF(G57="","",IF(AND(ISNUMBER(K57),ISNUMBER(L57)),IF(OR(F57="GOC",F57="OWC",F57="GWC",F57="OWC_TRANSITION",F57="GOC_TRANSITION"),IF(L57&gt;=K57,"Supports","Conflicts"),"N/A"),"No Sw"))</f>
        <v/>
      </c>
      <c r="O57" s="20">
        <f>IF(G57="","",Settings!$B$6*IF(OR(F57="GOC",F57="OWC",F57="GWC"),1,0.7)+Settings!$B$7*IF(N57="Supports",1,IF(N57="Conflicts",0,0.5))+Settings!$B$8*IF(AND(Master_Data!R57&lt;&gt;"",Master_Data!S57&lt;&gt;"",Master_Data!R58&lt;&gt;"",Master_Data!S58&lt;&gt;""),1,0.5))</f>
        <v/>
      </c>
      <c r="P57" s="19">
        <f>IF(G57="","",IF(N57="Conflicts","SW_CONFLICT",IF(OR(F57="GOC",F57="OWC",F57="GWC"),"DIRECT_FLUID_TRANSITION","TRANSITION_INTERVAL")))</f>
        <v/>
      </c>
      <c r="Q57" s="19">
        <f>IF(G57="","",IF(N57="Conflicts","Investigate contact interpretation / saturation behaviour",IF(OR(F57="OWC",F57="GOC",F57="GWC"),"Candidate contact — validate with logs, pressure and dynamic evidence","Transition zone — do not force to a sharp contact")))</f>
        <v/>
      </c>
    </row>
    <row r="58">
      <c r="A58" s="19">
        <f>IF(AND(Master_Data!A58&lt;&gt;"",Master_Data!A58=Master_Data!A59),Master_Data!A58,"")</f>
        <v/>
      </c>
      <c r="B58" s="19">
        <f>IF($A58="","",Master_Data!B58)</f>
        <v/>
      </c>
      <c r="C58" s="19">
        <f>IF($A58="","",Master_Data!B59)</f>
        <v/>
      </c>
      <c r="D58" s="19">
        <f>IF($A58="","",Master_Data!Q58)</f>
        <v/>
      </c>
      <c r="E58" s="19">
        <f>IF($A58="","",Master_Data!Q59)</f>
        <v/>
      </c>
      <c r="F58" s="19">
        <f>IF($A58="","",IF(AND(D58="GAS",E58="OIL"),"GOC",IF(AND(D58="OIL",E58="WATER"),"OWC",IF(AND(D58="GAS",E58="WATER"),"GWC",IF(AND(D58="OIL",E58="OIL_WATER"),"OWC_TRANSITION",IF(AND(D58="OIL_WATER",E58="WATER"),"OWC_TRANSITION",IF(AND(D58="GAS",E58="GAS_WATER"),"GOC_TRANSITION",IF(AND(D58="GAS_WATER",E58="OIL"),"GOC_TRANSITION",IF(OR(D58="OIL_WATER",D58="GAS_WATER"),"TRANSITION_INTERVAL","")))))))))</f>
        <v/>
      </c>
      <c r="G58" s="20">
        <f>IF(OR(F58="",Master_Data!R58="",Master_Data!S58=""),"",IF(RIGHT(F58,10)="TRANSITION",AVERAGE(Master_Data!R58:Master_Data!S58),AVERAGE(Master_Data!S58,Master_Data!R59)))</f>
        <v/>
      </c>
      <c r="H58" s="20">
        <f>IF(G58="","",MAX(Settings!$B$4,Settings!$B$5*AVERAGE(IF(Master_Data!O58&lt;&gt;"",Master_Data!O58,Master_Data!H58),IF(Master_Data!O59&lt;&gt;"",Master_Data!O59,Master_Data!H59))))</f>
        <v/>
      </c>
      <c r="I58" s="20">
        <f>IF(G58="","",G58-H58)</f>
        <v/>
      </c>
      <c r="J58" s="20">
        <f>IF(G58="","",G58+H58)</f>
        <v/>
      </c>
      <c r="K58" s="20">
        <f>IF($A58="","",Master_Data!G58)</f>
        <v/>
      </c>
      <c r="L58" s="20">
        <f>IF($A58="","",Master_Data!G59)</f>
        <v/>
      </c>
      <c r="M58" s="20">
        <f>IF(AND(ISNUMBER(K58),ISNUMBER(L58)),L58-K58,"")</f>
        <v/>
      </c>
      <c r="N58" s="19">
        <f>IF(G58="","",IF(AND(ISNUMBER(K58),ISNUMBER(L58)),IF(OR(F58="GOC",F58="OWC",F58="GWC",F58="OWC_TRANSITION",F58="GOC_TRANSITION"),IF(L58&gt;=K58,"Supports","Conflicts"),"N/A"),"No Sw"))</f>
        <v/>
      </c>
      <c r="O58" s="20">
        <f>IF(G58="","",Settings!$B$6*IF(OR(F58="GOC",F58="OWC",F58="GWC"),1,0.7)+Settings!$B$7*IF(N58="Supports",1,IF(N58="Conflicts",0,0.5))+Settings!$B$8*IF(AND(Master_Data!R58&lt;&gt;"",Master_Data!S58&lt;&gt;"",Master_Data!R59&lt;&gt;"",Master_Data!S59&lt;&gt;""),1,0.5))</f>
        <v/>
      </c>
      <c r="P58" s="19">
        <f>IF(G58="","",IF(N58="Conflicts","SW_CONFLICT",IF(OR(F58="GOC",F58="OWC",F58="GWC"),"DIRECT_FLUID_TRANSITION","TRANSITION_INTERVAL")))</f>
        <v/>
      </c>
      <c r="Q58" s="19">
        <f>IF(G58="","",IF(N58="Conflicts","Investigate contact interpretation / saturation behaviour",IF(OR(F58="OWC",F58="GOC",F58="GWC"),"Candidate contact — validate with logs, pressure and dynamic evidence","Transition zone — do not force to a sharp contact")))</f>
        <v/>
      </c>
    </row>
    <row r="59">
      <c r="A59" s="19">
        <f>IF(AND(Master_Data!A59&lt;&gt;"",Master_Data!A59=Master_Data!A60),Master_Data!A59,"")</f>
        <v/>
      </c>
      <c r="B59" s="19">
        <f>IF($A59="","",Master_Data!B59)</f>
        <v/>
      </c>
      <c r="C59" s="19">
        <f>IF($A59="","",Master_Data!B60)</f>
        <v/>
      </c>
      <c r="D59" s="19">
        <f>IF($A59="","",Master_Data!Q59)</f>
        <v/>
      </c>
      <c r="E59" s="19">
        <f>IF($A59="","",Master_Data!Q60)</f>
        <v/>
      </c>
      <c r="F59" s="19">
        <f>IF($A59="","",IF(AND(D59="GAS",E59="OIL"),"GOC",IF(AND(D59="OIL",E59="WATER"),"OWC",IF(AND(D59="GAS",E59="WATER"),"GWC",IF(AND(D59="OIL",E59="OIL_WATER"),"OWC_TRANSITION",IF(AND(D59="OIL_WATER",E59="WATER"),"OWC_TRANSITION",IF(AND(D59="GAS",E59="GAS_WATER"),"GOC_TRANSITION",IF(AND(D59="GAS_WATER",E59="OIL"),"GOC_TRANSITION",IF(OR(D59="OIL_WATER",D59="GAS_WATER"),"TRANSITION_INTERVAL","")))))))))</f>
        <v/>
      </c>
      <c r="G59" s="20">
        <f>IF(OR(F59="",Master_Data!R59="",Master_Data!S59=""),"",IF(RIGHT(F59,10)="TRANSITION",AVERAGE(Master_Data!R59:Master_Data!S59),AVERAGE(Master_Data!S59,Master_Data!R60)))</f>
        <v/>
      </c>
      <c r="H59" s="20">
        <f>IF(G59="","",MAX(Settings!$B$4,Settings!$B$5*AVERAGE(IF(Master_Data!O59&lt;&gt;"",Master_Data!O59,Master_Data!H59),IF(Master_Data!O60&lt;&gt;"",Master_Data!O60,Master_Data!H60))))</f>
        <v/>
      </c>
      <c r="I59" s="20">
        <f>IF(G59="","",G59-H59)</f>
        <v/>
      </c>
      <c r="J59" s="20">
        <f>IF(G59="","",G59+H59)</f>
        <v/>
      </c>
      <c r="K59" s="20">
        <f>IF($A59="","",Master_Data!G59)</f>
        <v/>
      </c>
      <c r="L59" s="20">
        <f>IF($A59="","",Master_Data!G60)</f>
        <v/>
      </c>
      <c r="M59" s="20">
        <f>IF(AND(ISNUMBER(K59),ISNUMBER(L59)),L59-K59,"")</f>
        <v/>
      </c>
      <c r="N59" s="19">
        <f>IF(G59="","",IF(AND(ISNUMBER(K59),ISNUMBER(L59)),IF(OR(F59="GOC",F59="OWC",F59="GWC",F59="OWC_TRANSITION",F59="GOC_TRANSITION"),IF(L59&gt;=K59,"Supports","Conflicts"),"N/A"),"No Sw"))</f>
        <v/>
      </c>
      <c r="O59" s="20">
        <f>IF(G59="","",Settings!$B$6*IF(OR(F59="GOC",F59="OWC",F59="GWC"),1,0.7)+Settings!$B$7*IF(N59="Supports",1,IF(N59="Conflicts",0,0.5))+Settings!$B$8*IF(AND(Master_Data!R59&lt;&gt;"",Master_Data!S59&lt;&gt;"",Master_Data!R60&lt;&gt;"",Master_Data!S60&lt;&gt;""),1,0.5))</f>
        <v/>
      </c>
      <c r="P59" s="19">
        <f>IF(G59="","",IF(N59="Conflicts","SW_CONFLICT",IF(OR(F59="GOC",F59="OWC",F59="GWC"),"DIRECT_FLUID_TRANSITION","TRANSITION_INTERVAL")))</f>
        <v/>
      </c>
      <c r="Q59" s="19">
        <f>IF(G59="","",IF(N59="Conflicts","Investigate contact interpretation / saturation behaviour",IF(OR(F59="OWC",F59="GOC",F59="GWC"),"Candidate contact — validate with logs, pressure and dynamic evidence","Transition zone — do not force to a sharp contact")))</f>
        <v/>
      </c>
    </row>
    <row r="60">
      <c r="A60" s="19">
        <f>IF(AND(Master_Data!A60&lt;&gt;"",Master_Data!A60=Master_Data!A61),Master_Data!A60,"")</f>
        <v/>
      </c>
      <c r="B60" s="19">
        <f>IF($A60="","",Master_Data!B60)</f>
        <v/>
      </c>
      <c r="C60" s="19">
        <f>IF($A60="","",Master_Data!B61)</f>
        <v/>
      </c>
      <c r="D60" s="19">
        <f>IF($A60="","",Master_Data!Q60)</f>
        <v/>
      </c>
      <c r="E60" s="19">
        <f>IF($A60="","",Master_Data!Q61)</f>
        <v/>
      </c>
      <c r="F60" s="19">
        <f>IF($A60="","",IF(AND(D60="GAS",E60="OIL"),"GOC",IF(AND(D60="OIL",E60="WATER"),"OWC",IF(AND(D60="GAS",E60="WATER"),"GWC",IF(AND(D60="OIL",E60="OIL_WATER"),"OWC_TRANSITION",IF(AND(D60="OIL_WATER",E60="WATER"),"OWC_TRANSITION",IF(AND(D60="GAS",E60="GAS_WATER"),"GOC_TRANSITION",IF(AND(D60="GAS_WATER",E60="OIL"),"GOC_TRANSITION",IF(OR(D60="OIL_WATER",D60="GAS_WATER"),"TRANSITION_INTERVAL","")))))))))</f>
        <v/>
      </c>
      <c r="G60" s="20">
        <f>IF(OR(F60="",Master_Data!R60="",Master_Data!S60=""),"",IF(RIGHT(F60,10)="TRANSITION",AVERAGE(Master_Data!R60:Master_Data!S60),AVERAGE(Master_Data!S60,Master_Data!R61)))</f>
        <v/>
      </c>
      <c r="H60" s="20">
        <f>IF(G60="","",MAX(Settings!$B$4,Settings!$B$5*AVERAGE(IF(Master_Data!O60&lt;&gt;"",Master_Data!O60,Master_Data!H60),IF(Master_Data!O61&lt;&gt;"",Master_Data!O61,Master_Data!H61))))</f>
        <v/>
      </c>
      <c r="I60" s="20">
        <f>IF(G60="","",G60-H60)</f>
        <v/>
      </c>
      <c r="J60" s="20">
        <f>IF(G60="","",G60+H60)</f>
        <v/>
      </c>
      <c r="K60" s="20">
        <f>IF($A60="","",Master_Data!G60)</f>
        <v/>
      </c>
      <c r="L60" s="20">
        <f>IF($A60="","",Master_Data!G61)</f>
        <v/>
      </c>
      <c r="M60" s="20">
        <f>IF(AND(ISNUMBER(K60),ISNUMBER(L60)),L60-K60,"")</f>
        <v/>
      </c>
      <c r="N60" s="19">
        <f>IF(G60="","",IF(AND(ISNUMBER(K60),ISNUMBER(L60)),IF(OR(F60="GOC",F60="OWC",F60="GWC",F60="OWC_TRANSITION",F60="GOC_TRANSITION"),IF(L60&gt;=K60,"Supports","Conflicts"),"N/A"),"No Sw"))</f>
        <v/>
      </c>
      <c r="O60" s="20">
        <f>IF(G60="","",Settings!$B$6*IF(OR(F60="GOC",F60="OWC",F60="GWC"),1,0.7)+Settings!$B$7*IF(N60="Supports",1,IF(N60="Conflicts",0,0.5))+Settings!$B$8*IF(AND(Master_Data!R60&lt;&gt;"",Master_Data!S60&lt;&gt;"",Master_Data!R61&lt;&gt;"",Master_Data!S61&lt;&gt;""),1,0.5))</f>
        <v/>
      </c>
      <c r="P60" s="19">
        <f>IF(G60="","",IF(N60="Conflicts","SW_CONFLICT",IF(OR(F60="GOC",F60="OWC",F60="GWC"),"DIRECT_FLUID_TRANSITION","TRANSITION_INTERVAL")))</f>
        <v/>
      </c>
      <c r="Q60" s="19">
        <f>IF(G60="","",IF(N60="Conflicts","Investigate contact interpretation / saturation behaviour",IF(OR(F60="OWC",F60="GOC",F60="GWC"),"Candidate contact — validate with logs, pressure and dynamic evidence","Transition zone — do not force to a sharp contact")))</f>
        <v/>
      </c>
    </row>
    <row r="61">
      <c r="A61" s="19">
        <f>IF(AND(Master_Data!A61&lt;&gt;"",Master_Data!A61=Master_Data!A62),Master_Data!A61,"")</f>
        <v/>
      </c>
      <c r="B61" s="19">
        <f>IF($A61="","",Master_Data!B61)</f>
        <v/>
      </c>
      <c r="C61" s="19">
        <f>IF($A61="","",Master_Data!B62)</f>
        <v/>
      </c>
      <c r="D61" s="19">
        <f>IF($A61="","",Master_Data!Q61)</f>
        <v/>
      </c>
      <c r="E61" s="19">
        <f>IF($A61="","",Master_Data!Q62)</f>
        <v/>
      </c>
      <c r="F61" s="19">
        <f>IF($A61="","",IF(AND(D61="GAS",E61="OIL"),"GOC",IF(AND(D61="OIL",E61="WATER"),"OWC",IF(AND(D61="GAS",E61="WATER"),"GWC",IF(AND(D61="OIL",E61="OIL_WATER"),"OWC_TRANSITION",IF(AND(D61="OIL_WATER",E61="WATER"),"OWC_TRANSITION",IF(AND(D61="GAS",E61="GAS_WATER"),"GOC_TRANSITION",IF(AND(D61="GAS_WATER",E61="OIL"),"GOC_TRANSITION",IF(OR(D61="OIL_WATER",D61="GAS_WATER"),"TRANSITION_INTERVAL","")))))))))</f>
        <v/>
      </c>
      <c r="G61" s="20">
        <f>IF(OR(F61="",Master_Data!R61="",Master_Data!S61=""),"",IF(RIGHT(F61,10)="TRANSITION",AVERAGE(Master_Data!R61:Master_Data!S61),AVERAGE(Master_Data!S61,Master_Data!R62)))</f>
        <v/>
      </c>
      <c r="H61" s="20">
        <f>IF(G61="","",MAX(Settings!$B$4,Settings!$B$5*AVERAGE(IF(Master_Data!O61&lt;&gt;"",Master_Data!O61,Master_Data!H61),IF(Master_Data!O62&lt;&gt;"",Master_Data!O62,Master_Data!H62))))</f>
        <v/>
      </c>
      <c r="I61" s="20">
        <f>IF(G61="","",G61-H61)</f>
        <v/>
      </c>
      <c r="J61" s="20">
        <f>IF(G61="","",G61+H61)</f>
        <v/>
      </c>
      <c r="K61" s="20">
        <f>IF($A61="","",Master_Data!G61)</f>
        <v/>
      </c>
      <c r="L61" s="20">
        <f>IF($A61="","",Master_Data!G62)</f>
        <v/>
      </c>
      <c r="M61" s="20">
        <f>IF(AND(ISNUMBER(K61),ISNUMBER(L61)),L61-K61,"")</f>
        <v/>
      </c>
      <c r="N61" s="19">
        <f>IF(G61="","",IF(AND(ISNUMBER(K61),ISNUMBER(L61)),IF(OR(F61="GOC",F61="OWC",F61="GWC",F61="OWC_TRANSITION",F61="GOC_TRANSITION"),IF(L61&gt;=K61,"Supports","Conflicts"),"N/A"),"No Sw"))</f>
        <v/>
      </c>
      <c r="O61" s="20">
        <f>IF(G61="","",Settings!$B$6*IF(OR(F61="GOC",F61="OWC",F61="GWC"),1,0.7)+Settings!$B$7*IF(N61="Supports",1,IF(N61="Conflicts",0,0.5))+Settings!$B$8*IF(AND(Master_Data!R61&lt;&gt;"",Master_Data!S61&lt;&gt;"",Master_Data!R62&lt;&gt;"",Master_Data!S62&lt;&gt;""),1,0.5))</f>
        <v/>
      </c>
      <c r="P61" s="19">
        <f>IF(G61="","",IF(N61="Conflicts","SW_CONFLICT",IF(OR(F61="GOC",F61="OWC",F61="GWC"),"DIRECT_FLUID_TRANSITION","TRANSITION_INTERVAL")))</f>
        <v/>
      </c>
      <c r="Q61" s="19">
        <f>IF(G61="","",IF(N61="Conflicts","Investigate contact interpretation / saturation behaviour",IF(OR(F61="OWC",F61="GOC",F61="GWC"),"Candidate contact — validate with logs, pressure and dynamic evidence","Transition zone — do not force to a sharp contact")))</f>
        <v/>
      </c>
    </row>
    <row r="62">
      <c r="A62" s="19">
        <f>IF(AND(Master_Data!A62&lt;&gt;"",Master_Data!A62=Master_Data!A63),Master_Data!A62,"")</f>
        <v/>
      </c>
      <c r="B62" s="19">
        <f>IF($A62="","",Master_Data!B62)</f>
        <v/>
      </c>
      <c r="C62" s="19">
        <f>IF($A62="","",Master_Data!B63)</f>
        <v/>
      </c>
      <c r="D62" s="19">
        <f>IF($A62="","",Master_Data!Q62)</f>
        <v/>
      </c>
      <c r="E62" s="19">
        <f>IF($A62="","",Master_Data!Q63)</f>
        <v/>
      </c>
      <c r="F62" s="19">
        <f>IF($A62="","",IF(AND(D62="GAS",E62="OIL"),"GOC",IF(AND(D62="OIL",E62="WATER"),"OWC",IF(AND(D62="GAS",E62="WATER"),"GWC",IF(AND(D62="OIL",E62="OIL_WATER"),"OWC_TRANSITION",IF(AND(D62="OIL_WATER",E62="WATER"),"OWC_TRANSITION",IF(AND(D62="GAS",E62="GAS_WATER"),"GOC_TRANSITION",IF(AND(D62="GAS_WATER",E62="OIL"),"GOC_TRANSITION",IF(OR(D62="OIL_WATER",D62="GAS_WATER"),"TRANSITION_INTERVAL","")))))))))</f>
        <v/>
      </c>
      <c r="G62" s="20">
        <f>IF(OR(F62="",Master_Data!R62="",Master_Data!S62=""),"",IF(RIGHT(F62,10)="TRANSITION",AVERAGE(Master_Data!R62:Master_Data!S62),AVERAGE(Master_Data!S62,Master_Data!R63)))</f>
        <v/>
      </c>
      <c r="H62" s="20">
        <f>IF(G62="","",MAX(Settings!$B$4,Settings!$B$5*AVERAGE(IF(Master_Data!O62&lt;&gt;"",Master_Data!O62,Master_Data!H62),IF(Master_Data!O63&lt;&gt;"",Master_Data!O63,Master_Data!H63))))</f>
        <v/>
      </c>
      <c r="I62" s="20">
        <f>IF(G62="","",G62-H62)</f>
        <v/>
      </c>
      <c r="J62" s="20">
        <f>IF(G62="","",G62+H62)</f>
        <v/>
      </c>
      <c r="K62" s="20">
        <f>IF($A62="","",Master_Data!G62)</f>
        <v/>
      </c>
      <c r="L62" s="20">
        <f>IF($A62="","",Master_Data!G63)</f>
        <v/>
      </c>
      <c r="M62" s="20">
        <f>IF(AND(ISNUMBER(K62),ISNUMBER(L62)),L62-K62,"")</f>
        <v/>
      </c>
      <c r="N62" s="19">
        <f>IF(G62="","",IF(AND(ISNUMBER(K62),ISNUMBER(L62)),IF(OR(F62="GOC",F62="OWC",F62="GWC",F62="OWC_TRANSITION",F62="GOC_TRANSITION"),IF(L62&gt;=K62,"Supports","Conflicts"),"N/A"),"No Sw"))</f>
        <v/>
      </c>
      <c r="O62" s="20">
        <f>IF(G62="","",Settings!$B$6*IF(OR(F62="GOC",F62="OWC",F62="GWC"),1,0.7)+Settings!$B$7*IF(N62="Supports",1,IF(N62="Conflicts",0,0.5))+Settings!$B$8*IF(AND(Master_Data!R62&lt;&gt;"",Master_Data!S62&lt;&gt;"",Master_Data!R63&lt;&gt;"",Master_Data!S63&lt;&gt;""),1,0.5))</f>
        <v/>
      </c>
      <c r="P62" s="19">
        <f>IF(G62="","",IF(N62="Conflicts","SW_CONFLICT",IF(OR(F62="GOC",F62="OWC",F62="GWC"),"DIRECT_FLUID_TRANSITION","TRANSITION_INTERVAL")))</f>
        <v/>
      </c>
      <c r="Q62" s="19">
        <f>IF(G62="","",IF(N62="Conflicts","Investigate contact interpretation / saturation behaviour",IF(OR(F62="OWC",F62="GOC",F62="GWC"),"Candidate contact — validate with logs, pressure and dynamic evidence","Transition zone — do not force to a sharp contact")))</f>
        <v/>
      </c>
    </row>
    <row r="63">
      <c r="A63" s="19">
        <f>IF(AND(Master_Data!A63&lt;&gt;"",Master_Data!A63=Master_Data!A64),Master_Data!A63,"")</f>
        <v/>
      </c>
      <c r="B63" s="19">
        <f>IF($A63="","",Master_Data!B63)</f>
        <v/>
      </c>
      <c r="C63" s="19">
        <f>IF($A63="","",Master_Data!B64)</f>
        <v/>
      </c>
      <c r="D63" s="19">
        <f>IF($A63="","",Master_Data!Q63)</f>
        <v/>
      </c>
      <c r="E63" s="19">
        <f>IF($A63="","",Master_Data!Q64)</f>
        <v/>
      </c>
      <c r="F63" s="19">
        <f>IF($A63="","",IF(AND(D63="GAS",E63="OIL"),"GOC",IF(AND(D63="OIL",E63="WATER"),"OWC",IF(AND(D63="GAS",E63="WATER"),"GWC",IF(AND(D63="OIL",E63="OIL_WATER"),"OWC_TRANSITION",IF(AND(D63="OIL_WATER",E63="WATER"),"OWC_TRANSITION",IF(AND(D63="GAS",E63="GAS_WATER"),"GOC_TRANSITION",IF(AND(D63="GAS_WATER",E63="OIL"),"GOC_TRANSITION",IF(OR(D63="OIL_WATER",D63="GAS_WATER"),"TRANSITION_INTERVAL","")))))))))</f>
        <v/>
      </c>
      <c r="G63" s="20">
        <f>IF(OR(F63="",Master_Data!R63="",Master_Data!S63=""),"",IF(RIGHT(F63,10)="TRANSITION",AVERAGE(Master_Data!R63:Master_Data!S63),AVERAGE(Master_Data!S63,Master_Data!R64)))</f>
        <v/>
      </c>
      <c r="H63" s="20">
        <f>IF(G63="","",MAX(Settings!$B$4,Settings!$B$5*AVERAGE(IF(Master_Data!O63&lt;&gt;"",Master_Data!O63,Master_Data!H63),IF(Master_Data!O64&lt;&gt;"",Master_Data!O64,Master_Data!H64))))</f>
        <v/>
      </c>
      <c r="I63" s="20">
        <f>IF(G63="","",G63-H63)</f>
        <v/>
      </c>
      <c r="J63" s="20">
        <f>IF(G63="","",G63+H63)</f>
        <v/>
      </c>
      <c r="K63" s="20">
        <f>IF($A63="","",Master_Data!G63)</f>
        <v/>
      </c>
      <c r="L63" s="20">
        <f>IF($A63="","",Master_Data!G64)</f>
        <v/>
      </c>
      <c r="M63" s="20">
        <f>IF(AND(ISNUMBER(K63),ISNUMBER(L63)),L63-K63,"")</f>
        <v/>
      </c>
      <c r="N63" s="19">
        <f>IF(G63="","",IF(AND(ISNUMBER(K63),ISNUMBER(L63)),IF(OR(F63="GOC",F63="OWC",F63="GWC",F63="OWC_TRANSITION",F63="GOC_TRANSITION"),IF(L63&gt;=K63,"Supports","Conflicts"),"N/A"),"No Sw"))</f>
        <v/>
      </c>
      <c r="O63" s="20">
        <f>IF(G63="","",Settings!$B$6*IF(OR(F63="GOC",F63="OWC",F63="GWC"),1,0.7)+Settings!$B$7*IF(N63="Supports",1,IF(N63="Conflicts",0,0.5))+Settings!$B$8*IF(AND(Master_Data!R63&lt;&gt;"",Master_Data!S63&lt;&gt;"",Master_Data!R64&lt;&gt;"",Master_Data!S64&lt;&gt;""),1,0.5))</f>
        <v/>
      </c>
      <c r="P63" s="19">
        <f>IF(G63="","",IF(N63="Conflicts","SW_CONFLICT",IF(OR(F63="GOC",F63="OWC",F63="GWC"),"DIRECT_FLUID_TRANSITION","TRANSITION_INTERVAL")))</f>
        <v/>
      </c>
      <c r="Q63" s="19">
        <f>IF(G63="","",IF(N63="Conflicts","Investigate contact interpretation / saturation behaviour",IF(OR(F63="OWC",F63="GOC",F63="GWC"),"Candidate contact — validate with logs, pressure and dynamic evidence","Transition zone — do not force to a sharp contact")))</f>
        <v/>
      </c>
    </row>
    <row r="64">
      <c r="A64" s="19">
        <f>IF(AND(Master_Data!A64&lt;&gt;"",Master_Data!A64=Master_Data!A65),Master_Data!A64,"")</f>
        <v/>
      </c>
      <c r="B64" s="19">
        <f>IF($A64="","",Master_Data!B64)</f>
        <v/>
      </c>
      <c r="C64" s="19">
        <f>IF($A64="","",Master_Data!B65)</f>
        <v/>
      </c>
      <c r="D64" s="19">
        <f>IF($A64="","",Master_Data!Q64)</f>
        <v/>
      </c>
      <c r="E64" s="19">
        <f>IF($A64="","",Master_Data!Q65)</f>
        <v/>
      </c>
      <c r="F64" s="19">
        <f>IF($A64="","",IF(AND(D64="GAS",E64="OIL"),"GOC",IF(AND(D64="OIL",E64="WATER"),"OWC",IF(AND(D64="GAS",E64="WATER"),"GWC",IF(AND(D64="OIL",E64="OIL_WATER"),"OWC_TRANSITION",IF(AND(D64="OIL_WATER",E64="WATER"),"OWC_TRANSITION",IF(AND(D64="GAS",E64="GAS_WATER"),"GOC_TRANSITION",IF(AND(D64="GAS_WATER",E64="OIL"),"GOC_TRANSITION",IF(OR(D64="OIL_WATER",D64="GAS_WATER"),"TRANSITION_INTERVAL","")))))))))</f>
        <v/>
      </c>
      <c r="G64" s="20">
        <f>IF(OR(F64="",Master_Data!R64="",Master_Data!S64=""),"",IF(RIGHT(F64,10)="TRANSITION",AVERAGE(Master_Data!R64:Master_Data!S64),AVERAGE(Master_Data!S64,Master_Data!R65)))</f>
        <v/>
      </c>
      <c r="H64" s="20">
        <f>IF(G64="","",MAX(Settings!$B$4,Settings!$B$5*AVERAGE(IF(Master_Data!O64&lt;&gt;"",Master_Data!O64,Master_Data!H64),IF(Master_Data!O65&lt;&gt;"",Master_Data!O65,Master_Data!H65))))</f>
        <v/>
      </c>
      <c r="I64" s="20">
        <f>IF(G64="","",G64-H64)</f>
        <v/>
      </c>
      <c r="J64" s="20">
        <f>IF(G64="","",G64+H64)</f>
        <v/>
      </c>
      <c r="K64" s="20">
        <f>IF($A64="","",Master_Data!G64)</f>
        <v/>
      </c>
      <c r="L64" s="20">
        <f>IF($A64="","",Master_Data!G65)</f>
        <v/>
      </c>
      <c r="M64" s="20">
        <f>IF(AND(ISNUMBER(K64),ISNUMBER(L64)),L64-K64,"")</f>
        <v/>
      </c>
      <c r="N64" s="19">
        <f>IF(G64="","",IF(AND(ISNUMBER(K64),ISNUMBER(L64)),IF(OR(F64="GOC",F64="OWC",F64="GWC",F64="OWC_TRANSITION",F64="GOC_TRANSITION"),IF(L64&gt;=K64,"Supports","Conflicts"),"N/A"),"No Sw"))</f>
        <v/>
      </c>
      <c r="O64" s="20">
        <f>IF(G64="","",Settings!$B$6*IF(OR(F64="GOC",F64="OWC",F64="GWC"),1,0.7)+Settings!$B$7*IF(N64="Supports",1,IF(N64="Conflicts",0,0.5))+Settings!$B$8*IF(AND(Master_Data!R64&lt;&gt;"",Master_Data!S64&lt;&gt;"",Master_Data!R65&lt;&gt;"",Master_Data!S65&lt;&gt;""),1,0.5))</f>
        <v/>
      </c>
      <c r="P64" s="19">
        <f>IF(G64="","",IF(N64="Conflicts","SW_CONFLICT",IF(OR(F64="GOC",F64="OWC",F64="GWC"),"DIRECT_FLUID_TRANSITION","TRANSITION_INTERVAL")))</f>
        <v/>
      </c>
      <c r="Q64" s="19">
        <f>IF(G64="","",IF(N64="Conflicts","Investigate contact interpretation / saturation behaviour",IF(OR(F64="OWC",F64="GOC",F64="GWC"),"Candidate contact — validate with logs, pressure and dynamic evidence","Transition zone — do not force to a sharp contact")))</f>
        <v/>
      </c>
    </row>
    <row r="65">
      <c r="A65" s="19">
        <f>IF(AND(Master_Data!A65&lt;&gt;"",Master_Data!A65=Master_Data!A66),Master_Data!A65,"")</f>
        <v/>
      </c>
      <c r="B65" s="19">
        <f>IF($A65="","",Master_Data!B65)</f>
        <v/>
      </c>
      <c r="C65" s="19">
        <f>IF($A65="","",Master_Data!B66)</f>
        <v/>
      </c>
      <c r="D65" s="19">
        <f>IF($A65="","",Master_Data!Q65)</f>
        <v/>
      </c>
      <c r="E65" s="19">
        <f>IF($A65="","",Master_Data!Q66)</f>
        <v/>
      </c>
      <c r="F65" s="19">
        <f>IF($A65="","",IF(AND(D65="GAS",E65="OIL"),"GOC",IF(AND(D65="OIL",E65="WATER"),"OWC",IF(AND(D65="GAS",E65="WATER"),"GWC",IF(AND(D65="OIL",E65="OIL_WATER"),"OWC_TRANSITION",IF(AND(D65="OIL_WATER",E65="WATER"),"OWC_TRANSITION",IF(AND(D65="GAS",E65="GAS_WATER"),"GOC_TRANSITION",IF(AND(D65="GAS_WATER",E65="OIL"),"GOC_TRANSITION",IF(OR(D65="OIL_WATER",D65="GAS_WATER"),"TRANSITION_INTERVAL","")))))))))</f>
        <v/>
      </c>
      <c r="G65" s="20">
        <f>IF(OR(F65="",Master_Data!R65="",Master_Data!S65=""),"",IF(RIGHT(F65,10)="TRANSITION",AVERAGE(Master_Data!R65:Master_Data!S65),AVERAGE(Master_Data!S65,Master_Data!R66)))</f>
        <v/>
      </c>
      <c r="H65" s="20">
        <f>IF(G65="","",MAX(Settings!$B$4,Settings!$B$5*AVERAGE(IF(Master_Data!O65&lt;&gt;"",Master_Data!O65,Master_Data!H65),IF(Master_Data!O66&lt;&gt;"",Master_Data!O66,Master_Data!H66))))</f>
        <v/>
      </c>
      <c r="I65" s="20">
        <f>IF(G65="","",G65-H65)</f>
        <v/>
      </c>
      <c r="J65" s="20">
        <f>IF(G65="","",G65+H65)</f>
        <v/>
      </c>
      <c r="K65" s="20">
        <f>IF($A65="","",Master_Data!G65)</f>
        <v/>
      </c>
      <c r="L65" s="20">
        <f>IF($A65="","",Master_Data!G66)</f>
        <v/>
      </c>
      <c r="M65" s="20">
        <f>IF(AND(ISNUMBER(K65),ISNUMBER(L65)),L65-K65,"")</f>
        <v/>
      </c>
      <c r="N65" s="19">
        <f>IF(G65="","",IF(AND(ISNUMBER(K65),ISNUMBER(L65)),IF(OR(F65="GOC",F65="OWC",F65="GWC",F65="OWC_TRANSITION",F65="GOC_TRANSITION"),IF(L65&gt;=K65,"Supports","Conflicts"),"N/A"),"No Sw"))</f>
        <v/>
      </c>
      <c r="O65" s="20">
        <f>IF(G65="","",Settings!$B$6*IF(OR(F65="GOC",F65="OWC",F65="GWC"),1,0.7)+Settings!$B$7*IF(N65="Supports",1,IF(N65="Conflicts",0,0.5))+Settings!$B$8*IF(AND(Master_Data!R65&lt;&gt;"",Master_Data!S65&lt;&gt;"",Master_Data!R66&lt;&gt;"",Master_Data!S66&lt;&gt;""),1,0.5))</f>
        <v/>
      </c>
      <c r="P65" s="19">
        <f>IF(G65="","",IF(N65="Conflicts","SW_CONFLICT",IF(OR(F65="GOC",F65="OWC",F65="GWC"),"DIRECT_FLUID_TRANSITION","TRANSITION_INTERVAL")))</f>
        <v/>
      </c>
      <c r="Q65" s="19">
        <f>IF(G65="","",IF(N65="Conflicts","Investigate contact interpretation / saturation behaviour",IF(OR(F65="OWC",F65="GOC",F65="GWC"),"Candidate contact — validate with logs, pressure and dynamic evidence","Transition zone — do not force to a sharp contact")))</f>
        <v/>
      </c>
    </row>
    <row r="66">
      <c r="A66" s="19">
        <f>IF(AND(Master_Data!A66&lt;&gt;"",Master_Data!A66=Master_Data!A67),Master_Data!A66,"")</f>
        <v/>
      </c>
      <c r="B66" s="19">
        <f>IF($A66="","",Master_Data!B66)</f>
        <v/>
      </c>
      <c r="C66" s="19">
        <f>IF($A66="","",Master_Data!B67)</f>
        <v/>
      </c>
      <c r="D66" s="19">
        <f>IF($A66="","",Master_Data!Q66)</f>
        <v/>
      </c>
      <c r="E66" s="19">
        <f>IF($A66="","",Master_Data!Q67)</f>
        <v/>
      </c>
      <c r="F66" s="19">
        <f>IF($A66="","",IF(AND(D66="GAS",E66="OIL"),"GOC",IF(AND(D66="OIL",E66="WATER"),"OWC",IF(AND(D66="GAS",E66="WATER"),"GWC",IF(AND(D66="OIL",E66="OIL_WATER"),"OWC_TRANSITION",IF(AND(D66="OIL_WATER",E66="WATER"),"OWC_TRANSITION",IF(AND(D66="GAS",E66="GAS_WATER"),"GOC_TRANSITION",IF(AND(D66="GAS_WATER",E66="OIL"),"GOC_TRANSITION",IF(OR(D66="OIL_WATER",D66="GAS_WATER"),"TRANSITION_INTERVAL","")))))))))</f>
        <v/>
      </c>
      <c r="G66" s="20">
        <f>IF(OR(F66="",Master_Data!R66="",Master_Data!S66=""),"",IF(RIGHT(F66,10)="TRANSITION",AVERAGE(Master_Data!R66:Master_Data!S66),AVERAGE(Master_Data!S66,Master_Data!R67)))</f>
        <v/>
      </c>
      <c r="H66" s="20">
        <f>IF(G66="","",MAX(Settings!$B$4,Settings!$B$5*AVERAGE(IF(Master_Data!O66&lt;&gt;"",Master_Data!O66,Master_Data!H66),IF(Master_Data!O67&lt;&gt;"",Master_Data!O67,Master_Data!H67))))</f>
        <v/>
      </c>
      <c r="I66" s="20">
        <f>IF(G66="","",G66-H66)</f>
        <v/>
      </c>
      <c r="J66" s="20">
        <f>IF(G66="","",G66+H66)</f>
        <v/>
      </c>
      <c r="K66" s="20">
        <f>IF($A66="","",Master_Data!G66)</f>
        <v/>
      </c>
      <c r="L66" s="20">
        <f>IF($A66="","",Master_Data!G67)</f>
        <v/>
      </c>
      <c r="M66" s="20">
        <f>IF(AND(ISNUMBER(K66),ISNUMBER(L66)),L66-K66,"")</f>
        <v/>
      </c>
      <c r="N66" s="19">
        <f>IF(G66="","",IF(AND(ISNUMBER(K66),ISNUMBER(L66)),IF(OR(F66="GOC",F66="OWC",F66="GWC",F66="OWC_TRANSITION",F66="GOC_TRANSITION"),IF(L66&gt;=K66,"Supports","Conflicts"),"N/A"),"No Sw"))</f>
        <v/>
      </c>
      <c r="O66" s="20">
        <f>IF(G66="","",Settings!$B$6*IF(OR(F66="GOC",F66="OWC",F66="GWC"),1,0.7)+Settings!$B$7*IF(N66="Supports",1,IF(N66="Conflicts",0,0.5))+Settings!$B$8*IF(AND(Master_Data!R66&lt;&gt;"",Master_Data!S66&lt;&gt;"",Master_Data!R67&lt;&gt;"",Master_Data!S67&lt;&gt;""),1,0.5))</f>
        <v/>
      </c>
      <c r="P66" s="19">
        <f>IF(G66="","",IF(N66="Conflicts","SW_CONFLICT",IF(OR(F66="GOC",F66="OWC",F66="GWC"),"DIRECT_FLUID_TRANSITION","TRANSITION_INTERVAL")))</f>
        <v/>
      </c>
      <c r="Q66" s="19">
        <f>IF(G66="","",IF(N66="Conflicts","Investigate contact interpretation / saturation behaviour",IF(OR(F66="OWC",F66="GOC",F66="GWC"),"Candidate contact — validate with logs, pressure and dynamic evidence","Transition zone — do not force to a sharp contact")))</f>
        <v/>
      </c>
    </row>
    <row r="67">
      <c r="A67" s="19">
        <f>IF(AND(Master_Data!A67&lt;&gt;"",Master_Data!A67=Master_Data!A68),Master_Data!A67,"")</f>
        <v/>
      </c>
      <c r="B67" s="19">
        <f>IF($A67="","",Master_Data!B67)</f>
        <v/>
      </c>
      <c r="C67" s="19">
        <f>IF($A67="","",Master_Data!B68)</f>
        <v/>
      </c>
      <c r="D67" s="19">
        <f>IF($A67="","",Master_Data!Q67)</f>
        <v/>
      </c>
      <c r="E67" s="19">
        <f>IF($A67="","",Master_Data!Q68)</f>
        <v/>
      </c>
      <c r="F67" s="19">
        <f>IF($A67="","",IF(AND(D67="GAS",E67="OIL"),"GOC",IF(AND(D67="OIL",E67="WATER"),"OWC",IF(AND(D67="GAS",E67="WATER"),"GWC",IF(AND(D67="OIL",E67="OIL_WATER"),"OWC_TRANSITION",IF(AND(D67="OIL_WATER",E67="WATER"),"OWC_TRANSITION",IF(AND(D67="GAS",E67="GAS_WATER"),"GOC_TRANSITION",IF(AND(D67="GAS_WATER",E67="OIL"),"GOC_TRANSITION",IF(OR(D67="OIL_WATER",D67="GAS_WATER"),"TRANSITION_INTERVAL","")))))))))</f>
        <v/>
      </c>
      <c r="G67" s="20">
        <f>IF(OR(F67="",Master_Data!R67="",Master_Data!S67=""),"",IF(RIGHT(F67,10)="TRANSITION",AVERAGE(Master_Data!R67:Master_Data!S67),AVERAGE(Master_Data!S67,Master_Data!R68)))</f>
        <v/>
      </c>
      <c r="H67" s="20">
        <f>IF(G67="","",MAX(Settings!$B$4,Settings!$B$5*AVERAGE(IF(Master_Data!O67&lt;&gt;"",Master_Data!O67,Master_Data!H67),IF(Master_Data!O68&lt;&gt;"",Master_Data!O68,Master_Data!H68))))</f>
        <v/>
      </c>
      <c r="I67" s="20">
        <f>IF(G67="","",G67-H67)</f>
        <v/>
      </c>
      <c r="J67" s="20">
        <f>IF(G67="","",G67+H67)</f>
        <v/>
      </c>
      <c r="K67" s="20">
        <f>IF($A67="","",Master_Data!G67)</f>
        <v/>
      </c>
      <c r="L67" s="20">
        <f>IF($A67="","",Master_Data!G68)</f>
        <v/>
      </c>
      <c r="M67" s="20">
        <f>IF(AND(ISNUMBER(K67),ISNUMBER(L67)),L67-K67,"")</f>
        <v/>
      </c>
      <c r="N67" s="19">
        <f>IF(G67="","",IF(AND(ISNUMBER(K67),ISNUMBER(L67)),IF(OR(F67="GOC",F67="OWC",F67="GWC",F67="OWC_TRANSITION",F67="GOC_TRANSITION"),IF(L67&gt;=K67,"Supports","Conflicts"),"N/A"),"No Sw"))</f>
        <v/>
      </c>
      <c r="O67" s="20">
        <f>IF(G67="","",Settings!$B$6*IF(OR(F67="GOC",F67="OWC",F67="GWC"),1,0.7)+Settings!$B$7*IF(N67="Supports",1,IF(N67="Conflicts",0,0.5))+Settings!$B$8*IF(AND(Master_Data!R67&lt;&gt;"",Master_Data!S67&lt;&gt;"",Master_Data!R68&lt;&gt;"",Master_Data!S68&lt;&gt;""),1,0.5))</f>
        <v/>
      </c>
      <c r="P67" s="19">
        <f>IF(G67="","",IF(N67="Conflicts","SW_CONFLICT",IF(OR(F67="GOC",F67="OWC",F67="GWC"),"DIRECT_FLUID_TRANSITION","TRANSITION_INTERVAL")))</f>
        <v/>
      </c>
      <c r="Q67" s="19">
        <f>IF(G67="","",IF(N67="Conflicts","Investigate contact interpretation / saturation behaviour",IF(OR(F67="OWC",F67="GOC",F67="GWC"),"Candidate contact — validate with logs, pressure and dynamic evidence","Transition zone — do not force to a sharp contact")))</f>
        <v/>
      </c>
    </row>
    <row r="68">
      <c r="A68" s="19">
        <f>IF(AND(Master_Data!A68&lt;&gt;"",Master_Data!A68=Master_Data!A69),Master_Data!A68,"")</f>
        <v/>
      </c>
      <c r="B68" s="19">
        <f>IF($A68="","",Master_Data!B68)</f>
        <v/>
      </c>
      <c r="C68" s="19">
        <f>IF($A68="","",Master_Data!B69)</f>
        <v/>
      </c>
      <c r="D68" s="19">
        <f>IF($A68="","",Master_Data!Q68)</f>
        <v/>
      </c>
      <c r="E68" s="19">
        <f>IF($A68="","",Master_Data!Q69)</f>
        <v/>
      </c>
      <c r="F68" s="19">
        <f>IF($A68="","",IF(AND(D68="GAS",E68="OIL"),"GOC",IF(AND(D68="OIL",E68="WATER"),"OWC",IF(AND(D68="GAS",E68="WATER"),"GWC",IF(AND(D68="OIL",E68="OIL_WATER"),"OWC_TRANSITION",IF(AND(D68="OIL_WATER",E68="WATER"),"OWC_TRANSITION",IF(AND(D68="GAS",E68="GAS_WATER"),"GOC_TRANSITION",IF(AND(D68="GAS_WATER",E68="OIL"),"GOC_TRANSITION",IF(OR(D68="OIL_WATER",D68="GAS_WATER"),"TRANSITION_INTERVAL","")))))))))</f>
        <v/>
      </c>
      <c r="G68" s="20">
        <f>IF(OR(F68="",Master_Data!R68="",Master_Data!S68=""),"",IF(RIGHT(F68,10)="TRANSITION",AVERAGE(Master_Data!R68:Master_Data!S68),AVERAGE(Master_Data!S68,Master_Data!R69)))</f>
        <v/>
      </c>
      <c r="H68" s="20">
        <f>IF(G68="","",MAX(Settings!$B$4,Settings!$B$5*AVERAGE(IF(Master_Data!O68&lt;&gt;"",Master_Data!O68,Master_Data!H68),IF(Master_Data!O69&lt;&gt;"",Master_Data!O69,Master_Data!H69))))</f>
        <v/>
      </c>
      <c r="I68" s="20">
        <f>IF(G68="","",G68-H68)</f>
        <v/>
      </c>
      <c r="J68" s="20">
        <f>IF(G68="","",G68+H68)</f>
        <v/>
      </c>
      <c r="K68" s="20">
        <f>IF($A68="","",Master_Data!G68)</f>
        <v/>
      </c>
      <c r="L68" s="20">
        <f>IF($A68="","",Master_Data!G69)</f>
        <v/>
      </c>
      <c r="M68" s="20">
        <f>IF(AND(ISNUMBER(K68),ISNUMBER(L68)),L68-K68,"")</f>
        <v/>
      </c>
      <c r="N68" s="19">
        <f>IF(G68="","",IF(AND(ISNUMBER(K68),ISNUMBER(L68)),IF(OR(F68="GOC",F68="OWC",F68="GWC",F68="OWC_TRANSITION",F68="GOC_TRANSITION"),IF(L68&gt;=K68,"Supports","Conflicts"),"N/A"),"No Sw"))</f>
        <v/>
      </c>
      <c r="O68" s="20">
        <f>IF(G68="","",Settings!$B$6*IF(OR(F68="GOC",F68="OWC",F68="GWC"),1,0.7)+Settings!$B$7*IF(N68="Supports",1,IF(N68="Conflicts",0,0.5))+Settings!$B$8*IF(AND(Master_Data!R68&lt;&gt;"",Master_Data!S68&lt;&gt;"",Master_Data!R69&lt;&gt;"",Master_Data!S69&lt;&gt;""),1,0.5))</f>
        <v/>
      </c>
      <c r="P68" s="19">
        <f>IF(G68="","",IF(N68="Conflicts","SW_CONFLICT",IF(OR(F68="GOC",F68="OWC",F68="GWC"),"DIRECT_FLUID_TRANSITION","TRANSITION_INTERVAL")))</f>
        <v/>
      </c>
      <c r="Q68" s="19">
        <f>IF(G68="","",IF(N68="Conflicts","Investigate contact interpretation / saturation behaviour",IF(OR(F68="OWC",F68="GOC",F68="GWC"),"Candidate contact — validate with logs, pressure and dynamic evidence","Transition zone — do not force to a sharp contact")))</f>
        <v/>
      </c>
    </row>
    <row r="69">
      <c r="A69" s="19">
        <f>IF(AND(Master_Data!A69&lt;&gt;"",Master_Data!A69=Master_Data!A70),Master_Data!A69,"")</f>
        <v/>
      </c>
      <c r="B69" s="19">
        <f>IF($A69="","",Master_Data!B69)</f>
        <v/>
      </c>
      <c r="C69" s="19">
        <f>IF($A69="","",Master_Data!B70)</f>
        <v/>
      </c>
      <c r="D69" s="19">
        <f>IF($A69="","",Master_Data!Q69)</f>
        <v/>
      </c>
      <c r="E69" s="19">
        <f>IF($A69="","",Master_Data!Q70)</f>
        <v/>
      </c>
      <c r="F69" s="19">
        <f>IF($A69="","",IF(AND(D69="GAS",E69="OIL"),"GOC",IF(AND(D69="OIL",E69="WATER"),"OWC",IF(AND(D69="GAS",E69="WATER"),"GWC",IF(AND(D69="OIL",E69="OIL_WATER"),"OWC_TRANSITION",IF(AND(D69="OIL_WATER",E69="WATER"),"OWC_TRANSITION",IF(AND(D69="GAS",E69="GAS_WATER"),"GOC_TRANSITION",IF(AND(D69="GAS_WATER",E69="OIL"),"GOC_TRANSITION",IF(OR(D69="OIL_WATER",D69="GAS_WATER"),"TRANSITION_INTERVAL","")))))))))</f>
        <v/>
      </c>
      <c r="G69" s="20">
        <f>IF(OR(F69="",Master_Data!R69="",Master_Data!S69=""),"",IF(RIGHT(F69,10)="TRANSITION",AVERAGE(Master_Data!R69:Master_Data!S69),AVERAGE(Master_Data!S69,Master_Data!R70)))</f>
        <v/>
      </c>
      <c r="H69" s="20">
        <f>IF(G69="","",MAX(Settings!$B$4,Settings!$B$5*AVERAGE(IF(Master_Data!O69&lt;&gt;"",Master_Data!O69,Master_Data!H69),IF(Master_Data!O70&lt;&gt;"",Master_Data!O70,Master_Data!H70))))</f>
        <v/>
      </c>
      <c r="I69" s="20">
        <f>IF(G69="","",G69-H69)</f>
        <v/>
      </c>
      <c r="J69" s="20">
        <f>IF(G69="","",G69+H69)</f>
        <v/>
      </c>
      <c r="K69" s="20">
        <f>IF($A69="","",Master_Data!G69)</f>
        <v/>
      </c>
      <c r="L69" s="20">
        <f>IF($A69="","",Master_Data!G70)</f>
        <v/>
      </c>
      <c r="M69" s="20">
        <f>IF(AND(ISNUMBER(K69),ISNUMBER(L69)),L69-K69,"")</f>
        <v/>
      </c>
      <c r="N69" s="19">
        <f>IF(G69="","",IF(AND(ISNUMBER(K69),ISNUMBER(L69)),IF(OR(F69="GOC",F69="OWC",F69="GWC",F69="OWC_TRANSITION",F69="GOC_TRANSITION"),IF(L69&gt;=K69,"Supports","Conflicts"),"N/A"),"No Sw"))</f>
        <v/>
      </c>
      <c r="O69" s="20">
        <f>IF(G69="","",Settings!$B$6*IF(OR(F69="GOC",F69="OWC",F69="GWC"),1,0.7)+Settings!$B$7*IF(N69="Supports",1,IF(N69="Conflicts",0,0.5))+Settings!$B$8*IF(AND(Master_Data!R69&lt;&gt;"",Master_Data!S69&lt;&gt;"",Master_Data!R70&lt;&gt;"",Master_Data!S70&lt;&gt;""),1,0.5))</f>
        <v/>
      </c>
      <c r="P69" s="19">
        <f>IF(G69="","",IF(N69="Conflicts","SW_CONFLICT",IF(OR(F69="GOC",F69="OWC",F69="GWC"),"DIRECT_FLUID_TRANSITION","TRANSITION_INTERVAL")))</f>
        <v/>
      </c>
      <c r="Q69" s="19">
        <f>IF(G69="","",IF(N69="Conflicts","Investigate contact interpretation / saturation behaviour",IF(OR(F69="OWC",F69="GOC",F69="GWC"),"Candidate contact — validate with logs, pressure and dynamic evidence","Transition zone — do not force to a sharp contact")))</f>
        <v/>
      </c>
    </row>
    <row r="70">
      <c r="A70" s="19">
        <f>IF(AND(Master_Data!A70&lt;&gt;"",Master_Data!A70=Master_Data!A71),Master_Data!A70,"")</f>
        <v/>
      </c>
      <c r="B70" s="19">
        <f>IF($A70="","",Master_Data!B70)</f>
        <v/>
      </c>
      <c r="C70" s="19">
        <f>IF($A70="","",Master_Data!B71)</f>
        <v/>
      </c>
      <c r="D70" s="19">
        <f>IF($A70="","",Master_Data!Q70)</f>
        <v/>
      </c>
      <c r="E70" s="19">
        <f>IF($A70="","",Master_Data!Q71)</f>
        <v/>
      </c>
      <c r="F70" s="19">
        <f>IF($A70="","",IF(AND(D70="GAS",E70="OIL"),"GOC",IF(AND(D70="OIL",E70="WATER"),"OWC",IF(AND(D70="GAS",E70="WATER"),"GWC",IF(AND(D70="OIL",E70="OIL_WATER"),"OWC_TRANSITION",IF(AND(D70="OIL_WATER",E70="WATER"),"OWC_TRANSITION",IF(AND(D70="GAS",E70="GAS_WATER"),"GOC_TRANSITION",IF(AND(D70="GAS_WATER",E70="OIL"),"GOC_TRANSITION",IF(OR(D70="OIL_WATER",D70="GAS_WATER"),"TRANSITION_INTERVAL","")))))))))</f>
        <v/>
      </c>
      <c r="G70" s="20">
        <f>IF(OR(F70="",Master_Data!R70="",Master_Data!S70=""),"",IF(RIGHT(F70,10)="TRANSITION",AVERAGE(Master_Data!R70:Master_Data!S70),AVERAGE(Master_Data!S70,Master_Data!R71)))</f>
        <v/>
      </c>
      <c r="H70" s="20">
        <f>IF(G70="","",MAX(Settings!$B$4,Settings!$B$5*AVERAGE(IF(Master_Data!O70&lt;&gt;"",Master_Data!O70,Master_Data!H70),IF(Master_Data!O71&lt;&gt;"",Master_Data!O71,Master_Data!H71))))</f>
        <v/>
      </c>
      <c r="I70" s="20">
        <f>IF(G70="","",G70-H70)</f>
        <v/>
      </c>
      <c r="J70" s="20">
        <f>IF(G70="","",G70+H70)</f>
        <v/>
      </c>
      <c r="K70" s="20">
        <f>IF($A70="","",Master_Data!G70)</f>
        <v/>
      </c>
      <c r="L70" s="20">
        <f>IF($A70="","",Master_Data!G71)</f>
        <v/>
      </c>
      <c r="M70" s="20">
        <f>IF(AND(ISNUMBER(K70),ISNUMBER(L70)),L70-K70,"")</f>
        <v/>
      </c>
      <c r="N70" s="19">
        <f>IF(G70="","",IF(AND(ISNUMBER(K70),ISNUMBER(L70)),IF(OR(F70="GOC",F70="OWC",F70="GWC",F70="OWC_TRANSITION",F70="GOC_TRANSITION"),IF(L70&gt;=K70,"Supports","Conflicts"),"N/A"),"No Sw"))</f>
        <v/>
      </c>
      <c r="O70" s="20">
        <f>IF(G70="","",Settings!$B$6*IF(OR(F70="GOC",F70="OWC",F70="GWC"),1,0.7)+Settings!$B$7*IF(N70="Supports",1,IF(N70="Conflicts",0,0.5))+Settings!$B$8*IF(AND(Master_Data!R70&lt;&gt;"",Master_Data!S70&lt;&gt;"",Master_Data!R71&lt;&gt;"",Master_Data!S71&lt;&gt;""),1,0.5))</f>
        <v/>
      </c>
      <c r="P70" s="19">
        <f>IF(G70="","",IF(N70="Conflicts","SW_CONFLICT",IF(OR(F70="GOC",F70="OWC",F70="GWC"),"DIRECT_FLUID_TRANSITION","TRANSITION_INTERVAL")))</f>
        <v/>
      </c>
      <c r="Q70" s="19">
        <f>IF(G70="","",IF(N70="Conflicts","Investigate contact interpretation / saturation behaviour",IF(OR(F70="OWC",F70="GOC",F70="GWC"),"Candidate contact — validate with logs, pressure and dynamic evidence","Transition zone — do not force to a sharp contact")))</f>
        <v/>
      </c>
    </row>
    <row r="71">
      <c r="A71" s="19">
        <f>IF(AND(Master_Data!A71&lt;&gt;"",Master_Data!A71=Master_Data!A72),Master_Data!A71,"")</f>
        <v/>
      </c>
      <c r="B71" s="19">
        <f>IF($A71="","",Master_Data!B71)</f>
        <v/>
      </c>
      <c r="C71" s="19">
        <f>IF($A71="","",Master_Data!B72)</f>
        <v/>
      </c>
      <c r="D71" s="19">
        <f>IF($A71="","",Master_Data!Q71)</f>
        <v/>
      </c>
      <c r="E71" s="19">
        <f>IF($A71="","",Master_Data!Q72)</f>
        <v/>
      </c>
      <c r="F71" s="19">
        <f>IF($A71="","",IF(AND(D71="GAS",E71="OIL"),"GOC",IF(AND(D71="OIL",E71="WATER"),"OWC",IF(AND(D71="GAS",E71="WATER"),"GWC",IF(AND(D71="OIL",E71="OIL_WATER"),"OWC_TRANSITION",IF(AND(D71="OIL_WATER",E71="WATER"),"OWC_TRANSITION",IF(AND(D71="GAS",E71="GAS_WATER"),"GOC_TRANSITION",IF(AND(D71="GAS_WATER",E71="OIL"),"GOC_TRANSITION",IF(OR(D71="OIL_WATER",D71="GAS_WATER"),"TRANSITION_INTERVAL","")))))))))</f>
        <v/>
      </c>
      <c r="G71" s="20">
        <f>IF(OR(F71="",Master_Data!R71="",Master_Data!S71=""),"",IF(RIGHT(F71,10)="TRANSITION",AVERAGE(Master_Data!R71:Master_Data!S71),AVERAGE(Master_Data!S71,Master_Data!R72)))</f>
        <v/>
      </c>
      <c r="H71" s="20">
        <f>IF(G71="","",MAX(Settings!$B$4,Settings!$B$5*AVERAGE(IF(Master_Data!O71&lt;&gt;"",Master_Data!O71,Master_Data!H71),IF(Master_Data!O72&lt;&gt;"",Master_Data!O72,Master_Data!H72))))</f>
        <v/>
      </c>
      <c r="I71" s="20">
        <f>IF(G71="","",G71-H71)</f>
        <v/>
      </c>
      <c r="J71" s="20">
        <f>IF(G71="","",G71+H71)</f>
        <v/>
      </c>
      <c r="K71" s="20">
        <f>IF($A71="","",Master_Data!G71)</f>
        <v/>
      </c>
      <c r="L71" s="20">
        <f>IF($A71="","",Master_Data!G72)</f>
        <v/>
      </c>
      <c r="M71" s="20">
        <f>IF(AND(ISNUMBER(K71),ISNUMBER(L71)),L71-K71,"")</f>
        <v/>
      </c>
      <c r="N71" s="19">
        <f>IF(G71="","",IF(AND(ISNUMBER(K71),ISNUMBER(L71)),IF(OR(F71="GOC",F71="OWC",F71="GWC",F71="OWC_TRANSITION",F71="GOC_TRANSITION"),IF(L71&gt;=K71,"Supports","Conflicts"),"N/A"),"No Sw"))</f>
        <v/>
      </c>
      <c r="O71" s="20">
        <f>IF(G71="","",Settings!$B$6*IF(OR(F71="GOC",F71="OWC",F71="GWC"),1,0.7)+Settings!$B$7*IF(N71="Supports",1,IF(N71="Conflicts",0,0.5))+Settings!$B$8*IF(AND(Master_Data!R71&lt;&gt;"",Master_Data!S71&lt;&gt;"",Master_Data!R72&lt;&gt;"",Master_Data!S72&lt;&gt;""),1,0.5))</f>
        <v/>
      </c>
      <c r="P71" s="19">
        <f>IF(G71="","",IF(N71="Conflicts","SW_CONFLICT",IF(OR(F71="GOC",F71="OWC",F71="GWC"),"DIRECT_FLUID_TRANSITION","TRANSITION_INTERVAL")))</f>
        <v/>
      </c>
      <c r="Q71" s="19">
        <f>IF(G71="","",IF(N71="Conflicts","Investigate contact interpretation / saturation behaviour",IF(OR(F71="OWC",F71="GOC",F71="GWC"),"Candidate contact — validate with logs, pressure and dynamic evidence","Transition zone — do not force to a sharp contact")))</f>
        <v/>
      </c>
    </row>
    <row r="72">
      <c r="A72" s="19">
        <f>IF(AND(Master_Data!A72&lt;&gt;"",Master_Data!A72=Master_Data!A73),Master_Data!A72,"")</f>
        <v/>
      </c>
      <c r="B72" s="19">
        <f>IF($A72="","",Master_Data!B72)</f>
        <v/>
      </c>
      <c r="C72" s="19">
        <f>IF($A72="","",Master_Data!B73)</f>
        <v/>
      </c>
      <c r="D72" s="19">
        <f>IF($A72="","",Master_Data!Q72)</f>
        <v/>
      </c>
      <c r="E72" s="19">
        <f>IF($A72="","",Master_Data!Q73)</f>
        <v/>
      </c>
      <c r="F72" s="19">
        <f>IF($A72="","",IF(AND(D72="GAS",E72="OIL"),"GOC",IF(AND(D72="OIL",E72="WATER"),"OWC",IF(AND(D72="GAS",E72="WATER"),"GWC",IF(AND(D72="OIL",E72="OIL_WATER"),"OWC_TRANSITION",IF(AND(D72="OIL_WATER",E72="WATER"),"OWC_TRANSITION",IF(AND(D72="GAS",E72="GAS_WATER"),"GOC_TRANSITION",IF(AND(D72="GAS_WATER",E72="OIL"),"GOC_TRANSITION",IF(OR(D72="OIL_WATER",D72="GAS_WATER"),"TRANSITION_INTERVAL","")))))))))</f>
        <v/>
      </c>
      <c r="G72" s="20">
        <f>IF(OR(F72="",Master_Data!R72="",Master_Data!S72=""),"",IF(RIGHT(F72,10)="TRANSITION",AVERAGE(Master_Data!R72:Master_Data!S72),AVERAGE(Master_Data!S72,Master_Data!R73)))</f>
        <v/>
      </c>
      <c r="H72" s="20">
        <f>IF(G72="","",MAX(Settings!$B$4,Settings!$B$5*AVERAGE(IF(Master_Data!O72&lt;&gt;"",Master_Data!O72,Master_Data!H72),IF(Master_Data!O73&lt;&gt;"",Master_Data!O73,Master_Data!H73))))</f>
        <v/>
      </c>
      <c r="I72" s="20">
        <f>IF(G72="","",G72-H72)</f>
        <v/>
      </c>
      <c r="J72" s="20">
        <f>IF(G72="","",G72+H72)</f>
        <v/>
      </c>
      <c r="K72" s="20">
        <f>IF($A72="","",Master_Data!G72)</f>
        <v/>
      </c>
      <c r="L72" s="20">
        <f>IF($A72="","",Master_Data!G73)</f>
        <v/>
      </c>
      <c r="M72" s="20">
        <f>IF(AND(ISNUMBER(K72),ISNUMBER(L72)),L72-K72,"")</f>
        <v/>
      </c>
      <c r="N72" s="19">
        <f>IF(G72="","",IF(AND(ISNUMBER(K72),ISNUMBER(L72)),IF(OR(F72="GOC",F72="OWC",F72="GWC",F72="OWC_TRANSITION",F72="GOC_TRANSITION"),IF(L72&gt;=K72,"Supports","Conflicts"),"N/A"),"No Sw"))</f>
        <v/>
      </c>
      <c r="O72" s="20">
        <f>IF(G72="","",Settings!$B$6*IF(OR(F72="GOC",F72="OWC",F72="GWC"),1,0.7)+Settings!$B$7*IF(N72="Supports",1,IF(N72="Conflicts",0,0.5))+Settings!$B$8*IF(AND(Master_Data!R72&lt;&gt;"",Master_Data!S72&lt;&gt;"",Master_Data!R73&lt;&gt;"",Master_Data!S73&lt;&gt;""),1,0.5))</f>
        <v/>
      </c>
      <c r="P72" s="19">
        <f>IF(G72="","",IF(N72="Conflicts","SW_CONFLICT",IF(OR(F72="GOC",F72="OWC",F72="GWC"),"DIRECT_FLUID_TRANSITION","TRANSITION_INTERVAL")))</f>
        <v/>
      </c>
      <c r="Q72" s="19">
        <f>IF(G72="","",IF(N72="Conflicts","Investigate contact interpretation / saturation behaviour",IF(OR(F72="OWC",F72="GOC",F72="GWC"),"Candidate contact — validate with logs, pressure and dynamic evidence","Transition zone — do not force to a sharp contact")))</f>
        <v/>
      </c>
    </row>
    <row r="73">
      <c r="A73" s="19">
        <f>IF(AND(Master_Data!A73&lt;&gt;"",Master_Data!A73=Master_Data!A74),Master_Data!A73,"")</f>
        <v/>
      </c>
      <c r="B73" s="19">
        <f>IF($A73="","",Master_Data!B73)</f>
        <v/>
      </c>
      <c r="C73" s="19">
        <f>IF($A73="","",Master_Data!B74)</f>
        <v/>
      </c>
      <c r="D73" s="19">
        <f>IF($A73="","",Master_Data!Q73)</f>
        <v/>
      </c>
      <c r="E73" s="19">
        <f>IF($A73="","",Master_Data!Q74)</f>
        <v/>
      </c>
      <c r="F73" s="19">
        <f>IF($A73="","",IF(AND(D73="GAS",E73="OIL"),"GOC",IF(AND(D73="OIL",E73="WATER"),"OWC",IF(AND(D73="GAS",E73="WATER"),"GWC",IF(AND(D73="OIL",E73="OIL_WATER"),"OWC_TRANSITION",IF(AND(D73="OIL_WATER",E73="WATER"),"OWC_TRANSITION",IF(AND(D73="GAS",E73="GAS_WATER"),"GOC_TRANSITION",IF(AND(D73="GAS_WATER",E73="OIL"),"GOC_TRANSITION",IF(OR(D73="OIL_WATER",D73="GAS_WATER"),"TRANSITION_INTERVAL","")))))))))</f>
        <v/>
      </c>
      <c r="G73" s="20">
        <f>IF(OR(F73="",Master_Data!R73="",Master_Data!S73=""),"",IF(RIGHT(F73,10)="TRANSITION",AVERAGE(Master_Data!R73:Master_Data!S73),AVERAGE(Master_Data!S73,Master_Data!R74)))</f>
        <v/>
      </c>
      <c r="H73" s="20">
        <f>IF(G73="","",MAX(Settings!$B$4,Settings!$B$5*AVERAGE(IF(Master_Data!O73&lt;&gt;"",Master_Data!O73,Master_Data!H73),IF(Master_Data!O74&lt;&gt;"",Master_Data!O74,Master_Data!H74))))</f>
        <v/>
      </c>
      <c r="I73" s="20">
        <f>IF(G73="","",G73-H73)</f>
        <v/>
      </c>
      <c r="J73" s="20">
        <f>IF(G73="","",G73+H73)</f>
        <v/>
      </c>
      <c r="K73" s="20">
        <f>IF($A73="","",Master_Data!G73)</f>
        <v/>
      </c>
      <c r="L73" s="20">
        <f>IF($A73="","",Master_Data!G74)</f>
        <v/>
      </c>
      <c r="M73" s="20">
        <f>IF(AND(ISNUMBER(K73),ISNUMBER(L73)),L73-K73,"")</f>
        <v/>
      </c>
      <c r="N73" s="19">
        <f>IF(G73="","",IF(AND(ISNUMBER(K73),ISNUMBER(L73)),IF(OR(F73="GOC",F73="OWC",F73="GWC",F73="OWC_TRANSITION",F73="GOC_TRANSITION"),IF(L73&gt;=K73,"Supports","Conflicts"),"N/A"),"No Sw"))</f>
        <v/>
      </c>
      <c r="O73" s="20">
        <f>IF(G73="","",Settings!$B$6*IF(OR(F73="GOC",F73="OWC",F73="GWC"),1,0.7)+Settings!$B$7*IF(N73="Supports",1,IF(N73="Conflicts",0,0.5))+Settings!$B$8*IF(AND(Master_Data!R73&lt;&gt;"",Master_Data!S73&lt;&gt;"",Master_Data!R74&lt;&gt;"",Master_Data!S74&lt;&gt;""),1,0.5))</f>
        <v/>
      </c>
      <c r="P73" s="19">
        <f>IF(G73="","",IF(N73="Conflicts","SW_CONFLICT",IF(OR(F73="GOC",F73="OWC",F73="GWC"),"DIRECT_FLUID_TRANSITION","TRANSITION_INTERVAL")))</f>
        <v/>
      </c>
      <c r="Q73" s="19">
        <f>IF(G73="","",IF(N73="Conflicts","Investigate contact interpretation / saturation behaviour",IF(OR(F73="OWC",F73="GOC",F73="GWC"),"Candidate contact — validate with logs, pressure and dynamic evidence","Transition zone — do not force to a sharp contact")))</f>
        <v/>
      </c>
    </row>
    <row r="74">
      <c r="A74" s="19">
        <f>IF(AND(Master_Data!A74&lt;&gt;"",Master_Data!A74=Master_Data!A75),Master_Data!A74,"")</f>
        <v/>
      </c>
      <c r="B74" s="19">
        <f>IF($A74="","",Master_Data!B74)</f>
        <v/>
      </c>
      <c r="C74" s="19">
        <f>IF($A74="","",Master_Data!B75)</f>
        <v/>
      </c>
      <c r="D74" s="19">
        <f>IF($A74="","",Master_Data!Q74)</f>
        <v/>
      </c>
      <c r="E74" s="19">
        <f>IF($A74="","",Master_Data!Q75)</f>
        <v/>
      </c>
      <c r="F74" s="19">
        <f>IF($A74="","",IF(AND(D74="GAS",E74="OIL"),"GOC",IF(AND(D74="OIL",E74="WATER"),"OWC",IF(AND(D74="GAS",E74="WATER"),"GWC",IF(AND(D74="OIL",E74="OIL_WATER"),"OWC_TRANSITION",IF(AND(D74="OIL_WATER",E74="WATER"),"OWC_TRANSITION",IF(AND(D74="GAS",E74="GAS_WATER"),"GOC_TRANSITION",IF(AND(D74="GAS_WATER",E74="OIL"),"GOC_TRANSITION",IF(OR(D74="OIL_WATER",D74="GAS_WATER"),"TRANSITION_INTERVAL","")))))))))</f>
        <v/>
      </c>
      <c r="G74" s="20">
        <f>IF(OR(F74="",Master_Data!R74="",Master_Data!S74=""),"",IF(RIGHT(F74,10)="TRANSITION",AVERAGE(Master_Data!R74:Master_Data!S74),AVERAGE(Master_Data!S74,Master_Data!R75)))</f>
        <v/>
      </c>
      <c r="H74" s="20">
        <f>IF(G74="","",MAX(Settings!$B$4,Settings!$B$5*AVERAGE(IF(Master_Data!O74&lt;&gt;"",Master_Data!O74,Master_Data!H74),IF(Master_Data!O75&lt;&gt;"",Master_Data!O75,Master_Data!H75))))</f>
        <v/>
      </c>
      <c r="I74" s="20">
        <f>IF(G74="","",G74-H74)</f>
        <v/>
      </c>
      <c r="J74" s="20">
        <f>IF(G74="","",G74+H74)</f>
        <v/>
      </c>
      <c r="K74" s="20">
        <f>IF($A74="","",Master_Data!G74)</f>
        <v/>
      </c>
      <c r="L74" s="20">
        <f>IF($A74="","",Master_Data!G75)</f>
        <v/>
      </c>
      <c r="M74" s="20">
        <f>IF(AND(ISNUMBER(K74),ISNUMBER(L74)),L74-K74,"")</f>
        <v/>
      </c>
      <c r="N74" s="19">
        <f>IF(G74="","",IF(AND(ISNUMBER(K74),ISNUMBER(L74)),IF(OR(F74="GOC",F74="OWC",F74="GWC",F74="OWC_TRANSITION",F74="GOC_TRANSITION"),IF(L74&gt;=K74,"Supports","Conflicts"),"N/A"),"No Sw"))</f>
        <v/>
      </c>
      <c r="O74" s="20">
        <f>IF(G74="","",Settings!$B$6*IF(OR(F74="GOC",F74="OWC",F74="GWC"),1,0.7)+Settings!$B$7*IF(N74="Supports",1,IF(N74="Conflicts",0,0.5))+Settings!$B$8*IF(AND(Master_Data!R74&lt;&gt;"",Master_Data!S74&lt;&gt;"",Master_Data!R75&lt;&gt;"",Master_Data!S75&lt;&gt;""),1,0.5))</f>
        <v/>
      </c>
      <c r="P74" s="19">
        <f>IF(G74="","",IF(N74="Conflicts","SW_CONFLICT",IF(OR(F74="GOC",F74="OWC",F74="GWC"),"DIRECT_FLUID_TRANSITION","TRANSITION_INTERVAL")))</f>
        <v/>
      </c>
      <c r="Q74" s="19">
        <f>IF(G74="","",IF(N74="Conflicts","Investigate contact interpretation / saturation behaviour",IF(OR(F74="OWC",F74="GOC",F74="GWC"),"Candidate contact — validate with logs, pressure and dynamic evidence","Transition zone — do not force to a sharp contact")))</f>
        <v/>
      </c>
    </row>
    <row r="75">
      <c r="A75" s="19">
        <f>IF(AND(Master_Data!A75&lt;&gt;"",Master_Data!A75=Master_Data!A76),Master_Data!A75,"")</f>
        <v/>
      </c>
      <c r="B75" s="19">
        <f>IF($A75="","",Master_Data!B75)</f>
        <v/>
      </c>
      <c r="C75" s="19">
        <f>IF($A75="","",Master_Data!B76)</f>
        <v/>
      </c>
      <c r="D75" s="19">
        <f>IF($A75="","",Master_Data!Q75)</f>
        <v/>
      </c>
      <c r="E75" s="19">
        <f>IF($A75="","",Master_Data!Q76)</f>
        <v/>
      </c>
      <c r="F75" s="19">
        <f>IF($A75="","",IF(AND(D75="GAS",E75="OIL"),"GOC",IF(AND(D75="OIL",E75="WATER"),"OWC",IF(AND(D75="GAS",E75="WATER"),"GWC",IF(AND(D75="OIL",E75="OIL_WATER"),"OWC_TRANSITION",IF(AND(D75="OIL_WATER",E75="WATER"),"OWC_TRANSITION",IF(AND(D75="GAS",E75="GAS_WATER"),"GOC_TRANSITION",IF(AND(D75="GAS_WATER",E75="OIL"),"GOC_TRANSITION",IF(OR(D75="OIL_WATER",D75="GAS_WATER"),"TRANSITION_INTERVAL","")))))))))</f>
        <v/>
      </c>
      <c r="G75" s="20">
        <f>IF(OR(F75="",Master_Data!R75="",Master_Data!S75=""),"",IF(RIGHT(F75,10)="TRANSITION",AVERAGE(Master_Data!R75:Master_Data!S75),AVERAGE(Master_Data!S75,Master_Data!R76)))</f>
        <v/>
      </c>
      <c r="H75" s="20">
        <f>IF(G75="","",MAX(Settings!$B$4,Settings!$B$5*AVERAGE(IF(Master_Data!O75&lt;&gt;"",Master_Data!O75,Master_Data!H75),IF(Master_Data!O76&lt;&gt;"",Master_Data!O76,Master_Data!H76))))</f>
        <v/>
      </c>
      <c r="I75" s="20">
        <f>IF(G75="","",G75-H75)</f>
        <v/>
      </c>
      <c r="J75" s="20">
        <f>IF(G75="","",G75+H75)</f>
        <v/>
      </c>
      <c r="K75" s="20">
        <f>IF($A75="","",Master_Data!G75)</f>
        <v/>
      </c>
      <c r="L75" s="20">
        <f>IF($A75="","",Master_Data!G76)</f>
        <v/>
      </c>
      <c r="M75" s="20">
        <f>IF(AND(ISNUMBER(K75),ISNUMBER(L75)),L75-K75,"")</f>
        <v/>
      </c>
      <c r="N75" s="19">
        <f>IF(G75="","",IF(AND(ISNUMBER(K75),ISNUMBER(L75)),IF(OR(F75="GOC",F75="OWC",F75="GWC",F75="OWC_TRANSITION",F75="GOC_TRANSITION"),IF(L75&gt;=K75,"Supports","Conflicts"),"N/A"),"No Sw"))</f>
        <v/>
      </c>
      <c r="O75" s="20">
        <f>IF(G75="","",Settings!$B$6*IF(OR(F75="GOC",F75="OWC",F75="GWC"),1,0.7)+Settings!$B$7*IF(N75="Supports",1,IF(N75="Conflicts",0,0.5))+Settings!$B$8*IF(AND(Master_Data!R75&lt;&gt;"",Master_Data!S75&lt;&gt;"",Master_Data!R76&lt;&gt;"",Master_Data!S76&lt;&gt;""),1,0.5))</f>
        <v/>
      </c>
      <c r="P75" s="19">
        <f>IF(G75="","",IF(N75="Conflicts","SW_CONFLICT",IF(OR(F75="GOC",F75="OWC",F75="GWC"),"DIRECT_FLUID_TRANSITION","TRANSITION_INTERVAL")))</f>
        <v/>
      </c>
      <c r="Q75" s="19">
        <f>IF(G75="","",IF(N75="Conflicts","Investigate contact interpretation / saturation behaviour",IF(OR(F75="OWC",F75="GOC",F75="GWC"),"Candidate contact — validate with logs, pressure and dynamic evidence","Transition zone — do not force to a sharp contact")))</f>
        <v/>
      </c>
    </row>
    <row r="76">
      <c r="A76" s="19">
        <f>IF(AND(Master_Data!A76&lt;&gt;"",Master_Data!A76=Master_Data!A77),Master_Data!A76,"")</f>
        <v/>
      </c>
      <c r="B76" s="19">
        <f>IF($A76="","",Master_Data!B76)</f>
        <v/>
      </c>
      <c r="C76" s="19">
        <f>IF($A76="","",Master_Data!B77)</f>
        <v/>
      </c>
      <c r="D76" s="19">
        <f>IF($A76="","",Master_Data!Q76)</f>
        <v/>
      </c>
      <c r="E76" s="19">
        <f>IF($A76="","",Master_Data!Q77)</f>
        <v/>
      </c>
      <c r="F76" s="19">
        <f>IF($A76="","",IF(AND(D76="GAS",E76="OIL"),"GOC",IF(AND(D76="OIL",E76="WATER"),"OWC",IF(AND(D76="GAS",E76="WATER"),"GWC",IF(AND(D76="OIL",E76="OIL_WATER"),"OWC_TRANSITION",IF(AND(D76="OIL_WATER",E76="WATER"),"OWC_TRANSITION",IF(AND(D76="GAS",E76="GAS_WATER"),"GOC_TRANSITION",IF(AND(D76="GAS_WATER",E76="OIL"),"GOC_TRANSITION",IF(OR(D76="OIL_WATER",D76="GAS_WATER"),"TRANSITION_INTERVAL","")))))))))</f>
        <v/>
      </c>
      <c r="G76" s="20">
        <f>IF(OR(F76="",Master_Data!R76="",Master_Data!S76=""),"",IF(RIGHT(F76,10)="TRANSITION",AVERAGE(Master_Data!R76:Master_Data!S76),AVERAGE(Master_Data!S76,Master_Data!R77)))</f>
        <v/>
      </c>
      <c r="H76" s="20">
        <f>IF(G76="","",MAX(Settings!$B$4,Settings!$B$5*AVERAGE(IF(Master_Data!O76&lt;&gt;"",Master_Data!O76,Master_Data!H76),IF(Master_Data!O77&lt;&gt;"",Master_Data!O77,Master_Data!H77))))</f>
        <v/>
      </c>
      <c r="I76" s="20">
        <f>IF(G76="","",G76-H76)</f>
        <v/>
      </c>
      <c r="J76" s="20">
        <f>IF(G76="","",G76+H76)</f>
        <v/>
      </c>
      <c r="K76" s="20">
        <f>IF($A76="","",Master_Data!G76)</f>
        <v/>
      </c>
      <c r="L76" s="20">
        <f>IF($A76="","",Master_Data!G77)</f>
        <v/>
      </c>
      <c r="M76" s="20">
        <f>IF(AND(ISNUMBER(K76),ISNUMBER(L76)),L76-K76,"")</f>
        <v/>
      </c>
      <c r="N76" s="19">
        <f>IF(G76="","",IF(AND(ISNUMBER(K76),ISNUMBER(L76)),IF(OR(F76="GOC",F76="OWC",F76="GWC",F76="OWC_TRANSITION",F76="GOC_TRANSITION"),IF(L76&gt;=K76,"Supports","Conflicts"),"N/A"),"No Sw"))</f>
        <v/>
      </c>
      <c r="O76" s="20">
        <f>IF(G76="","",Settings!$B$6*IF(OR(F76="GOC",F76="OWC",F76="GWC"),1,0.7)+Settings!$B$7*IF(N76="Supports",1,IF(N76="Conflicts",0,0.5))+Settings!$B$8*IF(AND(Master_Data!R76&lt;&gt;"",Master_Data!S76&lt;&gt;"",Master_Data!R77&lt;&gt;"",Master_Data!S77&lt;&gt;""),1,0.5))</f>
        <v/>
      </c>
      <c r="P76" s="19">
        <f>IF(G76="","",IF(N76="Conflicts","SW_CONFLICT",IF(OR(F76="GOC",F76="OWC",F76="GWC"),"DIRECT_FLUID_TRANSITION","TRANSITION_INTERVAL")))</f>
        <v/>
      </c>
      <c r="Q76" s="19">
        <f>IF(G76="","",IF(N76="Conflicts","Investigate contact interpretation / saturation behaviour",IF(OR(F76="OWC",F76="GOC",F76="GWC"),"Candidate contact — validate with logs, pressure and dynamic evidence","Transition zone — do not force to a sharp contact")))</f>
        <v/>
      </c>
    </row>
    <row r="77">
      <c r="A77" s="19">
        <f>IF(AND(Master_Data!A77&lt;&gt;"",Master_Data!A77=Master_Data!A78),Master_Data!A77,"")</f>
        <v/>
      </c>
      <c r="B77" s="19">
        <f>IF($A77="","",Master_Data!B77)</f>
        <v/>
      </c>
      <c r="C77" s="19">
        <f>IF($A77="","",Master_Data!B78)</f>
        <v/>
      </c>
      <c r="D77" s="19">
        <f>IF($A77="","",Master_Data!Q77)</f>
        <v/>
      </c>
      <c r="E77" s="19">
        <f>IF($A77="","",Master_Data!Q78)</f>
        <v/>
      </c>
      <c r="F77" s="19">
        <f>IF($A77="","",IF(AND(D77="GAS",E77="OIL"),"GOC",IF(AND(D77="OIL",E77="WATER"),"OWC",IF(AND(D77="GAS",E77="WATER"),"GWC",IF(AND(D77="OIL",E77="OIL_WATER"),"OWC_TRANSITION",IF(AND(D77="OIL_WATER",E77="WATER"),"OWC_TRANSITION",IF(AND(D77="GAS",E77="GAS_WATER"),"GOC_TRANSITION",IF(AND(D77="GAS_WATER",E77="OIL"),"GOC_TRANSITION",IF(OR(D77="OIL_WATER",D77="GAS_WATER"),"TRANSITION_INTERVAL","")))))))))</f>
        <v/>
      </c>
      <c r="G77" s="20">
        <f>IF(OR(F77="",Master_Data!R77="",Master_Data!S77=""),"",IF(RIGHT(F77,10)="TRANSITION",AVERAGE(Master_Data!R77:Master_Data!S77),AVERAGE(Master_Data!S77,Master_Data!R78)))</f>
        <v/>
      </c>
      <c r="H77" s="20">
        <f>IF(G77="","",MAX(Settings!$B$4,Settings!$B$5*AVERAGE(IF(Master_Data!O77&lt;&gt;"",Master_Data!O77,Master_Data!H77),IF(Master_Data!O78&lt;&gt;"",Master_Data!O78,Master_Data!H78))))</f>
        <v/>
      </c>
      <c r="I77" s="20">
        <f>IF(G77="","",G77-H77)</f>
        <v/>
      </c>
      <c r="J77" s="20">
        <f>IF(G77="","",G77+H77)</f>
        <v/>
      </c>
      <c r="K77" s="20">
        <f>IF($A77="","",Master_Data!G77)</f>
        <v/>
      </c>
      <c r="L77" s="20">
        <f>IF($A77="","",Master_Data!G78)</f>
        <v/>
      </c>
      <c r="M77" s="20">
        <f>IF(AND(ISNUMBER(K77),ISNUMBER(L77)),L77-K77,"")</f>
        <v/>
      </c>
      <c r="N77" s="19">
        <f>IF(G77="","",IF(AND(ISNUMBER(K77),ISNUMBER(L77)),IF(OR(F77="GOC",F77="OWC",F77="GWC",F77="OWC_TRANSITION",F77="GOC_TRANSITION"),IF(L77&gt;=K77,"Supports","Conflicts"),"N/A"),"No Sw"))</f>
        <v/>
      </c>
      <c r="O77" s="20">
        <f>IF(G77="","",Settings!$B$6*IF(OR(F77="GOC",F77="OWC",F77="GWC"),1,0.7)+Settings!$B$7*IF(N77="Supports",1,IF(N77="Conflicts",0,0.5))+Settings!$B$8*IF(AND(Master_Data!R77&lt;&gt;"",Master_Data!S77&lt;&gt;"",Master_Data!R78&lt;&gt;"",Master_Data!S78&lt;&gt;""),1,0.5))</f>
        <v/>
      </c>
      <c r="P77" s="19">
        <f>IF(G77="","",IF(N77="Conflicts","SW_CONFLICT",IF(OR(F77="GOC",F77="OWC",F77="GWC"),"DIRECT_FLUID_TRANSITION","TRANSITION_INTERVAL")))</f>
        <v/>
      </c>
      <c r="Q77" s="19">
        <f>IF(G77="","",IF(N77="Conflicts","Investigate contact interpretation / saturation behaviour",IF(OR(F77="OWC",F77="GOC",F77="GWC"),"Candidate contact — validate with logs, pressure and dynamic evidence","Transition zone — do not force to a sharp contact")))</f>
        <v/>
      </c>
    </row>
    <row r="78">
      <c r="A78" s="19">
        <f>IF(AND(Master_Data!A78&lt;&gt;"",Master_Data!A78=Master_Data!A79),Master_Data!A78,"")</f>
        <v/>
      </c>
      <c r="B78" s="19">
        <f>IF($A78="","",Master_Data!B78)</f>
        <v/>
      </c>
      <c r="C78" s="19">
        <f>IF($A78="","",Master_Data!B79)</f>
        <v/>
      </c>
      <c r="D78" s="19">
        <f>IF($A78="","",Master_Data!Q78)</f>
        <v/>
      </c>
      <c r="E78" s="19">
        <f>IF($A78="","",Master_Data!Q79)</f>
        <v/>
      </c>
      <c r="F78" s="19">
        <f>IF($A78="","",IF(AND(D78="GAS",E78="OIL"),"GOC",IF(AND(D78="OIL",E78="WATER"),"OWC",IF(AND(D78="GAS",E78="WATER"),"GWC",IF(AND(D78="OIL",E78="OIL_WATER"),"OWC_TRANSITION",IF(AND(D78="OIL_WATER",E78="WATER"),"OWC_TRANSITION",IF(AND(D78="GAS",E78="GAS_WATER"),"GOC_TRANSITION",IF(AND(D78="GAS_WATER",E78="OIL"),"GOC_TRANSITION",IF(OR(D78="OIL_WATER",D78="GAS_WATER"),"TRANSITION_INTERVAL","")))))))))</f>
        <v/>
      </c>
      <c r="G78" s="20">
        <f>IF(OR(F78="",Master_Data!R78="",Master_Data!S78=""),"",IF(RIGHT(F78,10)="TRANSITION",AVERAGE(Master_Data!R78:Master_Data!S78),AVERAGE(Master_Data!S78,Master_Data!R79)))</f>
        <v/>
      </c>
      <c r="H78" s="20">
        <f>IF(G78="","",MAX(Settings!$B$4,Settings!$B$5*AVERAGE(IF(Master_Data!O78&lt;&gt;"",Master_Data!O78,Master_Data!H78),IF(Master_Data!O79&lt;&gt;"",Master_Data!O79,Master_Data!H79))))</f>
        <v/>
      </c>
      <c r="I78" s="20">
        <f>IF(G78="","",G78-H78)</f>
        <v/>
      </c>
      <c r="J78" s="20">
        <f>IF(G78="","",G78+H78)</f>
        <v/>
      </c>
      <c r="K78" s="20">
        <f>IF($A78="","",Master_Data!G78)</f>
        <v/>
      </c>
      <c r="L78" s="20">
        <f>IF($A78="","",Master_Data!G79)</f>
        <v/>
      </c>
      <c r="M78" s="20">
        <f>IF(AND(ISNUMBER(K78),ISNUMBER(L78)),L78-K78,"")</f>
        <v/>
      </c>
      <c r="N78" s="19">
        <f>IF(G78="","",IF(AND(ISNUMBER(K78),ISNUMBER(L78)),IF(OR(F78="GOC",F78="OWC",F78="GWC",F78="OWC_TRANSITION",F78="GOC_TRANSITION"),IF(L78&gt;=K78,"Supports","Conflicts"),"N/A"),"No Sw"))</f>
        <v/>
      </c>
      <c r="O78" s="20">
        <f>IF(G78="","",Settings!$B$6*IF(OR(F78="GOC",F78="OWC",F78="GWC"),1,0.7)+Settings!$B$7*IF(N78="Supports",1,IF(N78="Conflicts",0,0.5))+Settings!$B$8*IF(AND(Master_Data!R78&lt;&gt;"",Master_Data!S78&lt;&gt;"",Master_Data!R79&lt;&gt;"",Master_Data!S79&lt;&gt;""),1,0.5))</f>
        <v/>
      </c>
      <c r="P78" s="19">
        <f>IF(G78="","",IF(N78="Conflicts","SW_CONFLICT",IF(OR(F78="GOC",F78="OWC",F78="GWC"),"DIRECT_FLUID_TRANSITION","TRANSITION_INTERVAL")))</f>
        <v/>
      </c>
      <c r="Q78" s="19">
        <f>IF(G78="","",IF(N78="Conflicts","Investigate contact interpretation / saturation behaviour",IF(OR(F78="OWC",F78="GOC",F78="GWC"),"Candidate contact — validate with logs, pressure and dynamic evidence","Transition zone — do not force to a sharp contact")))</f>
        <v/>
      </c>
    </row>
    <row r="79">
      <c r="A79" s="19">
        <f>IF(AND(Master_Data!A79&lt;&gt;"",Master_Data!A79=Master_Data!A80),Master_Data!A79,"")</f>
        <v/>
      </c>
      <c r="B79" s="19">
        <f>IF($A79="","",Master_Data!B79)</f>
        <v/>
      </c>
      <c r="C79" s="19">
        <f>IF($A79="","",Master_Data!B80)</f>
        <v/>
      </c>
      <c r="D79" s="19">
        <f>IF($A79="","",Master_Data!Q79)</f>
        <v/>
      </c>
      <c r="E79" s="19">
        <f>IF($A79="","",Master_Data!Q80)</f>
        <v/>
      </c>
      <c r="F79" s="19">
        <f>IF($A79="","",IF(AND(D79="GAS",E79="OIL"),"GOC",IF(AND(D79="OIL",E79="WATER"),"OWC",IF(AND(D79="GAS",E79="WATER"),"GWC",IF(AND(D79="OIL",E79="OIL_WATER"),"OWC_TRANSITION",IF(AND(D79="OIL_WATER",E79="WATER"),"OWC_TRANSITION",IF(AND(D79="GAS",E79="GAS_WATER"),"GOC_TRANSITION",IF(AND(D79="GAS_WATER",E79="OIL"),"GOC_TRANSITION",IF(OR(D79="OIL_WATER",D79="GAS_WATER"),"TRANSITION_INTERVAL","")))))))))</f>
        <v/>
      </c>
      <c r="G79" s="20">
        <f>IF(OR(F79="",Master_Data!R79="",Master_Data!S79=""),"",IF(RIGHT(F79,10)="TRANSITION",AVERAGE(Master_Data!R79:Master_Data!S79),AVERAGE(Master_Data!S79,Master_Data!R80)))</f>
        <v/>
      </c>
      <c r="H79" s="20">
        <f>IF(G79="","",MAX(Settings!$B$4,Settings!$B$5*AVERAGE(IF(Master_Data!O79&lt;&gt;"",Master_Data!O79,Master_Data!H79),IF(Master_Data!O80&lt;&gt;"",Master_Data!O80,Master_Data!H80))))</f>
        <v/>
      </c>
      <c r="I79" s="20">
        <f>IF(G79="","",G79-H79)</f>
        <v/>
      </c>
      <c r="J79" s="20">
        <f>IF(G79="","",G79+H79)</f>
        <v/>
      </c>
      <c r="K79" s="20">
        <f>IF($A79="","",Master_Data!G79)</f>
        <v/>
      </c>
      <c r="L79" s="20">
        <f>IF($A79="","",Master_Data!G80)</f>
        <v/>
      </c>
      <c r="M79" s="20">
        <f>IF(AND(ISNUMBER(K79),ISNUMBER(L79)),L79-K79,"")</f>
        <v/>
      </c>
      <c r="N79" s="19">
        <f>IF(G79="","",IF(AND(ISNUMBER(K79),ISNUMBER(L79)),IF(OR(F79="GOC",F79="OWC",F79="GWC",F79="OWC_TRANSITION",F79="GOC_TRANSITION"),IF(L79&gt;=K79,"Supports","Conflicts"),"N/A"),"No Sw"))</f>
        <v/>
      </c>
      <c r="O79" s="20">
        <f>IF(G79="","",Settings!$B$6*IF(OR(F79="GOC",F79="OWC",F79="GWC"),1,0.7)+Settings!$B$7*IF(N79="Supports",1,IF(N79="Conflicts",0,0.5))+Settings!$B$8*IF(AND(Master_Data!R79&lt;&gt;"",Master_Data!S79&lt;&gt;"",Master_Data!R80&lt;&gt;"",Master_Data!S80&lt;&gt;""),1,0.5))</f>
        <v/>
      </c>
      <c r="P79" s="19">
        <f>IF(G79="","",IF(N79="Conflicts","SW_CONFLICT",IF(OR(F79="GOC",F79="OWC",F79="GWC"),"DIRECT_FLUID_TRANSITION","TRANSITION_INTERVAL")))</f>
        <v/>
      </c>
      <c r="Q79" s="19">
        <f>IF(G79="","",IF(N79="Conflicts","Investigate contact interpretation / saturation behaviour",IF(OR(F79="OWC",F79="GOC",F79="GWC"),"Candidate contact — validate with logs, pressure and dynamic evidence","Transition zone — do not force to a sharp contact")))</f>
        <v/>
      </c>
    </row>
    <row r="80">
      <c r="A80" s="19">
        <f>IF(AND(Master_Data!A80&lt;&gt;"",Master_Data!A80=Master_Data!A81),Master_Data!A80,"")</f>
        <v/>
      </c>
      <c r="B80" s="19">
        <f>IF($A80="","",Master_Data!B80)</f>
        <v/>
      </c>
      <c r="C80" s="19">
        <f>IF($A80="","",Master_Data!B81)</f>
        <v/>
      </c>
      <c r="D80" s="19">
        <f>IF($A80="","",Master_Data!Q80)</f>
        <v/>
      </c>
      <c r="E80" s="19">
        <f>IF($A80="","",Master_Data!Q81)</f>
        <v/>
      </c>
      <c r="F80" s="19">
        <f>IF($A80="","",IF(AND(D80="GAS",E80="OIL"),"GOC",IF(AND(D80="OIL",E80="WATER"),"OWC",IF(AND(D80="GAS",E80="WATER"),"GWC",IF(AND(D80="OIL",E80="OIL_WATER"),"OWC_TRANSITION",IF(AND(D80="OIL_WATER",E80="WATER"),"OWC_TRANSITION",IF(AND(D80="GAS",E80="GAS_WATER"),"GOC_TRANSITION",IF(AND(D80="GAS_WATER",E80="OIL"),"GOC_TRANSITION",IF(OR(D80="OIL_WATER",D80="GAS_WATER"),"TRANSITION_INTERVAL","")))))))))</f>
        <v/>
      </c>
      <c r="G80" s="20">
        <f>IF(OR(F80="",Master_Data!R80="",Master_Data!S80=""),"",IF(RIGHT(F80,10)="TRANSITION",AVERAGE(Master_Data!R80:Master_Data!S80),AVERAGE(Master_Data!S80,Master_Data!R81)))</f>
        <v/>
      </c>
      <c r="H80" s="20">
        <f>IF(G80="","",MAX(Settings!$B$4,Settings!$B$5*AVERAGE(IF(Master_Data!O80&lt;&gt;"",Master_Data!O80,Master_Data!H80),IF(Master_Data!O81&lt;&gt;"",Master_Data!O81,Master_Data!H81))))</f>
        <v/>
      </c>
      <c r="I80" s="20">
        <f>IF(G80="","",G80-H80)</f>
        <v/>
      </c>
      <c r="J80" s="20">
        <f>IF(G80="","",G80+H80)</f>
        <v/>
      </c>
      <c r="K80" s="20">
        <f>IF($A80="","",Master_Data!G80)</f>
        <v/>
      </c>
      <c r="L80" s="20">
        <f>IF($A80="","",Master_Data!G81)</f>
        <v/>
      </c>
      <c r="M80" s="20">
        <f>IF(AND(ISNUMBER(K80),ISNUMBER(L80)),L80-K80,"")</f>
        <v/>
      </c>
      <c r="N80" s="19">
        <f>IF(G80="","",IF(AND(ISNUMBER(K80),ISNUMBER(L80)),IF(OR(F80="GOC",F80="OWC",F80="GWC",F80="OWC_TRANSITION",F80="GOC_TRANSITION"),IF(L80&gt;=K80,"Supports","Conflicts"),"N/A"),"No Sw"))</f>
        <v/>
      </c>
      <c r="O80" s="20">
        <f>IF(G80="","",Settings!$B$6*IF(OR(F80="GOC",F80="OWC",F80="GWC"),1,0.7)+Settings!$B$7*IF(N80="Supports",1,IF(N80="Conflicts",0,0.5))+Settings!$B$8*IF(AND(Master_Data!R80&lt;&gt;"",Master_Data!S80&lt;&gt;"",Master_Data!R81&lt;&gt;"",Master_Data!S81&lt;&gt;""),1,0.5))</f>
        <v/>
      </c>
      <c r="P80" s="19">
        <f>IF(G80="","",IF(N80="Conflicts","SW_CONFLICT",IF(OR(F80="GOC",F80="OWC",F80="GWC"),"DIRECT_FLUID_TRANSITION","TRANSITION_INTERVAL")))</f>
        <v/>
      </c>
      <c r="Q80" s="19">
        <f>IF(G80="","",IF(N80="Conflicts","Investigate contact interpretation / saturation behaviour",IF(OR(F80="OWC",F80="GOC",F80="GWC"),"Candidate contact — validate with logs, pressure and dynamic evidence","Transition zone — do not force to a sharp contact")))</f>
        <v/>
      </c>
    </row>
    <row r="81">
      <c r="A81" s="19">
        <f>IF(AND(Master_Data!A81&lt;&gt;"",Master_Data!A81=Master_Data!A82),Master_Data!A81,"")</f>
        <v/>
      </c>
      <c r="B81" s="19">
        <f>IF($A81="","",Master_Data!B81)</f>
        <v/>
      </c>
      <c r="C81" s="19">
        <f>IF($A81="","",Master_Data!B82)</f>
        <v/>
      </c>
      <c r="D81" s="19">
        <f>IF($A81="","",Master_Data!Q81)</f>
        <v/>
      </c>
      <c r="E81" s="19">
        <f>IF($A81="","",Master_Data!Q82)</f>
        <v/>
      </c>
      <c r="F81" s="19">
        <f>IF($A81="","",IF(AND(D81="GAS",E81="OIL"),"GOC",IF(AND(D81="OIL",E81="WATER"),"OWC",IF(AND(D81="GAS",E81="WATER"),"GWC",IF(AND(D81="OIL",E81="OIL_WATER"),"OWC_TRANSITION",IF(AND(D81="OIL_WATER",E81="WATER"),"OWC_TRANSITION",IF(AND(D81="GAS",E81="GAS_WATER"),"GOC_TRANSITION",IF(AND(D81="GAS_WATER",E81="OIL"),"GOC_TRANSITION",IF(OR(D81="OIL_WATER",D81="GAS_WATER"),"TRANSITION_INTERVAL","")))))))))</f>
        <v/>
      </c>
      <c r="G81" s="20">
        <f>IF(OR(F81="",Master_Data!R81="",Master_Data!S81=""),"",IF(RIGHT(F81,10)="TRANSITION",AVERAGE(Master_Data!R81:Master_Data!S81),AVERAGE(Master_Data!S81,Master_Data!R82)))</f>
        <v/>
      </c>
      <c r="H81" s="20">
        <f>IF(G81="","",MAX(Settings!$B$4,Settings!$B$5*AVERAGE(IF(Master_Data!O81&lt;&gt;"",Master_Data!O81,Master_Data!H81),IF(Master_Data!O82&lt;&gt;"",Master_Data!O82,Master_Data!H82))))</f>
        <v/>
      </c>
      <c r="I81" s="20">
        <f>IF(G81="","",G81-H81)</f>
        <v/>
      </c>
      <c r="J81" s="20">
        <f>IF(G81="","",G81+H81)</f>
        <v/>
      </c>
      <c r="K81" s="20">
        <f>IF($A81="","",Master_Data!G81)</f>
        <v/>
      </c>
      <c r="L81" s="20">
        <f>IF($A81="","",Master_Data!G82)</f>
        <v/>
      </c>
      <c r="M81" s="20">
        <f>IF(AND(ISNUMBER(K81),ISNUMBER(L81)),L81-K81,"")</f>
        <v/>
      </c>
      <c r="N81" s="19">
        <f>IF(G81="","",IF(AND(ISNUMBER(K81),ISNUMBER(L81)),IF(OR(F81="GOC",F81="OWC",F81="GWC",F81="OWC_TRANSITION",F81="GOC_TRANSITION"),IF(L81&gt;=K81,"Supports","Conflicts"),"N/A"),"No Sw"))</f>
        <v/>
      </c>
      <c r="O81" s="20">
        <f>IF(G81="","",Settings!$B$6*IF(OR(F81="GOC",F81="OWC",F81="GWC"),1,0.7)+Settings!$B$7*IF(N81="Supports",1,IF(N81="Conflicts",0,0.5))+Settings!$B$8*IF(AND(Master_Data!R81&lt;&gt;"",Master_Data!S81&lt;&gt;"",Master_Data!R82&lt;&gt;"",Master_Data!S82&lt;&gt;""),1,0.5))</f>
        <v/>
      </c>
      <c r="P81" s="19">
        <f>IF(G81="","",IF(N81="Conflicts","SW_CONFLICT",IF(OR(F81="GOC",F81="OWC",F81="GWC"),"DIRECT_FLUID_TRANSITION","TRANSITION_INTERVAL")))</f>
        <v/>
      </c>
      <c r="Q81" s="19">
        <f>IF(G81="","",IF(N81="Conflicts","Investigate contact interpretation / saturation behaviour",IF(OR(F81="OWC",F81="GOC",F81="GWC"),"Candidate contact — validate with logs, pressure and dynamic evidence","Transition zone — do not force to a sharp contact")))</f>
        <v/>
      </c>
    </row>
    <row r="82">
      <c r="A82" s="19">
        <f>IF(AND(Master_Data!A82&lt;&gt;"",Master_Data!A82=Master_Data!A83),Master_Data!A82,"")</f>
        <v/>
      </c>
      <c r="B82" s="19">
        <f>IF($A82="","",Master_Data!B82)</f>
        <v/>
      </c>
      <c r="C82" s="19">
        <f>IF($A82="","",Master_Data!B83)</f>
        <v/>
      </c>
      <c r="D82" s="19">
        <f>IF($A82="","",Master_Data!Q82)</f>
        <v/>
      </c>
      <c r="E82" s="19">
        <f>IF($A82="","",Master_Data!Q83)</f>
        <v/>
      </c>
      <c r="F82" s="19">
        <f>IF($A82="","",IF(AND(D82="GAS",E82="OIL"),"GOC",IF(AND(D82="OIL",E82="WATER"),"OWC",IF(AND(D82="GAS",E82="WATER"),"GWC",IF(AND(D82="OIL",E82="OIL_WATER"),"OWC_TRANSITION",IF(AND(D82="OIL_WATER",E82="WATER"),"OWC_TRANSITION",IF(AND(D82="GAS",E82="GAS_WATER"),"GOC_TRANSITION",IF(AND(D82="GAS_WATER",E82="OIL"),"GOC_TRANSITION",IF(OR(D82="OIL_WATER",D82="GAS_WATER"),"TRANSITION_INTERVAL","")))))))))</f>
        <v/>
      </c>
      <c r="G82" s="20">
        <f>IF(OR(F82="",Master_Data!R82="",Master_Data!S82=""),"",IF(RIGHT(F82,10)="TRANSITION",AVERAGE(Master_Data!R82:Master_Data!S82),AVERAGE(Master_Data!S82,Master_Data!R83)))</f>
        <v/>
      </c>
      <c r="H82" s="20">
        <f>IF(G82="","",MAX(Settings!$B$4,Settings!$B$5*AVERAGE(IF(Master_Data!O82&lt;&gt;"",Master_Data!O82,Master_Data!H82),IF(Master_Data!O83&lt;&gt;"",Master_Data!O83,Master_Data!H83))))</f>
        <v/>
      </c>
      <c r="I82" s="20">
        <f>IF(G82="","",G82-H82)</f>
        <v/>
      </c>
      <c r="J82" s="20">
        <f>IF(G82="","",G82+H82)</f>
        <v/>
      </c>
      <c r="K82" s="20">
        <f>IF($A82="","",Master_Data!G82)</f>
        <v/>
      </c>
      <c r="L82" s="20">
        <f>IF($A82="","",Master_Data!G83)</f>
        <v/>
      </c>
      <c r="M82" s="20">
        <f>IF(AND(ISNUMBER(K82),ISNUMBER(L82)),L82-K82,"")</f>
        <v/>
      </c>
      <c r="N82" s="19">
        <f>IF(G82="","",IF(AND(ISNUMBER(K82),ISNUMBER(L82)),IF(OR(F82="GOC",F82="OWC",F82="GWC",F82="OWC_TRANSITION",F82="GOC_TRANSITION"),IF(L82&gt;=K82,"Supports","Conflicts"),"N/A"),"No Sw"))</f>
        <v/>
      </c>
      <c r="O82" s="20">
        <f>IF(G82="","",Settings!$B$6*IF(OR(F82="GOC",F82="OWC",F82="GWC"),1,0.7)+Settings!$B$7*IF(N82="Supports",1,IF(N82="Conflicts",0,0.5))+Settings!$B$8*IF(AND(Master_Data!R82&lt;&gt;"",Master_Data!S82&lt;&gt;"",Master_Data!R83&lt;&gt;"",Master_Data!S83&lt;&gt;""),1,0.5))</f>
        <v/>
      </c>
      <c r="P82" s="19">
        <f>IF(G82="","",IF(N82="Conflicts","SW_CONFLICT",IF(OR(F82="GOC",F82="OWC",F82="GWC"),"DIRECT_FLUID_TRANSITION","TRANSITION_INTERVAL")))</f>
        <v/>
      </c>
      <c r="Q82" s="19">
        <f>IF(G82="","",IF(N82="Conflicts","Investigate contact interpretation / saturation behaviour",IF(OR(F82="OWC",F82="GOC",F82="GWC"),"Candidate contact — validate with logs, pressure and dynamic evidence","Transition zone — do not force to a sharp contact")))</f>
        <v/>
      </c>
    </row>
    <row r="83">
      <c r="A83" s="19">
        <f>IF(AND(Master_Data!A83&lt;&gt;"",Master_Data!A83=Master_Data!A84),Master_Data!A83,"")</f>
        <v/>
      </c>
      <c r="B83" s="19">
        <f>IF($A83="","",Master_Data!B83)</f>
        <v/>
      </c>
      <c r="C83" s="19">
        <f>IF($A83="","",Master_Data!B84)</f>
        <v/>
      </c>
      <c r="D83" s="19">
        <f>IF($A83="","",Master_Data!Q83)</f>
        <v/>
      </c>
      <c r="E83" s="19">
        <f>IF($A83="","",Master_Data!Q84)</f>
        <v/>
      </c>
      <c r="F83" s="19">
        <f>IF($A83="","",IF(AND(D83="GAS",E83="OIL"),"GOC",IF(AND(D83="OIL",E83="WATER"),"OWC",IF(AND(D83="GAS",E83="WATER"),"GWC",IF(AND(D83="OIL",E83="OIL_WATER"),"OWC_TRANSITION",IF(AND(D83="OIL_WATER",E83="WATER"),"OWC_TRANSITION",IF(AND(D83="GAS",E83="GAS_WATER"),"GOC_TRANSITION",IF(AND(D83="GAS_WATER",E83="OIL"),"GOC_TRANSITION",IF(OR(D83="OIL_WATER",D83="GAS_WATER"),"TRANSITION_INTERVAL","")))))))))</f>
        <v/>
      </c>
      <c r="G83" s="20">
        <f>IF(OR(F83="",Master_Data!R83="",Master_Data!S83=""),"",IF(RIGHT(F83,10)="TRANSITION",AVERAGE(Master_Data!R83:Master_Data!S83),AVERAGE(Master_Data!S83,Master_Data!R84)))</f>
        <v/>
      </c>
      <c r="H83" s="20">
        <f>IF(G83="","",MAX(Settings!$B$4,Settings!$B$5*AVERAGE(IF(Master_Data!O83&lt;&gt;"",Master_Data!O83,Master_Data!H83),IF(Master_Data!O84&lt;&gt;"",Master_Data!O84,Master_Data!H84))))</f>
        <v/>
      </c>
      <c r="I83" s="20">
        <f>IF(G83="","",G83-H83)</f>
        <v/>
      </c>
      <c r="J83" s="20">
        <f>IF(G83="","",G83+H83)</f>
        <v/>
      </c>
      <c r="K83" s="20">
        <f>IF($A83="","",Master_Data!G83)</f>
        <v/>
      </c>
      <c r="L83" s="20">
        <f>IF($A83="","",Master_Data!G84)</f>
        <v/>
      </c>
      <c r="M83" s="20">
        <f>IF(AND(ISNUMBER(K83),ISNUMBER(L83)),L83-K83,"")</f>
        <v/>
      </c>
      <c r="N83" s="19">
        <f>IF(G83="","",IF(AND(ISNUMBER(K83),ISNUMBER(L83)),IF(OR(F83="GOC",F83="OWC",F83="GWC",F83="OWC_TRANSITION",F83="GOC_TRANSITION"),IF(L83&gt;=K83,"Supports","Conflicts"),"N/A"),"No Sw"))</f>
        <v/>
      </c>
      <c r="O83" s="20">
        <f>IF(G83="","",Settings!$B$6*IF(OR(F83="GOC",F83="OWC",F83="GWC"),1,0.7)+Settings!$B$7*IF(N83="Supports",1,IF(N83="Conflicts",0,0.5))+Settings!$B$8*IF(AND(Master_Data!R83&lt;&gt;"",Master_Data!S83&lt;&gt;"",Master_Data!R84&lt;&gt;"",Master_Data!S84&lt;&gt;""),1,0.5))</f>
        <v/>
      </c>
      <c r="P83" s="19">
        <f>IF(G83="","",IF(N83="Conflicts","SW_CONFLICT",IF(OR(F83="GOC",F83="OWC",F83="GWC"),"DIRECT_FLUID_TRANSITION","TRANSITION_INTERVAL")))</f>
        <v/>
      </c>
      <c r="Q83" s="19">
        <f>IF(G83="","",IF(N83="Conflicts","Investigate contact interpretation / saturation behaviour",IF(OR(F83="OWC",F83="GOC",F83="GWC"),"Candidate contact — validate with logs, pressure and dynamic evidence","Transition zone — do not force to a sharp contact")))</f>
        <v/>
      </c>
    </row>
    <row r="84">
      <c r="A84" s="19">
        <f>IF(AND(Master_Data!A84&lt;&gt;"",Master_Data!A84=Master_Data!A85),Master_Data!A84,"")</f>
        <v/>
      </c>
      <c r="B84" s="19">
        <f>IF($A84="","",Master_Data!B84)</f>
        <v/>
      </c>
      <c r="C84" s="19">
        <f>IF($A84="","",Master_Data!B85)</f>
        <v/>
      </c>
      <c r="D84" s="19">
        <f>IF($A84="","",Master_Data!Q84)</f>
        <v/>
      </c>
      <c r="E84" s="19">
        <f>IF($A84="","",Master_Data!Q85)</f>
        <v/>
      </c>
      <c r="F84" s="19">
        <f>IF($A84="","",IF(AND(D84="GAS",E84="OIL"),"GOC",IF(AND(D84="OIL",E84="WATER"),"OWC",IF(AND(D84="GAS",E84="WATER"),"GWC",IF(AND(D84="OIL",E84="OIL_WATER"),"OWC_TRANSITION",IF(AND(D84="OIL_WATER",E84="WATER"),"OWC_TRANSITION",IF(AND(D84="GAS",E84="GAS_WATER"),"GOC_TRANSITION",IF(AND(D84="GAS_WATER",E84="OIL"),"GOC_TRANSITION",IF(OR(D84="OIL_WATER",D84="GAS_WATER"),"TRANSITION_INTERVAL","")))))))))</f>
        <v/>
      </c>
      <c r="G84" s="20">
        <f>IF(OR(F84="",Master_Data!R84="",Master_Data!S84=""),"",IF(RIGHT(F84,10)="TRANSITION",AVERAGE(Master_Data!R84:Master_Data!S84),AVERAGE(Master_Data!S84,Master_Data!R85)))</f>
        <v/>
      </c>
      <c r="H84" s="20">
        <f>IF(G84="","",MAX(Settings!$B$4,Settings!$B$5*AVERAGE(IF(Master_Data!O84&lt;&gt;"",Master_Data!O84,Master_Data!H84),IF(Master_Data!O85&lt;&gt;"",Master_Data!O85,Master_Data!H85))))</f>
        <v/>
      </c>
      <c r="I84" s="20">
        <f>IF(G84="","",G84-H84)</f>
        <v/>
      </c>
      <c r="J84" s="20">
        <f>IF(G84="","",G84+H84)</f>
        <v/>
      </c>
      <c r="K84" s="20">
        <f>IF($A84="","",Master_Data!G84)</f>
        <v/>
      </c>
      <c r="L84" s="20">
        <f>IF($A84="","",Master_Data!G85)</f>
        <v/>
      </c>
      <c r="M84" s="20">
        <f>IF(AND(ISNUMBER(K84),ISNUMBER(L84)),L84-K84,"")</f>
        <v/>
      </c>
      <c r="N84" s="19">
        <f>IF(G84="","",IF(AND(ISNUMBER(K84),ISNUMBER(L84)),IF(OR(F84="GOC",F84="OWC",F84="GWC",F84="OWC_TRANSITION",F84="GOC_TRANSITION"),IF(L84&gt;=K84,"Supports","Conflicts"),"N/A"),"No Sw"))</f>
        <v/>
      </c>
      <c r="O84" s="20">
        <f>IF(G84="","",Settings!$B$6*IF(OR(F84="GOC",F84="OWC",F84="GWC"),1,0.7)+Settings!$B$7*IF(N84="Supports",1,IF(N84="Conflicts",0,0.5))+Settings!$B$8*IF(AND(Master_Data!R84&lt;&gt;"",Master_Data!S84&lt;&gt;"",Master_Data!R85&lt;&gt;"",Master_Data!S85&lt;&gt;""),1,0.5))</f>
        <v/>
      </c>
      <c r="P84" s="19">
        <f>IF(G84="","",IF(N84="Conflicts","SW_CONFLICT",IF(OR(F84="GOC",F84="OWC",F84="GWC"),"DIRECT_FLUID_TRANSITION","TRANSITION_INTERVAL")))</f>
        <v/>
      </c>
      <c r="Q84" s="19">
        <f>IF(G84="","",IF(N84="Conflicts","Investigate contact interpretation / saturation behaviour",IF(OR(F84="OWC",F84="GOC",F84="GWC"),"Candidate contact — validate with logs, pressure and dynamic evidence","Transition zone — do not force to a sharp contact")))</f>
        <v/>
      </c>
    </row>
    <row r="85">
      <c r="A85" s="19">
        <f>IF(AND(Master_Data!A85&lt;&gt;"",Master_Data!A85=Master_Data!A86),Master_Data!A85,"")</f>
        <v/>
      </c>
      <c r="B85" s="19">
        <f>IF($A85="","",Master_Data!B85)</f>
        <v/>
      </c>
      <c r="C85" s="19">
        <f>IF($A85="","",Master_Data!B86)</f>
        <v/>
      </c>
      <c r="D85" s="19">
        <f>IF($A85="","",Master_Data!Q85)</f>
        <v/>
      </c>
      <c r="E85" s="19">
        <f>IF($A85="","",Master_Data!Q86)</f>
        <v/>
      </c>
      <c r="F85" s="19">
        <f>IF($A85="","",IF(AND(D85="GAS",E85="OIL"),"GOC",IF(AND(D85="OIL",E85="WATER"),"OWC",IF(AND(D85="GAS",E85="WATER"),"GWC",IF(AND(D85="OIL",E85="OIL_WATER"),"OWC_TRANSITION",IF(AND(D85="OIL_WATER",E85="WATER"),"OWC_TRANSITION",IF(AND(D85="GAS",E85="GAS_WATER"),"GOC_TRANSITION",IF(AND(D85="GAS_WATER",E85="OIL"),"GOC_TRANSITION",IF(OR(D85="OIL_WATER",D85="GAS_WATER"),"TRANSITION_INTERVAL","")))))))))</f>
        <v/>
      </c>
      <c r="G85" s="20">
        <f>IF(OR(F85="",Master_Data!R85="",Master_Data!S85=""),"",IF(RIGHT(F85,10)="TRANSITION",AVERAGE(Master_Data!R85:Master_Data!S85),AVERAGE(Master_Data!S85,Master_Data!R86)))</f>
        <v/>
      </c>
      <c r="H85" s="20">
        <f>IF(G85="","",MAX(Settings!$B$4,Settings!$B$5*AVERAGE(IF(Master_Data!O85&lt;&gt;"",Master_Data!O85,Master_Data!H85),IF(Master_Data!O86&lt;&gt;"",Master_Data!O86,Master_Data!H86))))</f>
        <v/>
      </c>
      <c r="I85" s="20">
        <f>IF(G85="","",G85-H85)</f>
        <v/>
      </c>
      <c r="J85" s="20">
        <f>IF(G85="","",G85+H85)</f>
        <v/>
      </c>
      <c r="K85" s="20">
        <f>IF($A85="","",Master_Data!G85)</f>
        <v/>
      </c>
      <c r="L85" s="20">
        <f>IF($A85="","",Master_Data!G86)</f>
        <v/>
      </c>
      <c r="M85" s="20">
        <f>IF(AND(ISNUMBER(K85),ISNUMBER(L85)),L85-K85,"")</f>
        <v/>
      </c>
      <c r="N85" s="19">
        <f>IF(G85="","",IF(AND(ISNUMBER(K85),ISNUMBER(L85)),IF(OR(F85="GOC",F85="OWC",F85="GWC",F85="OWC_TRANSITION",F85="GOC_TRANSITION"),IF(L85&gt;=K85,"Supports","Conflicts"),"N/A"),"No Sw"))</f>
        <v/>
      </c>
      <c r="O85" s="20">
        <f>IF(G85="","",Settings!$B$6*IF(OR(F85="GOC",F85="OWC",F85="GWC"),1,0.7)+Settings!$B$7*IF(N85="Supports",1,IF(N85="Conflicts",0,0.5))+Settings!$B$8*IF(AND(Master_Data!R85&lt;&gt;"",Master_Data!S85&lt;&gt;"",Master_Data!R86&lt;&gt;"",Master_Data!S86&lt;&gt;""),1,0.5))</f>
        <v/>
      </c>
      <c r="P85" s="19">
        <f>IF(G85="","",IF(N85="Conflicts","SW_CONFLICT",IF(OR(F85="GOC",F85="OWC",F85="GWC"),"DIRECT_FLUID_TRANSITION","TRANSITION_INTERVAL")))</f>
        <v/>
      </c>
      <c r="Q85" s="19">
        <f>IF(G85="","",IF(N85="Conflicts","Investigate contact interpretation / saturation behaviour",IF(OR(F85="OWC",F85="GOC",F85="GWC"),"Candidate contact — validate with logs, pressure and dynamic evidence","Transition zone — do not force to a sharp contact")))</f>
        <v/>
      </c>
    </row>
    <row r="86">
      <c r="A86" s="19">
        <f>IF(AND(Master_Data!A86&lt;&gt;"",Master_Data!A86=Master_Data!A87),Master_Data!A86,"")</f>
        <v/>
      </c>
      <c r="B86" s="19">
        <f>IF($A86="","",Master_Data!B86)</f>
        <v/>
      </c>
      <c r="C86" s="19">
        <f>IF($A86="","",Master_Data!B87)</f>
        <v/>
      </c>
      <c r="D86" s="19">
        <f>IF($A86="","",Master_Data!Q86)</f>
        <v/>
      </c>
      <c r="E86" s="19">
        <f>IF($A86="","",Master_Data!Q87)</f>
        <v/>
      </c>
      <c r="F86" s="19">
        <f>IF($A86="","",IF(AND(D86="GAS",E86="OIL"),"GOC",IF(AND(D86="OIL",E86="WATER"),"OWC",IF(AND(D86="GAS",E86="WATER"),"GWC",IF(AND(D86="OIL",E86="OIL_WATER"),"OWC_TRANSITION",IF(AND(D86="OIL_WATER",E86="WATER"),"OWC_TRANSITION",IF(AND(D86="GAS",E86="GAS_WATER"),"GOC_TRANSITION",IF(AND(D86="GAS_WATER",E86="OIL"),"GOC_TRANSITION",IF(OR(D86="OIL_WATER",D86="GAS_WATER"),"TRANSITION_INTERVAL","")))))))))</f>
        <v/>
      </c>
      <c r="G86" s="20">
        <f>IF(OR(F86="",Master_Data!R86="",Master_Data!S86=""),"",IF(RIGHT(F86,10)="TRANSITION",AVERAGE(Master_Data!R86:Master_Data!S86),AVERAGE(Master_Data!S86,Master_Data!R87)))</f>
        <v/>
      </c>
      <c r="H86" s="20">
        <f>IF(G86="","",MAX(Settings!$B$4,Settings!$B$5*AVERAGE(IF(Master_Data!O86&lt;&gt;"",Master_Data!O86,Master_Data!H86),IF(Master_Data!O87&lt;&gt;"",Master_Data!O87,Master_Data!H87))))</f>
        <v/>
      </c>
      <c r="I86" s="20">
        <f>IF(G86="","",G86-H86)</f>
        <v/>
      </c>
      <c r="J86" s="20">
        <f>IF(G86="","",G86+H86)</f>
        <v/>
      </c>
      <c r="K86" s="20">
        <f>IF($A86="","",Master_Data!G86)</f>
        <v/>
      </c>
      <c r="L86" s="20">
        <f>IF($A86="","",Master_Data!G87)</f>
        <v/>
      </c>
      <c r="M86" s="20">
        <f>IF(AND(ISNUMBER(K86),ISNUMBER(L86)),L86-K86,"")</f>
        <v/>
      </c>
      <c r="N86" s="19">
        <f>IF(G86="","",IF(AND(ISNUMBER(K86),ISNUMBER(L86)),IF(OR(F86="GOC",F86="OWC",F86="GWC",F86="OWC_TRANSITION",F86="GOC_TRANSITION"),IF(L86&gt;=K86,"Supports","Conflicts"),"N/A"),"No Sw"))</f>
        <v/>
      </c>
      <c r="O86" s="20">
        <f>IF(G86="","",Settings!$B$6*IF(OR(F86="GOC",F86="OWC",F86="GWC"),1,0.7)+Settings!$B$7*IF(N86="Supports",1,IF(N86="Conflicts",0,0.5))+Settings!$B$8*IF(AND(Master_Data!R86&lt;&gt;"",Master_Data!S86&lt;&gt;"",Master_Data!R87&lt;&gt;"",Master_Data!S87&lt;&gt;""),1,0.5))</f>
        <v/>
      </c>
      <c r="P86" s="19">
        <f>IF(G86="","",IF(N86="Conflicts","SW_CONFLICT",IF(OR(F86="GOC",F86="OWC",F86="GWC"),"DIRECT_FLUID_TRANSITION","TRANSITION_INTERVAL")))</f>
        <v/>
      </c>
      <c r="Q86" s="19">
        <f>IF(G86="","",IF(N86="Conflicts","Investigate contact interpretation / saturation behaviour",IF(OR(F86="OWC",F86="GOC",F86="GWC"),"Candidate contact — validate with logs, pressure and dynamic evidence","Transition zone — do not force to a sharp contact")))</f>
        <v/>
      </c>
    </row>
    <row r="87">
      <c r="A87" s="19">
        <f>IF(AND(Master_Data!A87&lt;&gt;"",Master_Data!A87=Master_Data!A88),Master_Data!A87,"")</f>
        <v/>
      </c>
      <c r="B87" s="19">
        <f>IF($A87="","",Master_Data!B87)</f>
        <v/>
      </c>
      <c r="C87" s="19">
        <f>IF($A87="","",Master_Data!B88)</f>
        <v/>
      </c>
      <c r="D87" s="19">
        <f>IF($A87="","",Master_Data!Q87)</f>
        <v/>
      </c>
      <c r="E87" s="19">
        <f>IF($A87="","",Master_Data!Q88)</f>
        <v/>
      </c>
      <c r="F87" s="19">
        <f>IF($A87="","",IF(AND(D87="GAS",E87="OIL"),"GOC",IF(AND(D87="OIL",E87="WATER"),"OWC",IF(AND(D87="GAS",E87="WATER"),"GWC",IF(AND(D87="OIL",E87="OIL_WATER"),"OWC_TRANSITION",IF(AND(D87="OIL_WATER",E87="WATER"),"OWC_TRANSITION",IF(AND(D87="GAS",E87="GAS_WATER"),"GOC_TRANSITION",IF(AND(D87="GAS_WATER",E87="OIL"),"GOC_TRANSITION",IF(OR(D87="OIL_WATER",D87="GAS_WATER"),"TRANSITION_INTERVAL","")))))))))</f>
        <v/>
      </c>
      <c r="G87" s="20">
        <f>IF(OR(F87="",Master_Data!R87="",Master_Data!S87=""),"",IF(RIGHT(F87,10)="TRANSITION",AVERAGE(Master_Data!R87:Master_Data!S87),AVERAGE(Master_Data!S87,Master_Data!R88)))</f>
        <v/>
      </c>
      <c r="H87" s="20">
        <f>IF(G87="","",MAX(Settings!$B$4,Settings!$B$5*AVERAGE(IF(Master_Data!O87&lt;&gt;"",Master_Data!O87,Master_Data!H87),IF(Master_Data!O88&lt;&gt;"",Master_Data!O88,Master_Data!H88))))</f>
        <v/>
      </c>
      <c r="I87" s="20">
        <f>IF(G87="","",G87-H87)</f>
        <v/>
      </c>
      <c r="J87" s="20">
        <f>IF(G87="","",G87+H87)</f>
        <v/>
      </c>
      <c r="K87" s="20">
        <f>IF($A87="","",Master_Data!G87)</f>
        <v/>
      </c>
      <c r="L87" s="20">
        <f>IF($A87="","",Master_Data!G88)</f>
        <v/>
      </c>
      <c r="M87" s="20">
        <f>IF(AND(ISNUMBER(K87),ISNUMBER(L87)),L87-K87,"")</f>
        <v/>
      </c>
      <c r="N87" s="19">
        <f>IF(G87="","",IF(AND(ISNUMBER(K87),ISNUMBER(L87)),IF(OR(F87="GOC",F87="OWC",F87="GWC",F87="OWC_TRANSITION",F87="GOC_TRANSITION"),IF(L87&gt;=K87,"Supports","Conflicts"),"N/A"),"No Sw"))</f>
        <v/>
      </c>
      <c r="O87" s="20">
        <f>IF(G87="","",Settings!$B$6*IF(OR(F87="GOC",F87="OWC",F87="GWC"),1,0.7)+Settings!$B$7*IF(N87="Supports",1,IF(N87="Conflicts",0,0.5))+Settings!$B$8*IF(AND(Master_Data!R87&lt;&gt;"",Master_Data!S87&lt;&gt;"",Master_Data!R88&lt;&gt;"",Master_Data!S88&lt;&gt;""),1,0.5))</f>
        <v/>
      </c>
      <c r="P87" s="19">
        <f>IF(G87="","",IF(N87="Conflicts","SW_CONFLICT",IF(OR(F87="GOC",F87="OWC",F87="GWC"),"DIRECT_FLUID_TRANSITION","TRANSITION_INTERVAL")))</f>
        <v/>
      </c>
      <c r="Q87" s="19">
        <f>IF(G87="","",IF(N87="Conflicts","Investigate contact interpretation / saturation behaviour",IF(OR(F87="OWC",F87="GOC",F87="GWC"),"Candidate contact — validate with logs, pressure and dynamic evidence","Transition zone — do not force to a sharp contact")))</f>
        <v/>
      </c>
    </row>
    <row r="88">
      <c r="A88" s="19">
        <f>IF(AND(Master_Data!A88&lt;&gt;"",Master_Data!A88=Master_Data!A89),Master_Data!A88,"")</f>
        <v/>
      </c>
      <c r="B88" s="19">
        <f>IF($A88="","",Master_Data!B88)</f>
        <v/>
      </c>
      <c r="C88" s="19">
        <f>IF($A88="","",Master_Data!B89)</f>
        <v/>
      </c>
      <c r="D88" s="19">
        <f>IF($A88="","",Master_Data!Q88)</f>
        <v/>
      </c>
      <c r="E88" s="19">
        <f>IF($A88="","",Master_Data!Q89)</f>
        <v/>
      </c>
      <c r="F88" s="19">
        <f>IF($A88="","",IF(AND(D88="GAS",E88="OIL"),"GOC",IF(AND(D88="OIL",E88="WATER"),"OWC",IF(AND(D88="GAS",E88="WATER"),"GWC",IF(AND(D88="OIL",E88="OIL_WATER"),"OWC_TRANSITION",IF(AND(D88="OIL_WATER",E88="WATER"),"OWC_TRANSITION",IF(AND(D88="GAS",E88="GAS_WATER"),"GOC_TRANSITION",IF(AND(D88="GAS_WATER",E88="OIL"),"GOC_TRANSITION",IF(OR(D88="OIL_WATER",D88="GAS_WATER"),"TRANSITION_INTERVAL","")))))))))</f>
        <v/>
      </c>
      <c r="G88" s="20">
        <f>IF(OR(F88="",Master_Data!R88="",Master_Data!S88=""),"",IF(RIGHT(F88,10)="TRANSITION",AVERAGE(Master_Data!R88:Master_Data!S88),AVERAGE(Master_Data!S88,Master_Data!R89)))</f>
        <v/>
      </c>
      <c r="H88" s="20">
        <f>IF(G88="","",MAX(Settings!$B$4,Settings!$B$5*AVERAGE(IF(Master_Data!O88&lt;&gt;"",Master_Data!O88,Master_Data!H88),IF(Master_Data!O89&lt;&gt;"",Master_Data!O89,Master_Data!H89))))</f>
        <v/>
      </c>
      <c r="I88" s="20">
        <f>IF(G88="","",G88-H88)</f>
        <v/>
      </c>
      <c r="J88" s="20">
        <f>IF(G88="","",G88+H88)</f>
        <v/>
      </c>
      <c r="K88" s="20">
        <f>IF($A88="","",Master_Data!G88)</f>
        <v/>
      </c>
      <c r="L88" s="20">
        <f>IF($A88="","",Master_Data!G89)</f>
        <v/>
      </c>
      <c r="M88" s="20">
        <f>IF(AND(ISNUMBER(K88),ISNUMBER(L88)),L88-K88,"")</f>
        <v/>
      </c>
      <c r="N88" s="19">
        <f>IF(G88="","",IF(AND(ISNUMBER(K88),ISNUMBER(L88)),IF(OR(F88="GOC",F88="OWC",F88="GWC",F88="OWC_TRANSITION",F88="GOC_TRANSITION"),IF(L88&gt;=K88,"Supports","Conflicts"),"N/A"),"No Sw"))</f>
        <v/>
      </c>
      <c r="O88" s="20">
        <f>IF(G88="","",Settings!$B$6*IF(OR(F88="GOC",F88="OWC",F88="GWC"),1,0.7)+Settings!$B$7*IF(N88="Supports",1,IF(N88="Conflicts",0,0.5))+Settings!$B$8*IF(AND(Master_Data!R88&lt;&gt;"",Master_Data!S88&lt;&gt;"",Master_Data!R89&lt;&gt;"",Master_Data!S89&lt;&gt;""),1,0.5))</f>
        <v/>
      </c>
      <c r="P88" s="19">
        <f>IF(G88="","",IF(N88="Conflicts","SW_CONFLICT",IF(OR(F88="GOC",F88="OWC",F88="GWC"),"DIRECT_FLUID_TRANSITION","TRANSITION_INTERVAL")))</f>
        <v/>
      </c>
      <c r="Q88" s="19">
        <f>IF(G88="","",IF(N88="Conflicts","Investigate contact interpretation / saturation behaviour",IF(OR(F88="OWC",F88="GOC",F88="GWC"),"Candidate contact — validate with logs, pressure and dynamic evidence","Transition zone — do not force to a sharp contact")))</f>
        <v/>
      </c>
    </row>
    <row r="89">
      <c r="A89" s="19">
        <f>IF(AND(Master_Data!A89&lt;&gt;"",Master_Data!A89=Master_Data!A90),Master_Data!A89,"")</f>
        <v/>
      </c>
      <c r="B89" s="19">
        <f>IF($A89="","",Master_Data!B89)</f>
        <v/>
      </c>
      <c r="C89" s="19">
        <f>IF($A89="","",Master_Data!B90)</f>
        <v/>
      </c>
      <c r="D89" s="19">
        <f>IF($A89="","",Master_Data!Q89)</f>
        <v/>
      </c>
      <c r="E89" s="19">
        <f>IF($A89="","",Master_Data!Q90)</f>
        <v/>
      </c>
      <c r="F89" s="19">
        <f>IF($A89="","",IF(AND(D89="GAS",E89="OIL"),"GOC",IF(AND(D89="OIL",E89="WATER"),"OWC",IF(AND(D89="GAS",E89="WATER"),"GWC",IF(AND(D89="OIL",E89="OIL_WATER"),"OWC_TRANSITION",IF(AND(D89="OIL_WATER",E89="WATER"),"OWC_TRANSITION",IF(AND(D89="GAS",E89="GAS_WATER"),"GOC_TRANSITION",IF(AND(D89="GAS_WATER",E89="OIL"),"GOC_TRANSITION",IF(OR(D89="OIL_WATER",D89="GAS_WATER"),"TRANSITION_INTERVAL","")))))))))</f>
        <v/>
      </c>
      <c r="G89" s="20">
        <f>IF(OR(F89="",Master_Data!R89="",Master_Data!S89=""),"",IF(RIGHT(F89,10)="TRANSITION",AVERAGE(Master_Data!R89:Master_Data!S89),AVERAGE(Master_Data!S89,Master_Data!R90)))</f>
        <v/>
      </c>
      <c r="H89" s="20">
        <f>IF(G89="","",MAX(Settings!$B$4,Settings!$B$5*AVERAGE(IF(Master_Data!O89&lt;&gt;"",Master_Data!O89,Master_Data!H89),IF(Master_Data!O90&lt;&gt;"",Master_Data!O90,Master_Data!H90))))</f>
        <v/>
      </c>
      <c r="I89" s="20">
        <f>IF(G89="","",G89-H89)</f>
        <v/>
      </c>
      <c r="J89" s="20">
        <f>IF(G89="","",G89+H89)</f>
        <v/>
      </c>
      <c r="K89" s="20">
        <f>IF($A89="","",Master_Data!G89)</f>
        <v/>
      </c>
      <c r="L89" s="20">
        <f>IF($A89="","",Master_Data!G90)</f>
        <v/>
      </c>
      <c r="M89" s="20">
        <f>IF(AND(ISNUMBER(K89),ISNUMBER(L89)),L89-K89,"")</f>
        <v/>
      </c>
      <c r="N89" s="19">
        <f>IF(G89="","",IF(AND(ISNUMBER(K89),ISNUMBER(L89)),IF(OR(F89="GOC",F89="OWC",F89="GWC",F89="OWC_TRANSITION",F89="GOC_TRANSITION"),IF(L89&gt;=K89,"Supports","Conflicts"),"N/A"),"No Sw"))</f>
        <v/>
      </c>
      <c r="O89" s="20">
        <f>IF(G89="","",Settings!$B$6*IF(OR(F89="GOC",F89="OWC",F89="GWC"),1,0.7)+Settings!$B$7*IF(N89="Supports",1,IF(N89="Conflicts",0,0.5))+Settings!$B$8*IF(AND(Master_Data!R89&lt;&gt;"",Master_Data!S89&lt;&gt;"",Master_Data!R90&lt;&gt;"",Master_Data!S90&lt;&gt;""),1,0.5))</f>
        <v/>
      </c>
      <c r="P89" s="19">
        <f>IF(G89="","",IF(N89="Conflicts","SW_CONFLICT",IF(OR(F89="GOC",F89="OWC",F89="GWC"),"DIRECT_FLUID_TRANSITION","TRANSITION_INTERVAL")))</f>
        <v/>
      </c>
      <c r="Q89" s="19">
        <f>IF(G89="","",IF(N89="Conflicts","Investigate contact interpretation / saturation behaviour",IF(OR(F89="OWC",F89="GOC",F89="GWC"),"Candidate contact — validate with logs, pressure and dynamic evidence","Transition zone — do not force to a sharp contact")))</f>
        <v/>
      </c>
    </row>
    <row r="90">
      <c r="A90" s="19">
        <f>IF(AND(Master_Data!A90&lt;&gt;"",Master_Data!A90=Master_Data!A91),Master_Data!A90,"")</f>
        <v/>
      </c>
      <c r="B90" s="19">
        <f>IF($A90="","",Master_Data!B90)</f>
        <v/>
      </c>
      <c r="C90" s="19">
        <f>IF($A90="","",Master_Data!B91)</f>
        <v/>
      </c>
      <c r="D90" s="19">
        <f>IF($A90="","",Master_Data!Q90)</f>
        <v/>
      </c>
      <c r="E90" s="19">
        <f>IF($A90="","",Master_Data!Q91)</f>
        <v/>
      </c>
      <c r="F90" s="19">
        <f>IF($A90="","",IF(AND(D90="GAS",E90="OIL"),"GOC",IF(AND(D90="OIL",E90="WATER"),"OWC",IF(AND(D90="GAS",E90="WATER"),"GWC",IF(AND(D90="OIL",E90="OIL_WATER"),"OWC_TRANSITION",IF(AND(D90="OIL_WATER",E90="WATER"),"OWC_TRANSITION",IF(AND(D90="GAS",E90="GAS_WATER"),"GOC_TRANSITION",IF(AND(D90="GAS_WATER",E90="OIL"),"GOC_TRANSITION",IF(OR(D90="OIL_WATER",D90="GAS_WATER"),"TRANSITION_INTERVAL","")))))))))</f>
        <v/>
      </c>
      <c r="G90" s="20">
        <f>IF(OR(F90="",Master_Data!R90="",Master_Data!S90=""),"",IF(RIGHT(F90,10)="TRANSITION",AVERAGE(Master_Data!R90:Master_Data!S90),AVERAGE(Master_Data!S90,Master_Data!R91)))</f>
        <v/>
      </c>
      <c r="H90" s="20">
        <f>IF(G90="","",MAX(Settings!$B$4,Settings!$B$5*AVERAGE(IF(Master_Data!O90&lt;&gt;"",Master_Data!O90,Master_Data!H90),IF(Master_Data!O91&lt;&gt;"",Master_Data!O91,Master_Data!H91))))</f>
        <v/>
      </c>
      <c r="I90" s="20">
        <f>IF(G90="","",G90-H90)</f>
        <v/>
      </c>
      <c r="J90" s="20">
        <f>IF(G90="","",G90+H90)</f>
        <v/>
      </c>
      <c r="K90" s="20">
        <f>IF($A90="","",Master_Data!G90)</f>
        <v/>
      </c>
      <c r="L90" s="20">
        <f>IF($A90="","",Master_Data!G91)</f>
        <v/>
      </c>
      <c r="M90" s="20">
        <f>IF(AND(ISNUMBER(K90),ISNUMBER(L90)),L90-K90,"")</f>
        <v/>
      </c>
      <c r="N90" s="19">
        <f>IF(G90="","",IF(AND(ISNUMBER(K90),ISNUMBER(L90)),IF(OR(F90="GOC",F90="OWC",F90="GWC",F90="OWC_TRANSITION",F90="GOC_TRANSITION"),IF(L90&gt;=K90,"Supports","Conflicts"),"N/A"),"No Sw"))</f>
        <v/>
      </c>
      <c r="O90" s="20">
        <f>IF(G90="","",Settings!$B$6*IF(OR(F90="GOC",F90="OWC",F90="GWC"),1,0.7)+Settings!$B$7*IF(N90="Supports",1,IF(N90="Conflicts",0,0.5))+Settings!$B$8*IF(AND(Master_Data!R90&lt;&gt;"",Master_Data!S90&lt;&gt;"",Master_Data!R91&lt;&gt;"",Master_Data!S91&lt;&gt;""),1,0.5))</f>
        <v/>
      </c>
      <c r="P90" s="19">
        <f>IF(G90="","",IF(N90="Conflicts","SW_CONFLICT",IF(OR(F90="GOC",F90="OWC",F90="GWC"),"DIRECT_FLUID_TRANSITION","TRANSITION_INTERVAL")))</f>
        <v/>
      </c>
      <c r="Q90" s="19">
        <f>IF(G90="","",IF(N90="Conflicts","Investigate contact interpretation / saturation behaviour",IF(OR(F90="OWC",F90="GOC",F90="GWC"),"Candidate contact — validate with logs, pressure and dynamic evidence","Transition zone — do not force to a sharp contact")))</f>
        <v/>
      </c>
    </row>
    <row r="91">
      <c r="A91" s="19">
        <f>IF(AND(Master_Data!A91&lt;&gt;"",Master_Data!A91=Master_Data!A92),Master_Data!A91,"")</f>
        <v/>
      </c>
      <c r="B91" s="19">
        <f>IF($A91="","",Master_Data!B91)</f>
        <v/>
      </c>
      <c r="C91" s="19">
        <f>IF($A91="","",Master_Data!B92)</f>
        <v/>
      </c>
      <c r="D91" s="19">
        <f>IF($A91="","",Master_Data!Q91)</f>
        <v/>
      </c>
      <c r="E91" s="19">
        <f>IF($A91="","",Master_Data!Q92)</f>
        <v/>
      </c>
      <c r="F91" s="19">
        <f>IF($A91="","",IF(AND(D91="GAS",E91="OIL"),"GOC",IF(AND(D91="OIL",E91="WATER"),"OWC",IF(AND(D91="GAS",E91="WATER"),"GWC",IF(AND(D91="OIL",E91="OIL_WATER"),"OWC_TRANSITION",IF(AND(D91="OIL_WATER",E91="WATER"),"OWC_TRANSITION",IF(AND(D91="GAS",E91="GAS_WATER"),"GOC_TRANSITION",IF(AND(D91="GAS_WATER",E91="OIL"),"GOC_TRANSITION",IF(OR(D91="OIL_WATER",D91="GAS_WATER"),"TRANSITION_INTERVAL","")))))))))</f>
        <v/>
      </c>
      <c r="G91" s="20">
        <f>IF(OR(F91="",Master_Data!R91="",Master_Data!S91=""),"",IF(RIGHT(F91,10)="TRANSITION",AVERAGE(Master_Data!R91:Master_Data!S91),AVERAGE(Master_Data!S91,Master_Data!R92)))</f>
        <v/>
      </c>
      <c r="H91" s="20">
        <f>IF(G91="","",MAX(Settings!$B$4,Settings!$B$5*AVERAGE(IF(Master_Data!O91&lt;&gt;"",Master_Data!O91,Master_Data!H91),IF(Master_Data!O92&lt;&gt;"",Master_Data!O92,Master_Data!H92))))</f>
        <v/>
      </c>
      <c r="I91" s="20">
        <f>IF(G91="","",G91-H91)</f>
        <v/>
      </c>
      <c r="J91" s="20">
        <f>IF(G91="","",G91+H91)</f>
        <v/>
      </c>
      <c r="K91" s="20">
        <f>IF($A91="","",Master_Data!G91)</f>
        <v/>
      </c>
      <c r="L91" s="20">
        <f>IF($A91="","",Master_Data!G92)</f>
        <v/>
      </c>
      <c r="M91" s="20">
        <f>IF(AND(ISNUMBER(K91),ISNUMBER(L91)),L91-K91,"")</f>
        <v/>
      </c>
      <c r="N91" s="19">
        <f>IF(G91="","",IF(AND(ISNUMBER(K91),ISNUMBER(L91)),IF(OR(F91="GOC",F91="OWC",F91="GWC",F91="OWC_TRANSITION",F91="GOC_TRANSITION"),IF(L91&gt;=K91,"Supports","Conflicts"),"N/A"),"No Sw"))</f>
        <v/>
      </c>
      <c r="O91" s="20">
        <f>IF(G91="","",Settings!$B$6*IF(OR(F91="GOC",F91="OWC",F91="GWC"),1,0.7)+Settings!$B$7*IF(N91="Supports",1,IF(N91="Conflicts",0,0.5))+Settings!$B$8*IF(AND(Master_Data!R91&lt;&gt;"",Master_Data!S91&lt;&gt;"",Master_Data!R92&lt;&gt;"",Master_Data!S92&lt;&gt;""),1,0.5))</f>
        <v/>
      </c>
      <c r="P91" s="19">
        <f>IF(G91="","",IF(N91="Conflicts","SW_CONFLICT",IF(OR(F91="GOC",F91="OWC",F91="GWC"),"DIRECT_FLUID_TRANSITION","TRANSITION_INTERVAL")))</f>
        <v/>
      </c>
      <c r="Q91" s="19">
        <f>IF(G91="","",IF(N91="Conflicts","Investigate contact interpretation / saturation behaviour",IF(OR(F91="OWC",F91="GOC",F91="GWC"),"Candidate contact — validate with logs, pressure and dynamic evidence","Transition zone — do not force to a sharp contact")))</f>
        <v/>
      </c>
    </row>
    <row r="92">
      <c r="A92" s="19">
        <f>IF(AND(Master_Data!A92&lt;&gt;"",Master_Data!A92=Master_Data!A93),Master_Data!A92,"")</f>
        <v/>
      </c>
      <c r="B92" s="19">
        <f>IF($A92="","",Master_Data!B92)</f>
        <v/>
      </c>
      <c r="C92" s="19">
        <f>IF($A92="","",Master_Data!B93)</f>
        <v/>
      </c>
      <c r="D92" s="19">
        <f>IF($A92="","",Master_Data!Q92)</f>
        <v/>
      </c>
      <c r="E92" s="19">
        <f>IF($A92="","",Master_Data!Q93)</f>
        <v/>
      </c>
      <c r="F92" s="19">
        <f>IF($A92="","",IF(AND(D92="GAS",E92="OIL"),"GOC",IF(AND(D92="OIL",E92="WATER"),"OWC",IF(AND(D92="GAS",E92="WATER"),"GWC",IF(AND(D92="OIL",E92="OIL_WATER"),"OWC_TRANSITION",IF(AND(D92="OIL_WATER",E92="WATER"),"OWC_TRANSITION",IF(AND(D92="GAS",E92="GAS_WATER"),"GOC_TRANSITION",IF(AND(D92="GAS_WATER",E92="OIL"),"GOC_TRANSITION",IF(OR(D92="OIL_WATER",D92="GAS_WATER"),"TRANSITION_INTERVAL","")))))))))</f>
        <v/>
      </c>
      <c r="G92" s="20">
        <f>IF(OR(F92="",Master_Data!R92="",Master_Data!S92=""),"",IF(RIGHT(F92,10)="TRANSITION",AVERAGE(Master_Data!R92:Master_Data!S92),AVERAGE(Master_Data!S92,Master_Data!R93)))</f>
        <v/>
      </c>
      <c r="H92" s="20">
        <f>IF(G92="","",MAX(Settings!$B$4,Settings!$B$5*AVERAGE(IF(Master_Data!O92&lt;&gt;"",Master_Data!O92,Master_Data!H92),IF(Master_Data!O93&lt;&gt;"",Master_Data!O93,Master_Data!H93))))</f>
        <v/>
      </c>
      <c r="I92" s="20">
        <f>IF(G92="","",G92-H92)</f>
        <v/>
      </c>
      <c r="J92" s="20">
        <f>IF(G92="","",G92+H92)</f>
        <v/>
      </c>
      <c r="K92" s="20">
        <f>IF($A92="","",Master_Data!G92)</f>
        <v/>
      </c>
      <c r="L92" s="20">
        <f>IF($A92="","",Master_Data!G93)</f>
        <v/>
      </c>
      <c r="M92" s="20">
        <f>IF(AND(ISNUMBER(K92),ISNUMBER(L92)),L92-K92,"")</f>
        <v/>
      </c>
      <c r="N92" s="19">
        <f>IF(G92="","",IF(AND(ISNUMBER(K92),ISNUMBER(L92)),IF(OR(F92="GOC",F92="OWC",F92="GWC",F92="OWC_TRANSITION",F92="GOC_TRANSITION"),IF(L92&gt;=K92,"Supports","Conflicts"),"N/A"),"No Sw"))</f>
        <v/>
      </c>
      <c r="O92" s="20">
        <f>IF(G92="","",Settings!$B$6*IF(OR(F92="GOC",F92="OWC",F92="GWC"),1,0.7)+Settings!$B$7*IF(N92="Supports",1,IF(N92="Conflicts",0,0.5))+Settings!$B$8*IF(AND(Master_Data!R92&lt;&gt;"",Master_Data!S92&lt;&gt;"",Master_Data!R93&lt;&gt;"",Master_Data!S93&lt;&gt;""),1,0.5))</f>
        <v/>
      </c>
      <c r="P92" s="19">
        <f>IF(G92="","",IF(N92="Conflicts","SW_CONFLICT",IF(OR(F92="GOC",F92="OWC",F92="GWC"),"DIRECT_FLUID_TRANSITION","TRANSITION_INTERVAL")))</f>
        <v/>
      </c>
      <c r="Q92" s="19">
        <f>IF(G92="","",IF(N92="Conflicts","Investigate contact interpretation / saturation behaviour",IF(OR(F92="OWC",F92="GOC",F92="GWC"),"Candidate contact — validate with logs, pressure and dynamic evidence","Transition zone — do not force to a sharp contact")))</f>
        <v/>
      </c>
    </row>
    <row r="93">
      <c r="A93" s="19">
        <f>IF(AND(Master_Data!A93&lt;&gt;"",Master_Data!A93=Master_Data!A94),Master_Data!A93,"")</f>
        <v/>
      </c>
      <c r="B93" s="19">
        <f>IF($A93="","",Master_Data!B93)</f>
        <v/>
      </c>
      <c r="C93" s="19">
        <f>IF($A93="","",Master_Data!B94)</f>
        <v/>
      </c>
      <c r="D93" s="19">
        <f>IF($A93="","",Master_Data!Q93)</f>
        <v/>
      </c>
      <c r="E93" s="19">
        <f>IF($A93="","",Master_Data!Q94)</f>
        <v/>
      </c>
      <c r="F93" s="19">
        <f>IF($A93="","",IF(AND(D93="GAS",E93="OIL"),"GOC",IF(AND(D93="OIL",E93="WATER"),"OWC",IF(AND(D93="GAS",E93="WATER"),"GWC",IF(AND(D93="OIL",E93="OIL_WATER"),"OWC_TRANSITION",IF(AND(D93="OIL_WATER",E93="WATER"),"OWC_TRANSITION",IF(AND(D93="GAS",E93="GAS_WATER"),"GOC_TRANSITION",IF(AND(D93="GAS_WATER",E93="OIL"),"GOC_TRANSITION",IF(OR(D93="OIL_WATER",D93="GAS_WATER"),"TRANSITION_INTERVAL","")))))))))</f>
        <v/>
      </c>
      <c r="G93" s="20">
        <f>IF(OR(F93="",Master_Data!R93="",Master_Data!S93=""),"",IF(RIGHT(F93,10)="TRANSITION",AVERAGE(Master_Data!R93:Master_Data!S93),AVERAGE(Master_Data!S93,Master_Data!R94)))</f>
        <v/>
      </c>
      <c r="H93" s="20">
        <f>IF(G93="","",MAX(Settings!$B$4,Settings!$B$5*AVERAGE(IF(Master_Data!O93&lt;&gt;"",Master_Data!O93,Master_Data!H93),IF(Master_Data!O94&lt;&gt;"",Master_Data!O94,Master_Data!H94))))</f>
        <v/>
      </c>
      <c r="I93" s="20">
        <f>IF(G93="","",G93-H93)</f>
        <v/>
      </c>
      <c r="J93" s="20">
        <f>IF(G93="","",G93+H93)</f>
        <v/>
      </c>
      <c r="K93" s="20">
        <f>IF($A93="","",Master_Data!G93)</f>
        <v/>
      </c>
      <c r="L93" s="20">
        <f>IF($A93="","",Master_Data!G94)</f>
        <v/>
      </c>
      <c r="M93" s="20">
        <f>IF(AND(ISNUMBER(K93),ISNUMBER(L93)),L93-K93,"")</f>
        <v/>
      </c>
      <c r="N93" s="19">
        <f>IF(G93="","",IF(AND(ISNUMBER(K93),ISNUMBER(L93)),IF(OR(F93="GOC",F93="OWC",F93="GWC",F93="OWC_TRANSITION",F93="GOC_TRANSITION"),IF(L93&gt;=K93,"Supports","Conflicts"),"N/A"),"No Sw"))</f>
        <v/>
      </c>
      <c r="O93" s="20">
        <f>IF(G93="","",Settings!$B$6*IF(OR(F93="GOC",F93="OWC",F93="GWC"),1,0.7)+Settings!$B$7*IF(N93="Supports",1,IF(N93="Conflicts",0,0.5))+Settings!$B$8*IF(AND(Master_Data!R93&lt;&gt;"",Master_Data!S93&lt;&gt;"",Master_Data!R94&lt;&gt;"",Master_Data!S94&lt;&gt;""),1,0.5))</f>
        <v/>
      </c>
      <c r="P93" s="19">
        <f>IF(G93="","",IF(N93="Conflicts","SW_CONFLICT",IF(OR(F93="GOC",F93="OWC",F93="GWC"),"DIRECT_FLUID_TRANSITION","TRANSITION_INTERVAL")))</f>
        <v/>
      </c>
      <c r="Q93" s="19">
        <f>IF(G93="","",IF(N93="Conflicts","Investigate contact interpretation / saturation behaviour",IF(OR(F93="OWC",F93="GOC",F93="GWC"),"Candidate contact — validate with logs, pressure and dynamic evidence","Transition zone — do not force to a sharp contact")))</f>
        <v/>
      </c>
    </row>
    <row r="94">
      <c r="A94" s="19">
        <f>IF(AND(Master_Data!A94&lt;&gt;"",Master_Data!A94=Master_Data!A95),Master_Data!A94,"")</f>
        <v/>
      </c>
      <c r="B94" s="19">
        <f>IF($A94="","",Master_Data!B94)</f>
        <v/>
      </c>
      <c r="C94" s="19">
        <f>IF($A94="","",Master_Data!B95)</f>
        <v/>
      </c>
      <c r="D94" s="19">
        <f>IF($A94="","",Master_Data!Q94)</f>
        <v/>
      </c>
      <c r="E94" s="19">
        <f>IF($A94="","",Master_Data!Q95)</f>
        <v/>
      </c>
      <c r="F94" s="19">
        <f>IF($A94="","",IF(AND(D94="GAS",E94="OIL"),"GOC",IF(AND(D94="OIL",E94="WATER"),"OWC",IF(AND(D94="GAS",E94="WATER"),"GWC",IF(AND(D94="OIL",E94="OIL_WATER"),"OWC_TRANSITION",IF(AND(D94="OIL_WATER",E94="WATER"),"OWC_TRANSITION",IF(AND(D94="GAS",E94="GAS_WATER"),"GOC_TRANSITION",IF(AND(D94="GAS_WATER",E94="OIL"),"GOC_TRANSITION",IF(OR(D94="OIL_WATER",D94="GAS_WATER"),"TRANSITION_INTERVAL","")))))))))</f>
        <v/>
      </c>
      <c r="G94" s="20">
        <f>IF(OR(F94="",Master_Data!R94="",Master_Data!S94=""),"",IF(RIGHT(F94,10)="TRANSITION",AVERAGE(Master_Data!R94:Master_Data!S94),AVERAGE(Master_Data!S94,Master_Data!R95)))</f>
        <v/>
      </c>
      <c r="H94" s="20">
        <f>IF(G94="","",MAX(Settings!$B$4,Settings!$B$5*AVERAGE(IF(Master_Data!O94&lt;&gt;"",Master_Data!O94,Master_Data!H94),IF(Master_Data!O95&lt;&gt;"",Master_Data!O95,Master_Data!H95))))</f>
        <v/>
      </c>
      <c r="I94" s="20">
        <f>IF(G94="","",G94-H94)</f>
        <v/>
      </c>
      <c r="J94" s="20">
        <f>IF(G94="","",G94+H94)</f>
        <v/>
      </c>
      <c r="K94" s="20">
        <f>IF($A94="","",Master_Data!G94)</f>
        <v/>
      </c>
      <c r="L94" s="20">
        <f>IF($A94="","",Master_Data!G95)</f>
        <v/>
      </c>
      <c r="M94" s="20">
        <f>IF(AND(ISNUMBER(K94),ISNUMBER(L94)),L94-K94,"")</f>
        <v/>
      </c>
      <c r="N94" s="19">
        <f>IF(G94="","",IF(AND(ISNUMBER(K94),ISNUMBER(L94)),IF(OR(F94="GOC",F94="OWC",F94="GWC",F94="OWC_TRANSITION",F94="GOC_TRANSITION"),IF(L94&gt;=K94,"Supports","Conflicts"),"N/A"),"No Sw"))</f>
        <v/>
      </c>
      <c r="O94" s="20">
        <f>IF(G94="","",Settings!$B$6*IF(OR(F94="GOC",F94="OWC",F94="GWC"),1,0.7)+Settings!$B$7*IF(N94="Supports",1,IF(N94="Conflicts",0,0.5))+Settings!$B$8*IF(AND(Master_Data!R94&lt;&gt;"",Master_Data!S94&lt;&gt;"",Master_Data!R95&lt;&gt;"",Master_Data!S95&lt;&gt;""),1,0.5))</f>
        <v/>
      </c>
      <c r="P94" s="19">
        <f>IF(G94="","",IF(N94="Conflicts","SW_CONFLICT",IF(OR(F94="GOC",F94="OWC",F94="GWC"),"DIRECT_FLUID_TRANSITION","TRANSITION_INTERVAL")))</f>
        <v/>
      </c>
      <c r="Q94" s="19">
        <f>IF(G94="","",IF(N94="Conflicts","Investigate contact interpretation / saturation behaviour",IF(OR(F94="OWC",F94="GOC",F94="GWC"),"Candidate contact — validate with logs, pressure and dynamic evidence","Transition zone — do not force to a sharp contact")))</f>
        <v/>
      </c>
    </row>
    <row r="95">
      <c r="A95" s="19">
        <f>IF(AND(Master_Data!A95&lt;&gt;"",Master_Data!A95=Master_Data!A96),Master_Data!A95,"")</f>
        <v/>
      </c>
      <c r="B95" s="19">
        <f>IF($A95="","",Master_Data!B95)</f>
        <v/>
      </c>
      <c r="C95" s="19">
        <f>IF($A95="","",Master_Data!B96)</f>
        <v/>
      </c>
      <c r="D95" s="19">
        <f>IF($A95="","",Master_Data!Q95)</f>
        <v/>
      </c>
      <c r="E95" s="19">
        <f>IF($A95="","",Master_Data!Q96)</f>
        <v/>
      </c>
      <c r="F95" s="19">
        <f>IF($A95="","",IF(AND(D95="GAS",E95="OIL"),"GOC",IF(AND(D95="OIL",E95="WATER"),"OWC",IF(AND(D95="GAS",E95="WATER"),"GWC",IF(AND(D95="OIL",E95="OIL_WATER"),"OWC_TRANSITION",IF(AND(D95="OIL_WATER",E95="WATER"),"OWC_TRANSITION",IF(AND(D95="GAS",E95="GAS_WATER"),"GOC_TRANSITION",IF(AND(D95="GAS_WATER",E95="OIL"),"GOC_TRANSITION",IF(OR(D95="OIL_WATER",D95="GAS_WATER"),"TRANSITION_INTERVAL","")))))))))</f>
        <v/>
      </c>
      <c r="G95" s="20">
        <f>IF(OR(F95="",Master_Data!R95="",Master_Data!S95=""),"",IF(RIGHT(F95,10)="TRANSITION",AVERAGE(Master_Data!R95:Master_Data!S95),AVERAGE(Master_Data!S95,Master_Data!R96)))</f>
        <v/>
      </c>
      <c r="H95" s="20">
        <f>IF(G95="","",MAX(Settings!$B$4,Settings!$B$5*AVERAGE(IF(Master_Data!O95&lt;&gt;"",Master_Data!O95,Master_Data!H95),IF(Master_Data!O96&lt;&gt;"",Master_Data!O96,Master_Data!H96))))</f>
        <v/>
      </c>
      <c r="I95" s="20">
        <f>IF(G95="","",G95-H95)</f>
        <v/>
      </c>
      <c r="J95" s="20">
        <f>IF(G95="","",G95+H95)</f>
        <v/>
      </c>
      <c r="K95" s="20">
        <f>IF($A95="","",Master_Data!G95)</f>
        <v/>
      </c>
      <c r="L95" s="20">
        <f>IF($A95="","",Master_Data!G96)</f>
        <v/>
      </c>
      <c r="M95" s="20">
        <f>IF(AND(ISNUMBER(K95),ISNUMBER(L95)),L95-K95,"")</f>
        <v/>
      </c>
      <c r="N95" s="19">
        <f>IF(G95="","",IF(AND(ISNUMBER(K95),ISNUMBER(L95)),IF(OR(F95="GOC",F95="OWC",F95="GWC",F95="OWC_TRANSITION",F95="GOC_TRANSITION"),IF(L95&gt;=K95,"Supports","Conflicts"),"N/A"),"No Sw"))</f>
        <v/>
      </c>
      <c r="O95" s="20">
        <f>IF(G95="","",Settings!$B$6*IF(OR(F95="GOC",F95="OWC",F95="GWC"),1,0.7)+Settings!$B$7*IF(N95="Supports",1,IF(N95="Conflicts",0,0.5))+Settings!$B$8*IF(AND(Master_Data!R95&lt;&gt;"",Master_Data!S95&lt;&gt;"",Master_Data!R96&lt;&gt;"",Master_Data!S96&lt;&gt;""),1,0.5))</f>
        <v/>
      </c>
      <c r="P95" s="19">
        <f>IF(G95="","",IF(N95="Conflicts","SW_CONFLICT",IF(OR(F95="GOC",F95="OWC",F95="GWC"),"DIRECT_FLUID_TRANSITION","TRANSITION_INTERVAL")))</f>
        <v/>
      </c>
      <c r="Q95" s="19">
        <f>IF(G95="","",IF(N95="Conflicts","Investigate contact interpretation / saturation behaviour",IF(OR(F95="OWC",F95="GOC",F95="GWC"),"Candidate contact — validate with logs, pressure and dynamic evidence","Transition zone — do not force to a sharp contact")))</f>
        <v/>
      </c>
    </row>
    <row r="96">
      <c r="A96" s="19">
        <f>IF(AND(Master_Data!A96&lt;&gt;"",Master_Data!A96=Master_Data!A97),Master_Data!A96,"")</f>
        <v/>
      </c>
      <c r="B96" s="19">
        <f>IF($A96="","",Master_Data!B96)</f>
        <v/>
      </c>
      <c r="C96" s="19">
        <f>IF($A96="","",Master_Data!B97)</f>
        <v/>
      </c>
      <c r="D96" s="19">
        <f>IF($A96="","",Master_Data!Q96)</f>
        <v/>
      </c>
      <c r="E96" s="19">
        <f>IF($A96="","",Master_Data!Q97)</f>
        <v/>
      </c>
      <c r="F96" s="19">
        <f>IF($A96="","",IF(AND(D96="GAS",E96="OIL"),"GOC",IF(AND(D96="OIL",E96="WATER"),"OWC",IF(AND(D96="GAS",E96="WATER"),"GWC",IF(AND(D96="OIL",E96="OIL_WATER"),"OWC_TRANSITION",IF(AND(D96="OIL_WATER",E96="WATER"),"OWC_TRANSITION",IF(AND(D96="GAS",E96="GAS_WATER"),"GOC_TRANSITION",IF(AND(D96="GAS_WATER",E96="OIL"),"GOC_TRANSITION",IF(OR(D96="OIL_WATER",D96="GAS_WATER"),"TRANSITION_INTERVAL","")))))))))</f>
        <v/>
      </c>
      <c r="G96" s="20">
        <f>IF(OR(F96="",Master_Data!R96="",Master_Data!S96=""),"",IF(RIGHT(F96,10)="TRANSITION",AVERAGE(Master_Data!R96:Master_Data!S96),AVERAGE(Master_Data!S96,Master_Data!R97)))</f>
        <v/>
      </c>
      <c r="H96" s="20">
        <f>IF(G96="","",MAX(Settings!$B$4,Settings!$B$5*AVERAGE(IF(Master_Data!O96&lt;&gt;"",Master_Data!O96,Master_Data!H96),IF(Master_Data!O97&lt;&gt;"",Master_Data!O97,Master_Data!H97))))</f>
        <v/>
      </c>
      <c r="I96" s="20">
        <f>IF(G96="","",G96-H96)</f>
        <v/>
      </c>
      <c r="J96" s="20">
        <f>IF(G96="","",G96+H96)</f>
        <v/>
      </c>
      <c r="K96" s="20">
        <f>IF($A96="","",Master_Data!G96)</f>
        <v/>
      </c>
      <c r="L96" s="20">
        <f>IF($A96="","",Master_Data!G97)</f>
        <v/>
      </c>
      <c r="M96" s="20">
        <f>IF(AND(ISNUMBER(K96),ISNUMBER(L96)),L96-K96,"")</f>
        <v/>
      </c>
      <c r="N96" s="19">
        <f>IF(G96="","",IF(AND(ISNUMBER(K96),ISNUMBER(L96)),IF(OR(F96="GOC",F96="OWC",F96="GWC",F96="OWC_TRANSITION",F96="GOC_TRANSITION"),IF(L96&gt;=K96,"Supports","Conflicts"),"N/A"),"No Sw"))</f>
        <v/>
      </c>
      <c r="O96" s="20">
        <f>IF(G96="","",Settings!$B$6*IF(OR(F96="GOC",F96="OWC",F96="GWC"),1,0.7)+Settings!$B$7*IF(N96="Supports",1,IF(N96="Conflicts",0,0.5))+Settings!$B$8*IF(AND(Master_Data!R96&lt;&gt;"",Master_Data!S96&lt;&gt;"",Master_Data!R97&lt;&gt;"",Master_Data!S97&lt;&gt;""),1,0.5))</f>
        <v/>
      </c>
      <c r="P96" s="19">
        <f>IF(G96="","",IF(N96="Conflicts","SW_CONFLICT",IF(OR(F96="GOC",F96="OWC",F96="GWC"),"DIRECT_FLUID_TRANSITION","TRANSITION_INTERVAL")))</f>
        <v/>
      </c>
      <c r="Q96" s="19">
        <f>IF(G96="","",IF(N96="Conflicts","Investigate contact interpretation / saturation behaviour",IF(OR(F96="OWC",F96="GOC",F96="GWC"),"Candidate contact — validate with logs, pressure and dynamic evidence","Transition zone — do not force to a sharp contact")))</f>
        <v/>
      </c>
    </row>
    <row r="97">
      <c r="A97" s="19">
        <f>IF(AND(Master_Data!A97&lt;&gt;"",Master_Data!A97=Master_Data!A98),Master_Data!A97,"")</f>
        <v/>
      </c>
      <c r="B97" s="19">
        <f>IF($A97="","",Master_Data!B97)</f>
        <v/>
      </c>
      <c r="C97" s="19">
        <f>IF($A97="","",Master_Data!B98)</f>
        <v/>
      </c>
      <c r="D97" s="19">
        <f>IF($A97="","",Master_Data!Q97)</f>
        <v/>
      </c>
      <c r="E97" s="19">
        <f>IF($A97="","",Master_Data!Q98)</f>
        <v/>
      </c>
      <c r="F97" s="19">
        <f>IF($A97="","",IF(AND(D97="GAS",E97="OIL"),"GOC",IF(AND(D97="OIL",E97="WATER"),"OWC",IF(AND(D97="GAS",E97="WATER"),"GWC",IF(AND(D97="OIL",E97="OIL_WATER"),"OWC_TRANSITION",IF(AND(D97="OIL_WATER",E97="WATER"),"OWC_TRANSITION",IF(AND(D97="GAS",E97="GAS_WATER"),"GOC_TRANSITION",IF(AND(D97="GAS_WATER",E97="OIL"),"GOC_TRANSITION",IF(OR(D97="OIL_WATER",D97="GAS_WATER"),"TRANSITION_INTERVAL","")))))))))</f>
        <v/>
      </c>
      <c r="G97" s="20">
        <f>IF(OR(F97="",Master_Data!R97="",Master_Data!S97=""),"",IF(RIGHT(F97,10)="TRANSITION",AVERAGE(Master_Data!R97:Master_Data!S97),AVERAGE(Master_Data!S97,Master_Data!R98)))</f>
        <v/>
      </c>
      <c r="H97" s="20">
        <f>IF(G97="","",MAX(Settings!$B$4,Settings!$B$5*AVERAGE(IF(Master_Data!O97&lt;&gt;"",Master_Data!O97,Master_Data!H97),IF(Master_Data!O98&lt;&gt;"",Master_Data!O98,Master_Data!H98))))</f>
        <v/>
      </c>
      <c r="I97" s="20">
        <f>IF(G97="","",G97-H97)</f>
        <v/>
      </c>
      <c r="J97" s="20">
        <f>IF(G97="","",G97+H97)</f>
        <v/>
      </c>
      <c r="K97" s="20">
        <f>IF($A97="","",Master_Data!G97)</f>
        <v/>
      </c>
      <c r="L97" s="20">
        <f>IF($A97="","",Master_Data!G98)</f>
        <v/>
      </c>
      <c r="M97" s="20">
        <f>IF(AND(ISNUMBER(K97),ISNUMBER(L97)),L97-K97,"")</f>
        <v/>
      </c>
      <c r="N97" s="19">
        <f>IF(G97="","",IF(AND(ISNUMBER(K97),ISNUMBER(L97)),IF(OR(F97="GOC",F97="OWC",F97="GWC",F97="OWC_TRANSITION",F97="GOC_TRANSITION"),IF(L97&gt;=K97,"Supports","Conflicts"),"N/A"),"No Sw"))</f>
        <v/>
      </c>
      <c r="O97" s="20">
        <f>IF(G97="","",Settings!$B$6*IF(OR(F97="GOC",F97="OWC",F97="GWC"),1,0.7)+Settings!$B$7*IF(N97="Supports",1,IF(N97="Conflicts",0,0.5))+Settings!$B$8*IF(AND(Master_Data!R97&lt;&gt;"",Master_Data!S97&lt;&gt;"",Master_Data!R98&lt;&gt;"",Master_Data!S98&lt;&gt;""),1,0.5))</f>
        <v/>
      </c>
      <c r="P97" s="19">
        <f>IF(G97="","",IF(N97="Conflicts","SW_CONFLICT",IF(OR(F97="GOC",F97="OWC",F97="GWC"),"DIRECT_FLUID_TRANSITION","TRANSITION_INTERVAL")))</f>
        <v/>
      </c>
      <c r="Q97" s="19">
        <f>IF(G97="","",IF(N97="Conflicts","Investigate contact interpretation / saturation behaviour",IF(OR(F97="OWC",F97="GOC",F97="GWC"),"Candidate contact — validate with logs, pressure and dynamic evidence","Transition zone — do not force to a sharp contact")))</f>
        <v/>
      </c>
    </row>
    <row r="98">
      <c r="A98" s="19">
        <f>IF(AND(Master_Data!A98&lt;&gt;"",Master_Data!A98=Master_Data!A99),Master_Data!A98,"")</f>
        <v/>
      </c>
      <c r="B98" s="19">
        <f>IF($A98="","",Master_Data!B98)</f>
        <v/>
      </c>
      <c r="C98" s="19">
        <f>IF($A98="","",Master_Data!B99)</f>
        <v/>
      </c>
      <c r="D98" s="19">
        <f>IF($A98="","",Master_Data!Q98)</f>
        <v/>
      </c>
      <c r="E98" s="19">
        <f>IF($A98="","",Master_Data!Q99)</f>
        <v/>
      </c>
      <c r="F98" s="19">
        <f>IF($A98="","",IF(AND(D98="GAS",E98="OIL"),"GOC",IF(AND(D98="OIL",E98="WATER"),"OWC",IF(AND(D98="GAS",E98="WATER"),"GWC",IF(AND(D98="OIL",E98="OIL_WATER"),"OWC_TRANSITION",IF(AND(D98="OIL_WATER",E98="WATER"),"OWC_TRANSITION",IF(AND(D98="GAS",E98="GAS_WATER"),"GOC_TRANSITION",IF(AND(D98="GAS_WATER",E98="OIL"),"GOC_TRANSITION",IF(OR(D98="OIL_WATER",D98="GAS_WATER"),"TRANSITION_INTERVAL","")))))))))</f>
        <v/>
      </c>
      <c r="G98" s="20">
        <f>IF(OR(F98="",Master_Data!R98="",Master_Data!S98=""),"",IF(RIGHT(F98,10)="TRANSITION",AVERAGE(Master_Data!R98:Master_Data!S98),AVERAGE(Master_Data!S98,Master_Data!R99)))</f>
        <v/>
      </c>
      <c r="H98" s="20">
        <f>IF(G98="","",MAX(Settings!$B$4,Settings!$B$5*AVERAGE(IF(Master_Data!O98&lt;&gt;"",Master_Data!O98,Master_Data!H98),IF(Master_Data!O99&lt;&gt;"",Master_Data!O99,Master_Data!H99))))</f>
        <v/>
      </c>
      <c r="I98" s="20">
        <f>IF(G98="","",G98-H98)</f>
        <v/>
      </c>
      <c r="J98" s="20">
        <f>IF(G98="","",G98+H98)</f>
        <v/>
      </c>
      <c r="K98" s="20">
        <f>IF($A98="","",Master_Data!G98)</f>
        <v/>
      </c>
      <c r="L98" s="20">
        <f>IF($A98="","",Master_Data!G99)</f>
        <v/>
      </c>
      <c r="M98" s="20">
        <f>IF(AND(ISNUMBER(K98),ISNUMBER(L98)),L98-K98,"")</f>
        <v/>
      </c>
      <c r="N98" s="19">
        <f>IF(G98="","",IF(AND(ISNUMBER(K98),ISNUMBER(L98)),IF(OR(F98="GOC",F98="OWC",F98="GWC",F98="OWC_TRANSITION",F98="GOC_TRANSITION"),IF(L98&gt;=K98,"Supports","Conflicts"),"N/A"),"No Sw"))</f>
        <v/>
      </c>
      <c r="O98" s="20">
        <f>IF(G98="","",Settings!$B$6*IF(OR(F98="GOC",F98="OWC",F98="GWC"),1,0.7)+Settings!$B$7*IF(N98="Supports",1,IF(N98="Conflicts",0,0.5))+Settings!$B$8*IF(AND(Master_Data!R98&lt;&gt;"",Master_Data!S98&lt;&gt;"",Master_Data!R99&lt;&gt;"",Master_Data!S99&lt;&gt;""),1,0.5))</f>
        <v/>
      </c>
      <c r="P98" s="19">
        <f>IF(G98="","",IF(N98="Conflicts","SW_CONFLICT",IF(OR(F98="GOC",F98="OWC",F98="GWC"),"DIRECT_FLUID_TRANSITION","TRANSITION_INTERVAL")))</f>
        <v/>
      </c>
      <c r="Q98" s="19">
        <f>IF(G98="","",IF(N98="Conflicts","Investigate contact interpretation / saturation behaviour",IF(OR(F98="OWC",F98="GOC",F98="GWC"),"Candidate contact — validate with logs, pressure and dynamic evidence","Transition zone — do not force to a sharp contact")))</f>
        <v/>
      </c>
    </row>
    <row r="99">
      <c r="A99" s="19">
        <f>IF(AND(Master_Data!A99&lt;&gt;"",Master_Data!A99=Master_Data!A100),Master_Data!A99,"")</f>
        <v/>
      </c>
      <c r="B99" s="19">
        <f>IF($A99="","",Master_Data!B99)</f>
        <v/>
      </c>
      <c r="C99" s="19">
        <f>IF($A99="","",Master_Data!B100)</f>
        <v/>
      </c>
      <c r="D99" s="19">
        <f>IF($A99="","",Master_Data!Q99)</f>
        <v/>
      </c>
      <c r="E99" s="19">
        <f>IF($A99="","",Master_Data!Q100)</f>
        <v/>
      </c>
      <c r="F99" s="19">
        <f>IF($A99="","",IF(AND(D99="GAS",E99="OIL"),"GOC",IF(AND(D99="OIL",E99="WATER"),"OWC",IF(AND(D99="GAS",E99="WATER"),"GWC",IF(AND(D99="OIL",E99="OIL_WATER"),"OWC_TRANSITION",IF(AND(D99="OIL_WATER",E99="WATER"),"OWC_TRANSITION",IF(AND(D99="GAS",E99="GAS_WATER"),"GOC_TRANSITION",IF(AND(D99="GAS_WATER",E99="OIL"),"GOC_TRANSITION",IF(OR(D99="OIL_WATER",D99="GAS_WATER"),"TRANSITION_INTERVAL","")))))))))</f>
        <v/>
      </c>
      <c r="G99" s="20">
        <f>IF(OR(F99="",Master_Data!R99="",Master_Data!S99=""),"",IF(RIGHT(F99,10)="TRANSITION",AVERAGE(Master_Data!R99:Master_Data!S99),AVERAGE(Master_Data!S99,Master_Data!R100)))</f>
        <v/>
      </c>
      <c r="H99" s="20">
        <f>IF(G99="","",MAX(Settings!$B$4,Settings!$B$5*AVERAGE(IF(Master_Data!O99&lt;&gt;"",Master_Data!O99,Master_Data!H99),IF(Master_Data!O100&lt;&gt;"",Master_Data!O100,Master_Data!H100))))</f>
        <v/>
      </c>
      <c r="I99" s="20">
        <f>IF(G99="","",G99-H99)</f>
        <v/>
      </c>
      <c r="J99" s="20">
        <f>IF(G99="","",G99+H99)</f>
        <v/>
      </c>
      <c r="K99" s="20">
        <f>IF($A99="","",Master_Data!G99)</f>
        <v/>
      </c>
      <c r="L99" s="20">
        <f>IF($A99="","",Master_Data!G100)</f>
        <v/>
      </c>
      <c r="M99" s="20">
        <f>IF(AND(ISNUMBER(K99),ISNUMBER(L99)),L99-K99,"")</f>
        <v/>
      </c>
      <c r="N99" s="19">
        <f>IF(G99="","",IF(AND(ISNUMBER(K99),ISNUMBER(L99)),IF(OR(F99="GOC",F99="OWC",F99="GWC",F99="OWC_TRANSITION",F99="GOC_TRANSITION"),IF(L99&gt;=K99,"Supports","Conflicts"),"N/A"),"No Sw"))</f>
        <v/>
      </c>
      <c r="O99" s="20">
        <f>IF(G99="","",Settings!$B$6*IF(OR(F99="GOC",F99="OWC",F99="GWC"),1,0.7)+Settings!$B$7*IF(N99="Supports",1,IF(N99="Conflicts",0,0.5))+Settings!$B$8*IF(AND(Master_Data!R99&lt;&gt;"",Master_Data!S99&lt;&gt;"",Master_Data!R100&lt;&gt;"",Master_Data!S100&lt;&gt;""),1,0.5))</f>
        <v/>
      </c>
      <c r="P99" s="19">
        <f>IF(G99="","",IF(N99="Conflicts","SW_CONFLICT",IF(OR(F99="GOC",F99="OWC",F99="GWC"),"DIRECT_FLUID_TRANSITION","TRANSITION_INTERVAL")))</f>
        <v/>
      </c>
      <c r="Q99" s="19">
        <f>IF(G99="","",IF(N99="Conflicts","Investigate contact interpretation / saturation behaviour",IF(OR(F99="OWC",F99="GOC",F99="GWC"),"Candidate contact — validate with logs, pressure and dynamic evidence","Transition zone — do not force to a sharp contact")))</f>
        <v/>
      </c>
    </row>
    <row r="100">
      <c r="A100" s="19">
        <f>IF(AND(Master_Data!A100&lt;&gt;"",Master_Data!A100=Master_Data!A101),Master_Data!A100,"")</f>
        <v/>
      </c>
      <c r="B100" s="19">
        <f>IF($A100="","",Master_Data!B100)</f>
        <v/>
      </c>
      <c r="C100" s="19">
        <f>IF($A100="","",Master_Data!B101)</f>
        <v/>
      </c>
      <c r="D100" s="19">
        <f>IF($A100="","",Master_Data!Q100)</f>
        <v/>
      </c>
      <c r="E100" s="19">
        <f>IF($A100="","",Master_Data!Q101)</f>
        <v/>
      </c>
      <c r="F100" s="19">
        <f>IF($A100="","",IF(AND(D100="GAS",E100="OIL"),"GOC",IF(AND(D100="OIL",E100="WATER"),"OWC",IF(AND(D100="GAS",E100="WATER"),"GWC",IF(AND(D100="OIL",E100="OIL_WATER"),"OWC_TRANSITION",IF(AND(D100="OIL_WATER",E100="WATER"),"OWC_TRANSITION",IF(AND(D100="GAS",E100="GAS_WATER"),"GOC_TRANSITION",IF(AND(D100="GAS_WATER",E100="OIL"),"GOC_TRANSITION",IF(OR(D100="OIL_WATER",D100="GAS_WATER"),"TRANSITION_INTERVAL","")))))))))</f>
        <v/>
      </c>
      <c r="G100" s="20">
        <f>IF(OR(F100="",Master_Data!R100="",Master_Data!S100=""),"",IF(RIGHT(F100,10)="TRANSITION",AVERAGE(Master_Data!R100:Master_Data!S100),AVERAGE(Master_Data!S100,Master_Data!R101)))</f>
        <v/>
      </c>
      <c r="H100" s="20">
        <f>IF(G100="","",MAX(Settings!$B$4,Settings!$B$5*AVERAGE(IF(Master_Data!O100&lt;&gt;"",Master_Data!O100,Master_Data!H100),IF(Master_Data!O101&lt;&gt;"",Master_Data!O101,Master_Data!H101))))</f>
        <v/>
      </c>
      <c r="I100" s="20">
        <f>IF(G100="","",G100-H100)</f>
        <v/>
      </c>
      <c r="J100" s="20">
        <f>IF(G100="","",G100+H100)</f>
        <v/>
      </c>
      <c r="K100" s="20">
        <f>IF($A100="","",Master_Data!G100)</f>
        <v/>
      </c>
      <c r="L100" s="20">
        <f>IF($A100="","",Master_Data!G101)</f>
        <v/>
      </c>
      <c r="M100" s="20">
        <f>IF(AND(ISNUMBER(K100),ISNUMBER(L100)),L100-K100,"")</f>
        <v/>
      </c>
      <c r="N100" s="19">
        <f>IF(G100="","",IF(AND(ISNUMBER(K100),ISNUMBER(L100)),IF(OR(F100="GOC",F100="OWC",F100="GWC",F100="OWC_TRANSITION",F100="GOC_TRANSITION"),IF(L100&gt;=K100,"Supports","Conflicts"),"N/A"),"No Sw"))</f>
        <v/>
      </c>
      <c r="O100" s="20">
        <f>IF(G100="","",Settings!$B$6*IF(OR(F100="GOC",F100="OWC",F100="GWC"),1,0.7)+Settings!$B$7*IF(N100="Supports",1,IF(N100="Conflicts",0,0.5))+Settings!$B$8*IF(AND(Master_Data!R100&lt;&gt;"",Master_Data!S100&lt;&gt;"",Master_Data!R101&lt;&gt;"",Master_Data!S101&lt;&gt;""),1,0.5))</f>
        <v/>
      </c>
      <c r="P100" s="19">
        <f>IF(G100="","",IF(N100="Conflicts","SW_CONFLICT",IF(OR(F100="GOC",F100="OWC",F100="GWC"),"DIRECT_FLUID_TRANSITION","TRANSITION_INTERVAL")))</f>
        <v/>
      </c>
      <c r="Q100" s="19">
        <f>IF(G100="","",IF(N100="Conflicts","Investigate contact interpretation / saturation behaviour",IF(OR(F100="OWC",F100="GOC",F100="GWC"),"Candidate contact — validate with logs, pressure and dynamic evidence","Transition zone — do not force to a sharp contact")))</f>
        <v/>
      </c>
    </row>
    <row r="101">
      <c r="A101" s="19">
        <f>IF(AND(Master_Data!A101&lt;&gt;"",Master_Data!A101=Master_Data!A102),Master_Data!A101,"")</f>
        <v/>
      </c>
      <c r="B101" s="19">
        <f>IF($A101="","",Master_Data!B101)</f>
        <v/>
      </c>
      <c r="C101" s="19">
        <f>IF($A101="","",Master_Data!B102)</f>
        <v/>
      </c>
      <c r="D101" s="19">
        <f>IF($A101="","",Master_Data!Q101)</f>
        <v/>
      </c>
      <c r="E101" s="19">
        <f>IF($A101="","",Master_Data!Q102)</f>
        <v/>
      </c>
      <c r="F101" s="19">
        <f>IF($A101="","",IF(AND(D101="GAS",E101="OIL"),"GOC",IF(AND(D101="OIL",E101="WATER"),"OWC",IF(AND(D101="GAS",E101="WATER"),"GWC",IF(AND(D101="OIL",E101="OIL_WATER"),"OWC_TRANSITION",IF(AND(D101="OIL_WATER",E101="WATER"),"OWC_TRANSITION",IF(AND(D101="GAS",E101="GAS_WATER"),"GOC_TRANSITION",IF(AND(D101="GAS_WATER",E101="OIL"),"GOC_TRANSITION",IF(OR(D101="OIL_WATER",D101="GAS_WATER"),"TRANSITION_INTERVAL","")))))))))</f>
        <v/>
      </c>
      <c r="G101" s="20">
        <f>IF(OR(F101="",Master_Data!R101="",Master_Data!S101=""),"",IF(RIGHT(F101,10)="TRANSITION",AVERAGE(Master_Data!R101:Master_Data!S101),AVERAGE(Master_Data!S101,Master_Data!R102)))</f>
        <v/>
      </c>
      <c r="H101" s="20">
        <f>IF(G101="","",MAX(Settings!$B$4,Settings!$B$5*AVERAGE(IF(Master_Data!O101&lt;&gt;"",Master_Data!O101,Master_Data!H101),IF(Master_Data!O102&lt;&gt;"",Master_Data!O102,Master_Data!H102))))</f>
        <v/>
      </c>
      <c r="I101" s="20">
        <f>IF(G101="","",G101-H101)</f>
        <v/>
      </c>
      <c r="J101" s="20">
        <f>IF(G101="","",G101+H101)</f>
        <v/>
      </c>
      <c r="K101" s="20">
        <f>IF($A101="","",Master_Data!G101)</f>
        <v/>
      </c>
      <c r="L101" s="20">
        <f>IF($A101="","",Master_Data!G102)</f>
        <v/>
      </c>
      <c r="M101" s="20">
        <f>IF(AND(ISNUMBER(K101),ISNUMBER(L101)),L101-K101,"")</f>
        <v/>
      </c>
      <c r="N101" s="19">
        <f>IF(G101="","",IF(AND(ISNUMBER(K101),ISNUMBER(L101)),IF(OR(F101="GOC",F101="OWC",F101="GWC",F101="OWC_TRANSITION",F101="GOC_TRANSITION"),IF(L101&gt;=K101,"Supports","Conflicts"),"N/A"),"No Sw"))</f>
        <v/>
      </c>
      <c r="O101" s="20">
        <f>IF(G101="","",Settings!$B$6*IF(OR(F101="GOC",F101="OWC",F101="GWC"),1,0.7)+Settings!$B$7*IF(N101="Supports",1,IF(N101="Conflicts",0,0.5))+Settings!$B$8*IF(AND(Master_Data!R101&lt;&gt;"",Master_Data!S101&lt;&gt;"",Master_Data!R102&lt;&gt;"",Master_Data!S102&lt;&gt;""),1,0.5))</f>
        <v/>
      </c>
      <c r="P101" s="19">
        <f>IF(G101="","",IF(N101="Conflicts","SW_CONFLICT",IF(OR(F101="GOC",F101="OWC",F101="GWC"),"DIRECT_FLUID_TRANSITION","TRANSITION_INTERVAL")))</f>
        <v/>
      </c>
      <c r="Q101" s="19">
        <f>IF(G101="","",IF(N101="Conflicts","Investigate contact interpretation / saturation behaviour",IF(OR(F101="OWC",F101="GOC",F101="GWC"),"Candidate contact — validate with logs, pressure and dynamic evidence","Transition zone — do not force to a sharp contact")))</f>
        <v/>
      </c>
    </row>
    <row r="102">
      <c r="A102" s="19">
        <f>IF(AND(Master_Data!A102&lt;&gt;"",Master_Data!A102=Master_Data!A103),Master_Data!A102,"")</f>
        <v/>
      </c>
      <c r="B102" s="19">
        <f>IF($A102="","",Master_Data!B102)</f>
        <v/>
      </c>
      <c r="C102" s="19">
        <f>IF($A102="","",Master_Data!B103)</f>
        <v/>
      </c>
      <c r="D102" s="19">
        <f>IF($A102="","",Master_Data!Q102)</f>
        <v/>
      </c>
      <c r="E102" s="19">
        <f>IF($A102="","",Master_Data!Q103)</f>
        <v/>
      </c>
      <c r="F102" s="19">
        <f>IF($A102="","",IF(AND(D102="GAS",E102="OIL"),"GOC",IF(AND(D102="OIL",E102="WATER"),"OWC",IF(AND(D102="GAS",E102="WATER"),"GWC",IF(AND(D102="OIL",E102="OIL_WATER"),"OWC_TRANSITION",IF(AND(D102="OIL_WATER",E102="WATER"),"OWC_TRANSITION",IF(AND(D102="GAS",E102="GAS_WATER"),"GOC_TRANSITION",IF(AND(D102="GAS_WATER",E102="OIL"),"GOC_TRANSITION",IF(OR(D102="OIL_WATER",D102="GAS_WATER"),"TRANSITION_INTERVAL","")))))))))</f>
        <v/>
      </c>
      <c r="G102" s="20">
        <f>IF(OR(F102="",Master_Data!R102="",Master_Data!S102=""),"",IF(RIGHT(F102,10)="TRANSITION",AVERAGE(Master_Data!R102:Master_Data!S102),AVERAGE(Master_Data!S102,Master_Data!R103)))</f>
        <v/>
      </c>
      <c r="H102" s="20">
        <f>IF(G102="","",MAX(Settings!$B$4,Settings!$B$5*AVERAGE(IF(Master_Data!O102&lt;&gt;"",Master_Data!O102,Master_Data!H102),IF(Master_Data!O103&lt;&gt;"",Master_Data!O103,Master_Data!H103))))</f>
        <v/>
      </c>
      <c r="I102" s="20">
        <f>IF(G102="","",G102-H102)</f>
        <v/>
      </c>
      <c r="J102" s="20">
        <f>IF(G102="","",G102+H102)</f>
        <v/>
      </c>
      <c r="K102" s="20">
        <f>IF($A102="","",Master_Data!G102)</f>
        <v/>
      </c>
      <c r="L102" s="20">
        <f>IF($A102="","",Master_Data!G103)</f>
        <v/>
      </c>
      <c r="M102" s="20">
        <f>IF(AND(ISNUMBER(K102),ISNUMBER(L102)),L102-K102,"")</f>
        <v/>
      </c>
      <c r="N102" s="19">
        <f>IF(G102="","",IF(AND(ISNUMBER(K102),ISNUMBER(L102)),IF(OR(F102="GOC",F102="OWC",F102="GWC",F102="OWC_TRANSITION",F102="GOC_TRANSITION"),IF(L102&gt;=K102,"Supports","Conflicts"),"N/A"),"No Sw"))</f>
        <v/>
      </c>
      <c r="O102" s="20">
        <f>IF(G102="","",Settings!$B$6*IF(OR(F102="GOC",F102="OWC",F102="GWC"),1,0.7)+Settings!$B$7*IF(N102="Supports",1,IF(N102="Conflicts",0,0.5))+Settings!$B$8*IF(AND(Master_Data!R102&lt;&gt;"",Master_Data!S102&lt;&gt;"",Master_Data!R103&lt;&gt;"",Master_Data!S103&lt;&gt;""),1,0.5))</f>
        <v/>
      </c>
      <c r="P102" s="19">
        <f>IF(G102="","",IF(N102="Conflicts","SW_CONFLICT",IF(OR(F102="GOC",F102="OWC",F102="GWC"),"DIRECT_FLUID_TRANSITION","TRANSITION_INTERVAL")))</f>
        <v/>
      </c>
      <c r="Q102" s="19">
        <f>IF(G102="","",IF(N102="Conflicts","Investigate contact interpretation / saturation behaviour",IF(OR(F102="OWC",F102="GOC",F102="GWC"),"Candidate contact — validate with logs, pressure and dynamic evidence","Transition zone — do not force to a sharp contact")))</f>
        <v/>
      </c>
    </row>
    <row r="103">
      <c r="A103" s="19">
        <f>IF(AND(Master_Data!A103&lt;&gt;"",Master_Data!A103=Master_Data!A104),Master_Data!A103,"")</f>
        <v/>
      </c>
      <c r="B103" s="19">
        <f>IF($A103="","",Master_Data!B103)</f>
        <v/>
      </c>
      <c r="C103" s="19">
        <f>IF($A103="","",Master_Data!B104)</f>
        <v/>
      </c>
      <c r="D103" s="19">
        <f>IF($A103="","",Master_Data!Q103)</f>
        <v/>
      </c>
      <c r="E103" s="19">
        <f>IF($A103="","",Master_Data!Q104)</f>
        <v/>
      </c>
      <c r="F103" s="19">
        <f>IF($A103="","",IF(AND(D103="GAS",E103="OIL"),"GOC",IF(AND(D103="OIL",E103="WATER"),"OWC",IF(AND(D103="GAS",E103="WATER"),"GWC",IF(AND(D103="OIL",E103="OIL_WATER"),"OWC_TRANSITION",IF(AND(D103="OIL_WATER",E103="WATER"),"OWC_TRANSITION",IF(AND(D103="GAS",E103="GAS_WATER"),"GOC_TRANSITION",IF(AND(D103="GAS_WATER",E103="OIL"),"GOC_TRANSITION",IF(OR(D103="OIL_WATER",D103="GAS_WATER"),"TRANSITION_INTERVAL","")))))))))</f>
        <v/>
      </c>
      <c r="G103" s="20">
        <f>IF(OR(F103="",Master_Data!R103="",Master_Data!S103=""),"",IF(RIGHT(F103,10)="TRANSITION",AVERAGE(Master_Data!R103:Master_Data!S103),AVERAGE(Master_Data!S103,Master_Data!R104)))</f>
        <v/>
      </c>
      <c r="H103" s="20">
        <f>IF(G103="","",MAX(Settings!$B$4,Settings!$B$5*AVERAGE(IF(Master_Data!O103&lt;&gt;"",Master_Data!O103,Master_Data!H103),IF(Master_Data!O104&lt;&gt;"",Master_Data!O104,Master_Data!H104))))</f>
        <v/>
      </c>
      <c r="I103" s="20">
        <f>IF(G103="","",G103-H103)</f>
        <v/>
      </c>
      <c r="J103" s="20">
        <f>IF(G103="","",G103+H103)</f>
        <v/>
      </c>
      <c r="K103" s="20">
        <f>IF($A103="","",Master_Data!G103)</f>
        <v/>
      </c>
      <c r="L103" s="20">
        <f>IF($A103="","",Master_Data!G104)</f>
        <v/>
      </c>
      <c r="M103" s="20">
        <f>IF(AND(ISNUMBER(K103),ISNUMBER(L103)),L103-K103,"")</f>
        <v/>
      </c>
      <c r="N103" s="19">
        <f>IF(G103="","",IF(AND(ISNUMBER(K103),ISNUMBER(L103)),IF(OR(F103="GOC",F103="OWC",F103="GWC",F103="OWC_TRANSITION",F103="GOC_TRANSITION"),IF(L103&gt;=K103,"Supports","Conflicts"),"N/A"),"No Sw"))</f>
        <v/>
      </c>
      <c r="O103" s="20">
        <f>IF(G103="","",Settings!$B$6*IF(OR(F103="GOC",F103="OWC",F103="GWC"),1,0.7)+Settings!$B$7*IF(N103="Supports",1,IF(N103="Conflicts",0,0.5))+Settings!$B$8*IF(AND(Master_Data!R103&lt;&gt;"",Master_Data!S103&lt;&gt;"",Master_Data!R104&lt;&gt;"",Master_Data!S104&lt;&gt;""),1,0.5))</f>
        <v/>
      </c>
      <c r="P103" s="19">
        <f>IF(G103="","",IF(N103="Conflicts","SW_CONFLICT",IF(OR(F103="GOC",F103="OWC",F103="GWC"),"DIRECT_FLUID_TRANSITION","TRANSITION_INTERVAL")))</f>
        <v/>
      </c>
      <c r="Q103" s="19">
        <f>IF(G103="","",IF(N103="Conflicts","Investigate contact interpretation / saturation behaviour",IF(OR(F103="OWC",F103="GOC",F103="GWC"),"Candidate contact — validate with logs, pressure and dynamic evidence","Transition zone — do not force to a sharp contact")))</f>
        <v/>
      </c>
    </row>
    <row r="104">
      <c r="A104" s="19">
        <f>IF(AND(Master_Data!A104&lt;&gt;"",Master_Data!A104=Master_Data!A105),Master_Data!A104,"")</f>
        <v/>
      </c>
      <c r="B104" s="19">
        <f>IF($A104="","",Master_Data!B104)</f>
        <v/>
      </c>
      <c r="C104" s="19">
        <f>IF($A104="","",Master_Data!B105)</f>
        <v/>
      </c>
      <c r="D104" s="19">
        <f>IF($A104="","",Master_Data!Q104)</f>
        <v/>
      </c>
      <c r="E104" s="19">
        <f>IF($A104="","",Master_Data!Q105)</f>
        <v/>
      </c>
      <c r="F104" s="19">
        <f>IF($A104="","",IF(AND(D104="GAS",E104="OIL"),"GOC",IF(AND(D104="OIL",E104="WATER"),"OWC",IF(AND(D104="GAS",E104="WATER"),"GWC",IF(AND(D104="OIL",E104="OIL_WATER"),"OWC_TRANSITION",IF(AND(D104="OIL_WATER",E104="WATER"),"OWC_TRANSITION",IF(AND(D104="GAS",E104="GAS_WATER"),"GOC_TRANSITION",IF(AND(D104="GAS_WATER",E104="OIL"),"GOC_TRANSITION",IF(OR(D104="OIL_WATER",D104="GAS_WATER"),"TRANSITION_INTERVAL","")))))))))</f>
        <v/>
      </c>
      <c r="G104" s="20">
        <f>IF(OR(F104="",Master_Data!R104="",Master_Data!S104=""),"",IF(RIGHT(F104,10)="TRANSITION",AVERAGE(Master_Data!R104:Master_Data!S104),AVERAGE(Master_Data!S104,Master_Data!R105)))</f>
        <v/>
      </c>
      <c r="H104" s="20">
        <f>IF(G104="","",MAX(Settings!$B$4,Settings!$B$5*AVERAGE(IF(Master_Data!O104&lt;&gt;"",Master_Data!O104,Master_Data!H104),IF(Master_Data!O105&lt;&gt;"",Master_Data!O105,Master_Data!H105))))</f>
        <v/>
      </c>
      <c r="I104" s="20">
        <f>IF(G104="","",G104-H104)</f>
        <v/>
      </c>
      <c r="J104" s="20">
        <f>IF(G104="","",G104+H104)</f>
        <v/>
      </c>
      <c r="K104" s="20">
        <f>IF($A104="","",Master_Data!G104)</f>
        <v/>
      </c>
      <c r="L104" s="20">
        <f>IF($A104="","",Master_Data!G105)</f>
        <v/>
      </c>
      <c r="M104" s="20">
        <f>IF(AND(ISNUMBER(K104),ISNUMBER(L104)),L104-K104,"")</f>
        <v/>
      </c>
      <c r="N104" s="19">
        <f>IF(G104="","",IF(AND(ISNUMBER(K104),ISNUMBER(L104)),IF(OR(F104="GOC",F104="OWC",F104="GWC",F104="OWC_TRANSITION",F104="GOC_TRANSITION"),IF(L104&gt;=K104,"Supports","Conflicts"),"N/A"),"No Sw"))</f>
        <v/>
      </c>
      <c r="O104" s="20">
        <f>IF(G104="","",Settings!$B$6*IF(OR(F104="GOC",F104="OWC",F104="GWC"),1,0.7)+Settings!$B$7*IF(N104="Supports",1,IF(N104="Conflicts",0,0.5))+Settings!$B$8*IF(AND(Master_Data!R104&lt;&gt;"",Master_Data!S104&lt;&gt;"",Master_Data!R105&lt;&gt;"",Master_Data!S105&lt;&gt;""),1,0.5))</f>
        <v/>
      </c>
      <c r="P104" s="19">
        <f>IF(G104="","",IF(N104="Conflicts","SW_CONFLICT",IF(OR(F104="GOC",F104="OWC",F104="GWC"),"DIRECT_FLUID_TRANSITION","TRANSITION_INTERVAL")))</f>
        <v/>
      </c>
      <c r="Q104" s="19">
        <f>IF(G104="","",IF(N104="Conflicts","Investigate contact interpretation / saturation behaviour",IF(OR(F104="OWC",F104="GOC",F104="GWC"),"Candidate contact — validate with logs, pressure and dynamic evidence","Transition zone — do not force to a sharp contact")))</f>
        <v/>
      </c>
    </row>
    <row r="105">
      <c r="A105" s="19">
        <f>IF(AND(Master_Data!A105&lt;&gt;"",Master_Data!A105=Master_Data!A106),Master_Data!A105,"")</f>
        <v/>
      </c>
      <c r="B105" s="19">
        <f>IF($A105="","",Master_Data!B105)</f>
        <v/>
      </c>
      <c r="C105" s="19">
        <f>IF($A105="","",Master_Data!B106)</f>
        <v/>
      </c>
      <c r="D105" s="19">
        <f>IF($A105="","",Master_Data!Q105)</f>
        <v/>
      </c>
      <c r="E105" s="19">
        <f>IF($A105="","",Master_Data!Q106)</f>
        <v/>
      </c>
      <c r="F105" s="19">
        <f>IF($A105="","",IF(AND(D105="GAS",E105="OIL"),"GOC",IF(AND(D105="OIL",E105="WATER"),"OWC",IF(AND(D105="GAS",E105="WATER"),"GWC",IF(AND(D105="OIL",E105="OIL_WATER"),"OWC_TRANSITION",IF(AND(D105="OIL_WATER",E105="WATER"),"OWC_TRANSITION",IF(AND(D105="GAS",E105="GAS_WATER"),"GOC_TRANSITION",IF(AND(D105="GAS_WATER",E105="OIL"),"GOC_TRANSITION",IF(OR(D105="OIL_WATER",D105="GAS_WATER"),"TRANSITION_INTERVAL","")))))))))</f>
        <v/>
      </c>
      <c r="G105" s="20">
        <f>IF(OR(F105="",Master_Data!R105="",Master_Data!S105=""),"",IF(RIGHT(F105,10)="TRANSITION",AVERAGE(Master_Data!R105:Master_Data!S105),AVERAGE(Master_Data!S105,Master_Data!R106)))</f>
        <v/>
      </c>
      <c r="H105" s="20">
        <f>IF(G105="","",MAX(Settings!$B$4,Settings!$B$5*AVERAGE(IF(Master_Data!O105&lt;&gt;"",Master_Data!O105,Master_Data!H105),IF(Master_Data!O106&lt;&gt;"",Master_Data!O106,Master_Data!H106))))</f>
        <v/>
      </c>
      <c r="I105" s="20">
        <f>IF(G105="","",G105-H105)</f>
        <v/>
      </c>
      <c r="J105" s="20">
        <f>IF(G105="","",G105+H105)</f>
        <v/>
      </c>
      <c r="K105" s="20">
        <f>IF($A105="","",Master_Data!G105)</f>
        <v/>
      </c>
      <c r="L105" s="20">
        <f>IF($A105="","",Master_Data!G106)</f>
        <v/>
      </c>
      <c r="M105" s="20">
        <f>IF(AND(ISNUMBER(K105),ISNUMBER(L105)),L105-K105,"")</f>
        <v/>
      </c>
      <c r="N105" s="19">
        <f>IF(G105="","",IF(AND(ISNUMBER(K105),ISNUMBER(L105)),IF(OR(F105="GOC",F105="OWC",F105="GWC",F105="OWC_TRANSITION",F105="GOC_TRANSITION"),IF(L105&gt;=K105,"Supports","Conflicts"),"N/A"),"No Sw"))</f>
        <v/>
      </c>
      <c r="O105" s="20">
        <f>IF(G105="","",Settings!$B$6*IF(OR(F105="GOC",F105="OWC",F105="GWC"),1,0.7)+Settings!$B$7*IF(N105="Supports",1,IF(N105="Conflicts",0,0.5))+Settings!$B$8*IF(AND(Master_Data!R105&lt;&gt;"",Master_Data!S105&lt;&gt;"",Master_Data!R106&lt;&gt;"",Master_Data!S106&lt;&gt;""),1,0.5))</f>
        <v/>
      </c>
      <c r="P105" s="19">
        <f>IF(G105="","",IF(N105="Conflicts","SW_CONFLICT",IF(OR(F105="GOC",F105="OWC",F105="GWC"),"DIRECT_FLUID_TRANSITION","TRANSITION_INTERVAL")))</f>
        <v/>
      </c>
      <c r="Q105" s="19">
        <f>IF(G105="","",IF(N105="Conflicts","Investigate contact interpretation / saturation behaviour",IF(OR(F105="OWC",F105="GOC",F105="GWC"),"Candidate contact — validate with logs, pressure and dynamic evidence","Transition zone — do not force to a sharp contact")))</f>
        <v/>
      </c>
    </row>
    <row r="106">
      <c r="A106" s="19">
        <f>IF(AND(Master_Data!A106&lt;&gt;"",Master_Data!A106=Master_Data!A107),Master_Data!A106,"")</f>
        <v/>
      </c>
      <c r="B106" s="19">
        <f>IF($A106="","",Master_Data!B106)</f>
        <v/>
      </c>
      <c r="C106" s="19">
        <f>IF($A106="","",Master_Data!B107)</f>
        <v/>
      </c>
      <c r="D106" s="19">
        <f>IF($A106="","",Master_Data!Q106)</f>
        <v/>
      </c>
      <c r="E106" s="19">
        <f>IF($A106="","",Master_Data!Q107)</f>
        <v/>
      </c>
      <c r="F106" s="19">
        <f>IF($A106="","",IF(AND(D106="GAS",E106="OIL"),"GOC",IF(AND(D106="OIL",E106="WATER"),"OWC",IF(AND(D106="GAS",E106="WATER"),"GWC",IF(AND(D106="OIL",E106="OIL_WATER"),"OWC_TRANSITION",IF(AND(D106="OIL_WATER",E106="WATER"),"OWC_TRANSITION",IF(AND(D106="GAS",E106="GAS_WATER"),"GOC_TRANSITION",IF(AND(D106="GAS_WATER",E106="OIL"),"GOC_TRANSITION",IF(OR(D106="OIL_WATER",D106="GAS_WATER"),"TRANSITION_INTERVAL","")))))))))</f>
        <v/>
      </c>
      <c r="G106" s="20">
        <f>IF(OR(F106="",Master_Data!R106="",Master_Data!S106=""),"",IF(RIGHT(F106,10)="TRANSITION",AVERAGE(Master_Data!R106:Master_Data!S106),AVERAGE(Master_Data!S106,Master_Data!R107)))</f>
        <v/>
      </c>
      <c r="H106" s="20">
        <f>IF(G106="","",MAX(Settings!$B$4,Settings!$B$5*AVERAGE(IF(Master_Data!O106&lt;&gt;"",Master_Data!O106,Master_Data!H106),IF(Master_Data!O107&lt;&gt;"",Master_Data!O107,Master_Data!H107))))</f>
        <v/>
      </c>
      <c r="I106" s="20">
        <f>IF(G106="","",G106-H106)</f>
        <v/>
      </c>
      <c r="J106" s="20">
        <f>IF(G106="","",G106+H106)</f>
        <v/>
      </c>
      <c r="K106" s="20">
        <f>IF($A106="","",Master_Data!G106)</f>
        <v/>
      </c>
      <c r="L106" s="20">
        <f>IF($A106="","",Master_Data!G107)</f>
        <v/>
      </c>
      <c r="M106" s="20">
        <f>IF(AND(ISNUMBER(K106),ISNUMBER(L106)),L106-K106,"")</f>
        <v/>
      </c>
      <c r="N106" s="19">
        <f>IF(G106="","",IF(AND(ISNUMBER(K106),ISNUMBER(L106)),IF(OR(F106="GOC",F106="OWC",F106="GWC",F106="OWC_TRANSITION",F106="GOC_TRANSITION"),IF(L106&gt;=K106,"Supports","Conflicts"),"N/A"),"No Sw"))</f>
        <v/>
      </c>
      <c r="O106" s="20">
        <f>IF(G106="","",Settings!$B$6*IF(OR(F106="GOC",F106="OWC",F106="GWC"),1,0.7)+Settings!$B$7*IF(N106="Supports",1,IF(N106="Conflicts",0,0.5))+Settings!$B$8*IF(AND(Master_Data!R106&lt;&gt;"",Master_Data!S106&lt;&gt;"",Master_Data!R107&lt;&gt;"",Master_Data!S107&lt;&gt;""),1,0.5))</f>
        <v/>
      </c>
      <c r="P106" s="19">
        <f>IF(G106="","",IF(N106="Conflicts","SW_CONFLICT",IF(OR(F106="GOC",F106="OWC",F106="GWC"),"DIRECT_FLUID_TRANSITION","TRANSITION_INTERVAL")))</f>
        <v/>
      </c>
      <c r="Q106" s="19">
        <f>IF(G106="","",IF(N106="Conflicts","Investigate contact interpretation / saturation behaviour",IF(OR(F106="OWC",F106="GOC",F106="GWC"),"Candidate contact — validate with logs, pressure and dynamic evidence","Transition zone — do not force to a sharp contact")))</f>
        <v/>
      </c>
    </row>
    <row r="107">
      <c r="A107" s="19">
        <f>IF(AND(Master_Data!A107&lt;&gt;"",Master_Data!A107=Master_Data!A108),Master_Data!A107,"")</f>
        <v/>
      </c>
      <c r="B107" s="19">
        <f>IF($A107="","",Master_Data!B107)</f>
        <v/>
      </c>
      <c r="C107" s="19">
        <f>IF($A107="","",Master_Data!B108)</f>
        <v/>
      </c>
      <c r="D107" s="19">
        <f>IF($A107="","",Master_Data!Q107)</f>
        <v/>
      </c>
      <c r="E107" s="19">
        <f>IF($A107="","",Master_Data!Q108)</f>
        <v/>
      </c>
      <c r="F107" s="19">
        <f>IF($A107="","",IF(AND(D107="GAS",E107="OIL"),"GOC",IF(AND(D107="OIL",E107="WATER"),"OWC",IF(AND(D107="GAS",E107="WATER"),"GWC",IF(AND(D107="OIL",E107="OIL_WATER"),"OWC_TRANSITION",IF(AND(D107="OIL_WATER",E107="WATER"),"OWC_TRANSITION",IF(AND(D107="GAS",E107="GAS_WATER"),"GOC_TRANSITION",IF(AND(D107="GAS_WATER",E107="OIL"),"GOC_TRANSITION",IF(OR(D107="OIL_WATER",D107="GAS_WATER"),"TRANSITION_INTERVAL","")))))))))</f>
        <v/>
      </c>
      <c r="G107" s="20">
        <f>IF(OR(F107="",Master_Data!R107="",Master_Data!S107=""),"",IF(RIGHT(F107,10)="TRANSITION",AVERAGE(Master_Data!R107:Master_Data!S107),AVERAGE(Master_Data!S107,Master_Data!R108)))</f>
        <v/>
      </c>
      <c r="H107" s="20">
        <f>IF(G107="","",MAX(Settings!$B$4,Settings!$B$5*AVERAGE(IF(Master_Data!O107&lt;&gt;"",Master_Data!O107,Master_Data!H107),IF(Master_Data!O108&lt;&gt;"",Master_Data!O108,Master_Data!H108))))</f>
        <v/>
      </c>
      <c r="I107" s="20">
        <f>IF(G107="","",G107-H107)</f>
        <v/>
      </c>
      <c r="J107" s="20">
        <f>IF(G107="","",G107+H107)</f>
        <v/>
      </c>
      <c r="K107" s="20">
        <f>IF($A107="","",Master_Data!G107)</f>
        <v/>
      </c>
      <c r="L107" s="20">
        <f>IF($A107="","",Master_Data!G108)</f>
        <v/>
      </c>
      <c r="M107" s="20">
        <f>IF(AND(ISNUMBER(K107),ISNUMBER(L107)),L107-K107,"")</f>
        <v/>
      </c>
      <c r="N107" s="19">
        <f>IF(G107="","",IF(AND(ISNUMBER(K107),ISNUMBER(L107)),IF(OR(F107="GOC",F107="OWC",F107="GWC",F107="OWC_TRANSITION",F107="GOC_TRANSITION"),IF(L107&gt;=K107,"Supports","Conflicts"),"N/A"),"No Sw"))</f>
        <v/>
      </c>
      <c r="O107" s="20">
        <f>IF(G107="","",Settings!$B$6*IF(OR(F107="GOC",F107="OWC",F107="GWC"),1,0.7)+Settings!$B$7*IF(N107="Supports",1,IF(N107="Conflicts",0,0.5))+Settings!$B$8*IF(AND(Master_Data!R107&lt;&gt;"",Master_Data!S107&lt;&gt;"",Master_Data!R108&lt;&gt;"",Master_Data!S108&lt;&gt;""),1,0.5))</f>
        <v/>
      </c>
      <c r="P107" s="19">
        <f>IF(G107="","",IF(N107="Conflicts","SW_CONFLICT",IF(OR(F107="GOC",F107="OWC",F107="GWC"),"DIRECT_FLUID_TRANSITION","TRANSITION_INTERVAL")))</f>
        <v/>
      </c>
      <c r="Q107" s="19">
        <f>IF(G107="","",IF(N107="Conflicts","Investigate contact interpretation / saturation behaviour",IF(OR(F107="OWC",F107="GOC",F107="GWC"),"Candidate contact — validate with logs, pressure and dynamic evidence","Transition zone — do not force to a sharp contact")))</f>
        <v/>
      </c>
    </row>
    <row r="108">
      <c r="A108" s="19">
        <f>IF(AND(Master_Data!A108&lt;&gt;"",Master_Data!A108=Master_Data!A109),Master_Data!A108,"")</f>
        <v/>
      </c>
      <c r="B108" s="19">
        <f>IF($A108="","",Master_Data!B108)</f>
        <v/>
      </c>
      <c r="C108" s="19">
        <f>IF($A108="","",Master_Data!B109)</f>
        <v/>
      </c>
      <c r="D108" s="19">
        <f>IF($A108="","",Master_Data!Q108)</f>
        <v/>
      </c>
      <c r="E108" s="19">
        <f>IF($A108="","",Master_Data!Q109)</f>
        <v/>
      </c>
      <c r="F108" s="19">
        <f>IF($A108="","",IF(AND(D108="GAS",E108="OIL"),"GOC",IF(AND(D108="OIL",E108="WATER"),"OWC",IF(AND(D108="GAS",E108="WATER"),"GWC",IF(AND(D108="OIL",E108="OIL_WATER"),"OWC_TRANSITION",IF(AND(D108="OIL_WATER",E108="WATER"),"OWC_TRANSITION",IF(AND(D108="GAS",E108="GAS_WATER"),"GOC_TRANSITION",IF(AND(D108="GAS_WATER",E108="OIL"),"GOC_TRANSITION",IF(OR(D108="OIL_WATER",D108="GAS_WATER"),"TRANSITION_INTERVAL","")))))))))</f>
        <v/>
      </c>
      <c r="G108" s="20">
        <f>IF(OR(F108="",Master_Data!R108="",Master_Data!S108=""),"",IF(RIGHT(F108,10)="TRANSITION",AVERAGE(Master_Data!R108:Master_Data!S108),AVERAGE(Master_Data!S108,Master_Data!R109)))</f>
        <v/>
      </c>
      <c r="H108" s="20">
        <f>IF(G108="","",MAX(Settings!$B$4,Settings!$B$5*AVERAGE(IF(Master_Data!O108&lt;&gt;"",Master_Data!O108,Master_Data!H108),IF(Master_Data!O109&lt;&gt;"",Master_Data!O109,Master_Data!H109))))</f>
        <v/>
      </c>
      <c r="I108" s="20">
        <f>IF(G108="","",G108-H108)</f>
        <v/>
      </c>
      <c r="J108" s="20">
        <f>IF(G108="","",G108+H108)</f>
        <v/>
      </c>
      <c r="K108" s="20">
        <f>IF($A108="","",Master_Data!G108)</f>
        <v/>
      </c>
      <c r="L108" s="20">
        <f>IF($A108="","",Master_Data!G109)</f>
        <v/>
      </c>
      <c r="M108" s="20">
        <f>IF(AND(ISNUMBER(K108),ISNUMBER(L108)),L108-K108,"")</f>
        <v/>
      </c>
      <c r="N108" s="19">
        <f>IF(G108="","",IF(AND(ISNUMBER(K108),ISNUMBER(L108)),IF(OR(F108="GOC",F108="OWC",F108="GWC",F108="OWC_TRANSITION",F108="GOC_TRANSITION"),IF(L108&gt;=K108,"Supports","Conflicts"),"N/A"),"No Sw"))</f>
        <v/>
      </c>
      <c r="O108" s="20">
        <f>IF(G108="","",Settings!$B$6*IF(OR(F108="GOC",F108="OWC",F108="GWC"),1,0.7)+Settings!$B$7*IF(N108="Supports",1,IF(N108="Conflicts",0,0.5))+Settings!$B$8*IF(AND(Master_Data!R108&lt;&gt;"",Master_Data!S108&lt;&gt;"",Master_Data!R109&lt;&gt;"",Master_Data!S109&lt;&gt;""),1,0.5))</f>
        <v/>
      </c>
      <c r="P108" s="19">
        <f>IF(G108="","",IF(N108="Conflicts","SW_CONFLICT",IF(OR(F108="GOC",F108="OWC",F108="GWC"),"DIRECT_FLUID_TRANSITION","TRANSITION_INTERVAL")))</f>
        <v/>
      </c>
      <c r="Q108" s="19">
        <f>IF(G108="","",IF(N108="Conflicts","Investigate contact interpretation / saturation behaviour",IF(OR(F108="OWC",F108="GOC",F108="GWC"),"Candidate contact — validate with logs, pressure and dynamic evidence","Transition zone — do not force to a sharp contact")))</f>
        <v/>
      </c>
    </row>
    <row r="109">
      <c r="A109" s="19">
        <f>IF(AND(Master_Data!A109&lt;&gt;"",Master_Data!A109=Master_Data!A110),Master_Data!A109,"")</f>
        <v/>
      </c>
      <c r="B109" s="19">
        <f>IF($A109="","",Master_Data!B109)</f>
        <v/>
      </c>
      <c r="C109" s="19">
        <f>IF($A109="","",Master_Data!B110)</f>
        <v/>
      </c>
      <c r="D109" s="19">
        <f>IF($A109="","",Master_Data!Q109)</f>
        <v/>
      </c>
      <c r="E109" s="19">
        <f>IF($A109="","",Master_Data!Q110)</f>
        <v/>
      </c>
      <c r="F109" s="19">
        <f>IF($A109="","",IF(AND(D109="GAS",E109="OIL"),"GOC",IF(AND(D109="OIL",E109="WATER"),"OWC",IF(AND(D109="GAS",E109="WATER"),"GWC",IF(AND(D109="OIL",E109="OIL_WATER"),"OWC_TRANSITION",IF(AND(D109="OIL_WATER",E109="WATER"),"OWC_TRANSITION",IF(AND(D109="GAS",E109="GAS_WATER"),"GOC_TRANSITION",IF(AND(D109="GAS_WATER",E109="OIL"),"GOC_TRANSITION",IF(OR(D109="OIL_WATER",D109="GAS_WATER"),"TRANSITION_INTERVAL","")))))))))</f>
        <v/>
      </c>
      <c r="G109" s="20">
        <f>IF(OR(F109="",Master_Data!R109="",Master_Data!S109=""),"",IF(RIGHT(F109,10)="TRANSITION",AVERAGE(Master_Data!R109:Master_Data!S109),AVERAGE(Master_Data!S109,Master_Data!R110)))</f>
        <v/>
      </c>
      <c r="H109" s="20">
        <f>IF(G109="","",MAX(Settings!$B$4,Settings!$B$5*AVERAGE(IF(Master_Data!O109&lt;&gt;"",Master_Data!O109,Master_Data!H109),IF(Master_Data!O110&lt;&gt;"",Master_Data!O110,Master_Data!H110))))</f>
        <v/>
      </c>
      <c r="I109" s="20">
        <f>IF(G109="","",G109-H109)</f>
        <v/>
      </c>
      <c r="J109" s="20">
        <f>IF(G109="","",G109+H109)</f>
        <v/>
      </c>
      <c r="K109" s="20">
        <f>IF($A109="","",Master_Data!G109)</f>
        <v/>
      </c>
      <c r="L109" s="20">
        <f>IF($A109="","",Master_Data!G110)</f>
        <v/>
      </c>
      <c r="M109" s="20">
        <f>IF(AND(ISNUMBER(K109),ISNUMBER(L109)),L109-K109,"")</f>
        <v/>
      </c>
      <c r="N109" s="19">
        <f>IF(G109="","",IF(AND(ISNUMBER(K109),ISNUMBER(L109)),IF(OR(F109="GOC",F109="OWC",F109="GWC",F109="OWC_TRANSITION",F109="GOC_TRANSITION"),IF(L109&gt;=K109,"Supports","Conflicts"),"N/A"),"No Sw"))</f>
        <v/>
      </c>
      <c r="O109" s="20">
        <f>IF(G109="","",Settings!$B$6*IF(OR(F109="GOC",F109="OWC",F109="GWC"),1,0.7)+Settings!$B$7*IF(N109="Supports",1,IF(N109="Conflicts",0,0.5))+Settings!$B$8*IF(AND(Master_Data!R109&lt;&gt;"",Master_Data!S109&lt;&gt;"",Master_Data!R110&lt;&gt;"",Master_Data!S110&lt;&gt;""),1,0.5))</f>
        <v/>
      </c>
      <c r="P109" s="19">
        <f>IF(G109="","",IF(N109="Conflicts","SW_CONFLICT",IF(OR(F109="GOC",F109="OWC",F109="GWC"),"DIRECT_FLUID_TRANSITION","TRANSITION_INTERVAL")))</f>
        <v/>
      </c>
      <c r="Q109" s="19">
        <f>IF(G109="","",IF(N109="Conflicts","Investigate contact interpretation / saturation behaviour",IF(OR(F109="OWC",F109="GOC",F109="GWC"),"Candidate contact — validate with logs, pressure and dynamic evidence","Transition zone — do not force to a sharp contact")))</f>
        <v/>
      </c>
    </row>
    <row r="110">
      <c r="A110" s="19">
        <f>IF(AND(Master_Data!A110&lt;&gt;"",Master_Data!A110=Master_Data!A111),Master_Data!A110,"")</f>
        <v/>
      </c>
      <c r="B110" s="19">
        <f>IF($A110="","",Master_Data!B110)</f>
        <v/>
      </c>
      <c r="C110" s="19">
        <f>IF($A110="","",Master_Data!B111)</f>
        <v/>
      </c>
      <c r="D110" s="19">
        <f>IF($A110="","",Master_Data!Q110)</f>
        <v/>
      </c>
      <c r="E110" s="19">
        <f>IF($A110="","",Master_Data!Q111)</f>
        <v/>
      </c>
      <c r="F110" s="19">
        <f>IF($A110="","",IF(AND(D110="GAS",E110="OIL"),"GOC",IF(AND(D110="OIL",E110="WATER"),"OWC",IF(AND(D110="GAS",E110="WATER"),"GWC",IF(AND(D110="OIL",E110="OIL_WATER"),"OWC_TRANSITION",IF(AND(D110="OIL_WATER",E110="WATER"),"OWC_TRANSITION",IF(AND(D110="GAS",E110="GAS_WATER"),"GOC_TRANSITION",IF(AND(D110="GAS_WATER",E110="OIL"),"GOC_TRANSITION",IF(OR(D110="OIL_WATER",D110="GAS_WATER"),"TRANSITION_INTERVAL","")))))))))</f>
        <v/>
      </c>
      <c r="G110" s="20">
        <f>IF(OR(F110="",Master_Data!R110="",Master_Data!S110=""),"",IF(RIGHT(F110,10)="TRANSITION",AVERAGE(Master_Data!R110:Master_Data!S110),AVERAGE(Master_Data!S110,Master_Data!R111)))</f>
        <v/>
      </c>
      <c r="H110" s="20">
        <f>IF(G110="","",MAX(Settings!$B$4,Settings!$B$5*AVERAGE(IF(Master_Data!O110&lt;&gt;"",Master_Data!O110,Master_Data!H110),IF(Master_Data!O111&lt;&gt;"",Master_Data!O111,Master_Data!H111))))</f>
        <v/>
      </c>
      <c r="I110" s="20">
        <f>IF(G110="","",G110-H110)</f>
        <v/>
      </c>
      <c r="J110" s="20">
        <f>IF(G110="","",G110+H110)</f>
        <v/>
      </c>
      <c r="K110" s="20">
        <f>IF($A110="","",Master_Data!G110)</f>
        <v/>
      </c>
      <c r="L110" s="20">
        <f>IF($A110="","",Master_Data!G111)</f>
        <v/>
      </c>
      <c r="M110" s="20">
        <f>IF(AND(ISNUMBER(K110),ISNUMBER(L110)),L110-K110,"")</f>
        <v/>
      </c>
      <c r="N110" s="19">
        <f>IF(G110="","",IF(AND(ISNUMBER(K110),ISNUMBER(L110)),IF(OR(F110="GOC",F110="OWC",F110="GWC",F110="OWC_TRANSITION",F110="GOC_TRANSITION"),IF(L110&gt;=K110,"Supports","Conflicts"),"N/A"),"No Sw"))</f>
        <v/>
      </c>
      <c r="O110" s="20">
        <f>IF(G110="","",Settings!$B$6*IF(OR(F110="GOC",F110="OWC",F110="GWC"),1,0.7)+Settings!$B$7*IF(N110="Supports",1,IF(N110="Conflicts",0,0.5))+Settings!$B$8*IF(AND(Master_Data!R110&lt;&gt;"",Master_Data!S110&lt;&gt;"",Master_Data!R111&lt;&gt;"",Master_Data!S111&lt;&gt;""),1,0.5))</f>
        <v/>
      </c>
      <c r="P110" s="19">
        <f>IF(G110="","",IF(N110="Conflicts","SW_CONFLICT",IF(OR(F110="GOC",F110="OWC",F110="GWC"),"DIRECT_FLUID_TRANSITION","TRANSITION_INTERVAL")))</f>
        <v/>
      </c>
      <c r="Q110" s="19">
        <f>IF(G110="","",IF(N110="Conflicts","Investigate contact interpretation / saturation behaviour",IF(OR(F110="OWC",F110="GOC",F110="GWC"),"Candidate contact — validate with logs, pressure and dynamic evidence","Transition zone — do not force to a sharp contact")))</f>
        <v/>
      </c>
    </row>
    <row r="111">
      <c r="A111" s="19">
        <f>IF(AND(Master_Data!A111&lt;&gt;"",Master_Data!A111=Master_Data!A112),Master_Data!A111,"")</f>
        <v/>
      </c>
      <c r="B111" s="19">
        <f>IF($A111="","",Master_Data!B111)</f>
        <v/>
      </c>
      <c r="C111" s="19">
        <f>IF($A111="","",Master_Data!B112)</f>
        <v/>
      </c>
      <c r="D111" s="19">
        <f>IF($A111="","",Master_Data!Q111)</f>
        <v/>
      </c>
      <c r="E111" s="19">
        <f>IF($A111="","",Master_Data!Q112)</f>
        <v/>
      </c>
      <c r="F111" s="19">
        <f>IF($A111="","",IF(AND(D111="GAS",E111="OIL"),"GOC",IF(AND(D111="OIL",E111="WATER"),"OWC",IF(AND(D111="GAS",E111="WATER"),"GWC",IF(AND(D111="OIL",E111="OIL_WATER"),"OWC_TRANSITION",IF(AND(D111="OIL_WATER",E111="WATER"),"OWC_TRANSITION",IF(AND(D111="GAS",E111="GAS_WATER"),"GOC_TRANSITION",IF(AND(D111="GAS_WATER",E111="OIL"),"GOC_TRANSITION",IF(OR(D111="OIL_WATER",D111="GAS_WATER"),"TRANSITION_INTERVAL","")))))))))</f>
        <v/>
      </c>
      <c r="G111" s="20">
        <f>IF(OR(F111="",Master_Data!R111="",Master_Data!S111=""),"",IF(RIGHT(F111,10)="TRANSITION",AVERAGE(Master_Data!R111:Master_Data!S111),AVERAGE(Master_Data!S111,Master_Data!R112)))</f>
        <v/>
      </c>
      <c r="H111" s="20">
        <f>IF(G111="","",MAX(Settings!$B$4,Settings!$B$5*AVERAGE(IF(Master_Data!O111&lt;&gt;"",Master_Data!O111,Master_Data!H111),IF(Master_Data!O112&lt;&gt;"",Master_Data!O112,Master_Data!H112))))</f>
        <v/>
      </c>
      <c r="I111" s="20">
        <f>IF(G111="","",G111-H111)</f>
        <v/>
      </c>
      <c r="J111" s="20">
        <f>IF(G111="","",G111+H111)</f>
        <v/>
      </c>
      <c r="K111" s="20">
        <f>IF($A111="","",Master_Data!G111)</f>
        <v/>
      </c>
      <c r="L111" s="20">
        <f>IF($A111="","",Master_Data!G112)</f>
        <v/>
      </c>
      <c r="M111" s="20">
        <f>IF(AND(ISNUMBER(K111),ISNUMBER(L111)),L111-K111,"")</f>
        <v/>
      </c>
      <c r="N111" s="19">
        <f>IF(G111="","",IF(AND(ISNUMBER(K111),ISNUMBER(L111)),IF(OR(F111="GOC",F111="OWC",F111="GWC",F111="OWC_TRANSITION",F111="GOC_TRANSITION"),IF(L111&gt;=K111,"Supports","Conflicts"),"N/A"),"No Sw"))</f>
        <v/>
      </c>
      <c r="O111" s="20">
        <f>IF(G111="","",Settings!$B$6*IF(OR(F111="GOC",F111="OWC",F111="GWC"),1,0.7)+Settings!$B$7*IF(N111="Supports",1,IF(N111="Conflicts",0,0.5))+Settings!$B$8*IF(AND(Master_Data!R111&lt;&gt;"",Master_Data!S111&lt;&gt;"",Master_Data!R112&lt;&gt;"",Master_Data!S112&lt;&gt;""),1,0.5))</f>
        <v/>
      </c>
      <c r="P111" s="19">
        <f>IF(G111="","",IF(N111="Conflicts","SW_CONFLICT",IF(OR(F111="GOC",F111="OWC",F111="GWC"),"DIRECT_FLUID_TRANSITION","TRANSITION_INTERVAL")))</f>
        <v/>
      </c>
      <c r="Q111" s="19">
        <f>IF(G111="","",IF(N111="Conflicts","Investigate contact interpretation / saturation behaviour",IF(OR(F111="OWC",F111="GOC",F111="GWC"),"Candidate contact — validate with logs, pressure and dynamic evidence","Transition zone — do not force to a sharp contact")))</f>
        <v/>
      </c>
    </row>
    <row r="112">
      <c r="A112" s="19">
        <f>IF(AND(Master_Data!A112&lt;&gt;"",Master_Data!A112=Master_Data!A113),Master_Data!A112,"")</f>
        <v/>
      </c>
      <c r="B112" s="19">
        <f>IF($A112="","",Master_Data!B112)</f>
        <v/>
      </c>
      <c r="C112" s="19">
        <f>IF($A112="","",Master_Data!B113)</f>
        <v/>
      </c>
      <c r="D112" s="19">
        <f>IF($A112="","",Master_Data!Q112)</f>
        <v/>
      </c>
      <c r="E112" s="19">
        <f>IF($A112="","",Master_Data!Q113)</f>
        <v/>
      </c>
      <c r="F112" s="19">
        <f>IF($A112="","",IF(AND(D112="GAS",E112="OIL"),"GOC",IF(AND(D112="OIL",E112="WATER"),"OWC",IF(AND(D112="GAS",E112="WATER"),"GWC",IF(AND(D112="OIL",E112="OIL_WATER"),"OWC_TRANSITION",IF(AND(D112="OIL_WATER",E112="WATER"),"OWC_TRANSITION",IF(AND(D112="GAS",E112="GAS_WATER"),"GOC_TRANSITION",IF(AND(D112="GAS_WATER",E112="OIL"),"GOC_TRANSITION",IF(OR(D112="OIL_WATER",D112="GAS_WATER"),"TRANSITION_INTERVAL","")))))))))</f>
        <v/>
      </c>
      <c r="G112" s="20">
        <f>IF(OR(F112="",Master_Data!R112="",Master_Data!S112=""),"",IF(RIGHT(F112,10)="TRANSITION",AVERAGE(Master_Data!R112:Master_Data!S112),AVERAGE(Master_Data!S112,Master_Data!R113)))</f>
        <v/>
      </c>
      <c r="H112" s="20">
        <f>IF(G112="","",MAX(Settings!$B$4,Settings!$B$5*AVERAGE(IF(Master_Data!O112&lt;&gt;"",Master_Data!O112,Master_Data!H112),IF(Master_Data!O113&lt;&gt;"",Master_Data!O113,Master_Data!H113))))</f>
        <v/>
      </c>
      <c r="I112" s="20">
        <f>IF(G112="","",G112-H112)</f>
        <v/>
      </c>
      <c r="J112" s="20">
        <f>IF(G112="","",G112+H112)</f>
        <v/>
      </c>
      <c r="K112" s="20">
        <f>IF($A112="","",Master_Data!G112)</f>
        <v/>
      </c>
      <c r="L112" s="20">
        <f>IF($A112="","",Master_Data!G113)</f>
        <v/>
      </c>
      <c r="M112" s="20">
        <f>IF(AND(ISNUMBER(K112),ISNUMBER(L112)),L112-K112,"")</f>
        <v/>
      </c>
      <c r="N112" s="19">
        <f>IF(G112="","",IF(AND(ISNUMBER(K112),ISNUMBER(L112)),IF(OR(F112="GOC",F112="OWC",F112="GWC",F112="OWC_TRANSITION",F112="GOC_TRANSITION"),IF(L112&gt;=K112,"Supports","Conflicts"),"N/A"),"No Sw"))</f>
        <v/>
      </c>
      <c r="O112" s="20">
        <f>IF(G112="","",Settings!$B$6*IF(OR(F112="GOC",F112="OWC",F112="GWC"),1,0.7)+Settings!$B$7*IF(N112="Supports",1,IF(N112="Conflicts",0,0.5))+Settings!$B$8*IF(AND(Master_Data!R112&lt;&gt;"",Master_Data!S112&lt;&gt;"",Master_Data!R113&lt;&gt;"",Master_Data!S113&lt;&gt;""),1,0.5))</f>
        <v/>
      </c>
      <c r="P112" s="19">
        <f>IF(G112="","",IF(N112="Conflicts","SW_CONFLICT",IF(OR(F112="GOC",F112="OWC",F112="GWC"),"DIRECT_FLUID_TRANSITION","TRANSITION_INTERVAL")))</f>
        <v/>
      </c>
      <c r="Q112" s="19">
        <f>IF(G112="","",IF(N112="Conflicts","Investigate contact interpretation / saturation behaviour",IF(OR(F112="OWC",F112="GOC",F112="GWC"),"Candidate contact — validate with logs, pressure and dynamic evidence","Transition zone — do not force to a sharp contact")))</f>
        <v/>
      </c>
    </row>
    <row r="113">
      <c r="A113" s="19">
        <f>IF(AND(Master_Data!A113&lt;&gt;"",Master_Data!A113=Master_Data!A114),Master_Data!A113,"")</f>
        <v/>
      </c>
      <c r="B113" s="19">
        <f>IF($A113="","",Master_Data!B113)</f>
        <v/>
      </c>
      <c r="C113" s="19">
        <f>IF($A113="","",Master_Data!B114)</f>
        <v/>
      </c>
      <c r="D113" s="19">
        <f>IF($A113="","",Master_Data!Q113)</f>
        <v/>
      </c>
      <c r="E113" s="19">
        <f>IF($A113="","",Master_Data!Q114)</f>
        <v/>
      </c>
      <c r="F113" s="19">
        <f>IF($A113="","",IF(AND(D113="GAS",E113="OIL"),"GOC",IF(AND(D113="OIL",E113="WATER"),"OWC",IF(AND(D113="GAS",E113="WATER"),"GWC",IF(AND(D113="OIL",E113="OIL_WATER"),"OWC_TRANSITION",IF(AND(D113="OIL_WATER",E113="WATER"),"OWC_TRANSITION",IF(AND(D113="GAS",E113="GAS_WATER"),"GOC_TRANSITION",IF(AND(D113="GAS_WATER",E113="OIL"),"GOC_TRANSITION",IF(OR(D113="OIL_WATER",D113="GAS_WATER"),"TRANSITION_INTERVAL","")))))))))</f>
        <v/>
      </c>
      <c r="G113" s="20">
        <f>IF(OR(F113="",Master_Data!R113="",Master_Data!S113=""),"",IF(RIGHT(F113,10)="TRANSITION",AVERAGE(Master_Data!R113:Master_Data!S113),AVERAGE(Master_Data!S113,Master_Data!R114)))</f>
        <v/>
      </c>
      <c r="H113" s="20">
        <f>IF(G113="","",MAX(Settings!$B$4,Settings!$B$5*AVERAGE(IF(Master_Data!O113&lt;&gt;"",Master_Data!O113,Master_Data!H113),IF(Master_Data!O114&lt;&gt;"",Master_Data!O114,Master_Data!H114))))</f>
        <v/>
      </c>
      <c r="I113" s="20">
        <f>IF(G113="","",G113-H113)</f>
        <v/>
      </c>
      <c r="J113" s="20">
        <f>IF(G113="","",G113+H113)</f>
        <v/>
      </c>
      <c r="K113" s="20">
        <f>IF($A113="","",Master_Data!G113)</f>
        <v/>
      </c>
      <c r="L113" s="20">
        <f>IF($A113="","",Master_Data!G114)</f>
        <v/>
      </c>
      <c r="M113" s="20">
        <f>IF(AND(ISNUMBER(K113),ISNUMBER(L113)),L113-K113,"")</f>
        <v/>
      </c>
      <c r="N113" s="19">
        <f>IF(G113="","",IF(AND(ISNUMBER(K113),ISNUMBER(L113)),IF(OR(F113="GOC",F113="OWC",F113="GWC",F113="OWC_TRANSITION",F113="GOC_TRANSITION"),IF(L113&gt;=K113,"Supports","Conflicts"),"N/A"),"No Sw"))</f>
        <v/>
      </c>
      <c r="O113" s="20">
        <f>IF(G113="","",Settings!$B$6*IF(OR(F113="GOC",F113="OWC",F113="GWC"),1,0.7)+Settings!$B$7*IF(N113="Supports",1,IF(N113="Conflicts",0,0.5))+Settings!$B$8*IF(AND(Master_Data!R113&lt;&gt;"",Master_Data!S113&lt;&gt;"",Master_Data!R114&lt;&gt;"",Master_Data!S114&lt;&gt;""),1,0.5))</f>
        <v/>
      </c>
      <c r="P113" s="19">
        <f>IF(G113="","",IF(N113="Conflicts","SW_CONFLICT",IF(OR(F113="GOC",F113="OWC",F113="GWC"),"DIRECT_FLUID_TRANSITION","TRANSITION_INTERVAL")))</f>
        <v/>
      </c>
      <c r="Q113" s="19">
        <f>IF(G113="","",IF(N113="Conflicts","Investigate contact interpretation / saturation behaviour",IF(OR(F113="OWC",F113="GOC",F113="GWC"),"Candidate contact — validate with logs, pressure and dynamic evidence","Transition zone — do not force to a sharp contact")))</f>
        <v/>
      </c>
    </row>
    <row r="114">
      <c r="A114" s="19">
        <f>IF(AND(Master_Data!A114&lt;&gt;"",Master_Data!A114=Master_Data!A115),Master_Data!A114,"")</f>
        <v/>
      </c>
      <c r="B114" s="19">
        <f>IF($A114="","",Master_Data!B114)</f>
        <v/>
      </c>
      <c r="C114" s="19">
        <f>IF($A114="","",Master_Data!B115)</f>
        <v/>
      </c>
      <c r="D114" s="19">
        <f>IF($A114="","",Master_Data!Q114)</f>
        <v/>
      </c>
      <c r="E114" s="19">
        <f>IF($A114="","",Master_Data!Q115)</f>
        <v/>
      </c>
      <c r="F114" s="19">
        <f>IF($A114="","",IF(AND(D114="GAS",E114="OIL"),"GOC",IF(AND(D114="OIL",E114="WATER"),"OWC",IF(AND(D114="GAS",E114="WATER"),"GWC",IF(AND(D114="OIL",E114="OIL_WATER"),"OWC_TRANSITION",IF(AND(D114="OIL_WATER",E114="WATER"),"OWC_TRANSITION",IF(AND(D114="GAS",E114="GAS_WATER"),"GOC_TRANSITION",IF(AND(D114="GAS_WATER",E114="OIL"),"GOC_TRANSITION",IF(OR(D114="OIL_WATER",D114="GAS_WATER"),"TRANSITION_INTERVAL","")))))))))</f>
        <v/>
      </c>
      <c r="G114" s="20">
        <f>IF(OR(F114="",Master_Data!R114="",Master_Data!S114=""),"",IF(RIGHT(F114,10)="TRANSITION",AVERAGE(Master_Data!R114:Master_Data!S114),AVERAGE(Master_Data!S114,Master_Data!R115)))</f>
        <v/>
      </c>
      <c r="H114" s="20">
        <f>IF(G114="","",MAX(Settings!$B$4,Settings!$B$5*AVERAGE(IF(Master_Data!O114&lt;&gt;"",Master_Data!O114,Master_Data!H114),IF(Master_Data!O115&lt;&gt;"",Master_Data!O115,Master_Data!H115))))</f>
        <v/>
      </c>
      <c r="I114" s="20">
        <f>IF(G114="","",G114-H114)</f>
        <v/>
      </c>
      <c r="J114" s="20">
        <f>IF(G114="","",G114+H114)</f>
        <v/>
      </c>
      <c r="K114" s="20">
        <f>IF($A114="","",Master_Data!G114)</f>
        <v/>
      </c>
      <c r="L114" s="20">
        <f>IF($A114="","",Master_Data!G115)</f>
        <v/>
      </c>
      <c r="M114" s="20">
        <f>IF(AND(ISNUMBER(K114),ISNUMBER(L114)),L114-K114,"")</f>
        <v/>
      </c>
      <c r="N114" s="19">
        <f>IF(G114="","",IF(AND(ISNUMBER(K114),ISNUMBER(L114)),IF(OR(F114="GOC",F114="OWC",F114="GWC",F114="OWC_TRANSITION",F114="GOC_TRANSITION"),IF(L114&gt;=K114,"Supports","Conflicts"),"N/A"),"No Sw"))</f>
        <v/>
      </c>
      <c r="O114" s="20">
        <f>IF(G114="","",Settings!$B$6*IF(OR(F114="GOC",F114="OWC",F114="GWC"),1,0.7)+Settings!$B$7*IF(N114="Supports",1,IF(N114="Conflicts",0,0.5))+Settings!$B$8*IF(AND(Master_Data!R114&lt;&gt;"",Master_Data!S114&lt;&gt;"",Master_Data!R115&lt;&gt;"",Master_Data!S115&lt;&gt;""),1,0.5))</f>
        <v/>
      </c>
      <c r="P114" s="19">
        <f>IF(G114="","",IF(N114="Conflicts","SW_CONFLICT",IF(OR(F114="GOC",F114="OWC",F114="GWC"),"DIRECT_FLUID_TRANSITION","TRANSITION_INTERVAL")))</f>
        <v/>
      </c>
      <c r="Q114" s="19">
        <f>IF(G114="","",IF(N114="Conflicts","Investigate contact interpretation / saturation behaviour",IF(OR(F114="OWC",F114="GOC",F114="GWC"),"Candidate contact — validate with logs, pressure and dynamic evidence","Transition zone — do not force to a sharp contact")))</f>
        <v/>
      </c>
    </row>
    <row r="115">
      <c r="A115" s="19">
        <f>IF(AND(Master_Data!A115&lt;&gt;"",Master_Data!A115=Master_Data!A116),Master_Data!A115,"")</f>
        <v/>
      </c>
      <c r="B115" s="19">
        <f>IF($A115="","",Master_Data!B115)</f>
        <v/>
      </c>
      <c r="C115" s="19">
        <f>IF($A115="","",Master_Data!B116)</f>
        <v/>
      </c>
      <c r="D115" s="19">
        <f>IF($A115="","",Master_Data!Q115)</f>
        <v/>
      </c>
      <c r="E115" s="19">
        <f>IF($A115="","",Master_Data!Q116)</f>
        <v/>
      </c>
      <c r="F115" s="19">
        <f>IF($A115="","",IF(AND(D115="GAS",E115="OIL"),"GOC",IF(AND(D115="OIL",E115="WATER"),"OWC",IF(AND(D115="GAS",E115="WATER"),"GWC",IF(AND(D115="OIL",E115="OIL_WATER"),"OWC_TRANSITION",IF(AND(D115="OIL_WATER",E115="WATER"),"OWC_TRANSITION",IF(AND(D115="GAS",E115="GAS_WATER"),"GOC_TRANSITION",IF(AND(D115="GAS_WATER",E115="OIL"),"GOC_TRANSITION",IF(OR(D115="OIL_WATER",D115="GAS_WATER"),"TRANSITION_INTERVAL","")))))))))</f>
        <v/>
      </c>
      <c r="G115" s="20">
        <f>IF(OR(F115="",Master_Data!R115="",Master_Data!S115=""),"",IF(RIGHT(F115,10)="TRANSITION",AVERAGE(Master_Data!R115:Master_Data!S115),AVERAGE(Master_Data!S115,Master_Data!R116)))</f>
        <v/>
      </c>
      <c r="H115" s="20">
        <f>IF(G115="","",MAX(Settings!$B$4,Settings!$B$5*AVERAGE(IF(Master_Data!O115&lt;&gt;"",Master_Data!O115,Master_Data!H115),IF(Master_Data!O116&lt;&gt;"",Master_Data!O116,Master_Data!H116))))</f>
        <v/>
      </c>
      <c r="I115" s="20">
        <f>IF(G115="","",G115-H115)</f>
        <v/>
      </c>
      <c r="J115" s="20">
        <f>IF(G115="","",G115+H115)</f>
        <v/>
      </c>
      <c r="K115" s="20">
        <f>IF($A115="","",Master_Data!G115)</f>
        <v/>
      </c>
      <c r="L115" s="20">
        <f>IF($A115="","",Master_Data!G116)</f>
        <v/>
      </c>
      <c r="M115" s="20">
        <f>IF(AND(ISNUMBER(K115),ISNUMBER(L115)),L115-K115,"")</f>
        <v/>
      </c>
      <c r="N115" s="19">
        <f>IF(G115="","",IF(AND(ISNUMBER(K115),ISNUMBER(L115)),IF(OR(F115="GOC",F115="OWC",F115="GWC",F115="OWC_TRANSITION",F115="GOC_TRANSITION"),IF(L115&gt;=K115,"Supports","Conflicts"),"N/A"),"No Sw"))</f>
        <v/>
      </c>
      <c r="O115" s="20">
        <f>IF(G115="","",Settings!$B$6*IF(OR(F115="GOC",F115="OWC",F115="GWC"),1,0.7)+Settings!$B$7*IF(N115="Supports",1,IF(N115="Conflicts",0,0.5))+Settings!$B$8*IF(AND(Master_Data!R115&lt;&gt;"",Master_Data!S115&lt;&gt;"",Master_Data!R116&lt;&gt;"",Master_Data!S116&lt;&gt;""),1,0.5))</f>
        <v/>
      </c>
      <c r="P115" s="19">
        <f>IF(G115="","",IF(N115="Conflicts","SW_CONFLICT",IF(OR(F115="GOC",F115="OWC",F115="GWC"),"DIRECT_FLUID_TRANSITION","TRANSITION_INTERVAL")))</f>
        <v/>
      </c>
      <c r="Q115" s="19">
        <f>IF(G115="","",IF(N115="Conflicts","Investigate contact interpretation / saturation behaviour",IF(OR(F115="OWC",F115="GOC",F115="GWC"),"Candidate contact — validate with logs, pressure and dynamic evidence","Transition zone — do not force to a sharp contact")))</f>
        <v/>
      </c>
    </row>
    <row r="116">
      <c r="A116" s="19">
        <f>IF(AND(Master_Data!A116&lt;&gt;"",Master_Data!A116=Master_Data!A117),Master_Data!A116,"")</f>
        <v/>
      </c>
      <c r="B116" s="19">
        <f>IF($A116="","",Master_Data!B116)</f>
        <v/>
      </c>
      <c r="C116" s="19">
        <f>IF($A116="","",Master_Data!B117)</f>
        <v/>
      </c>
      <c r="D116" s="19">
        <f>IF($A116="","",Master_Data!Q116)</f>
        <v/>
      </c>
      <c r="E116" s="19">
        <f>IF($A116="","",Master_Data!Q117)</f>
        <v/>
      </c>
      <c r="F116" s="19">
        <f>IF($A116="","",IF(AND(D116="GAS",E116="OIL"),"GOC",IF(AND(D116="OIL",E116="WATER"),"OWC",IF(AND(D116="GAS",E116="WATER"),"GWC",IF(AND(D116="OIL",E116="OIL_WATER"),"OWC_TRANSITION",IF(AND(D116="OIL_WATER",E116="WATER"),"OWC_TRANSITION",IF(AND(D116="GAS",E116="GAS_WATER"),"GOC_TRANSITION",IF(AND(D116="GAS_WATER",E116="OIL"),"GOC_TRANSITION",IF(OR(D116="OIL_WATER",D116="GAS_WATER"),"TRANSITION_INTERVAL","")))))))))</f>
        <v/>
      </c>
      <c r="G116" s="20">
        <f>IF(OR(F116="",Master_Data!R116="",Master_Data!S116=""),"",IF(RIGHT(F116,10)="TRANSITION",AVERAGE(Master_Data!R116:Master_Data!S116),AVERAGE(Master_Data!S116,Master_Data!R117)))</f>
        <v/>
      </c>
      <c r="H116" s="20">
        <f>IF(G116="","",MAX(Settings!$B$4,Settings!$B$5*AVERAGE(IF(Master_Data!O116&lt;&gt;"",Master_Data!O116,Master_Data!H116),IF(Master_Data!O117&lt;&gt;"",Master_Data!O117,Master_Data!H117))))</f>
        <v/>
      </c>
      <c r="I116" s="20">
        <f>IF(G116="","",G116-H116)</f>
        <v/>
      </c>
      <c r="J116" s="20">
        <f>IF(G116="","",G116+H116)</f>
        <v/>
      </c>
      <c r="K116" s="20">
        <f>IF($A116="","",Master_Data!G116)</f>
        <v/>
      </c>
      <c r="L116" s="20">
        <f>IF($A116="","",Master_Data!G117)</f>
        <v/>
      </c>
      <c r="M116" s="20">
        <f>IF(AND(ISNUMBER(K116),ISNUMBER(L116)),L116-K116,"")</f>
        <v/>
      </c>
      <c r="N116" s="19">
        <f>IF(G116="","",IF(AND(ISNUMBER(K116),ISNUMBER(L116)),IF(OR(F116="GOC",F116="OWC",F116="GWC",F116="OWC_TRANSITION",F116="GOC_TRANSITION"),IF(L116&gt;=K116,"Supports","Conflicts"),"N/A"),"No Sw"))</f>
        <v/>
      </c>
      <c r="O116" s="20">
        <f>IF(G116="","",Settings!$B$6*IF(OR(F116="GOC",F116="OWC",F116="GWC"),1,0.7)+Settings!$B$7*IF(N116="Supports",1,IF(N116="Conflicts",0,0.5))+Settings!$B$8*IF(AND(Master_Data!R116&lt;&gt;"",Master_Data!S116&lt;&gt;"",Master_Data!R117&lt;&gt;"",Master_Data!S117&lt;&gt;""),1,0.5))</f>
        <v/>
      </c>
      <c r="P116" s="19">
        <f>IF(G116="","",IF(N116="Conflicts","SW_CONFLICT",IF(OR(F116="GOC",F116="OWC",F116="GWC"),"DIRECT_FLUID_TRANSITION","TRANSITION_INTERVAL")))</f>
        <v/>
      </c>
      <c r="Q116" s="19">
        <f>IF(G116="","",IF(N116="Conflicts","Investigate contact interpretation / saturation behaviour",IF(OR(F116="OWC",F116="GOC",F116="GWC"),"Candidate contact — validate with logs, pressure and dynamic evidence","Transition zone — do not force to a sharp contact")))</f>
        <v/>
      </c>
    </row>
    <row r="117">
      <c r="A117" s="19">
        <f>IF(AND(Master_Data!A117&lt;&gt;"",Master_Data!A117=Master_Data!A118),Master_Data!A117,"")</f>
        <v/>
      </c>
      <c r="B117" s="19">
        <f>IF($A117="","",Master_Data!B117)</f>
        <v/>
      </c>
      <c r="C117" s="19">
        <f>IF($A117="","",Master_Data!B118)</f>
        <v/>
      </c>
      <c r="D117" s="19">
        <f>IF($A117="","",Master_Data!Q117)</f>
        <v/>
      </c>
      <c r="E117" s="19">
        <f>IF($A117="","",Master_Data!Q118)</f>
        <v/>
      </c>
      <c r="F117" s="19">
        <f>IF($A117="","",IF(AND(D117="GAS",E117="OIL"),"GOC",IF(AND(D117="OIL",E117="WATER"),"OWC",IF(AND(D117="GAS",E117="WATER"),"GWC",IF(AND(D117="OIL",E117="OIL_WATER"),"OWC_TRANSITION",IF(AND(D117="OIL_WATER",E117="WATER"),"OWC_TRANSITION",IF(AND(D117="GAS",E117="GAS_WATER"),"GOC_TRANSITION",IF(AND(D117="GAS_WATER",E117="OIL"),"GOC_TRANSITION",IF(OR(D117="OIL_WATER",D117="GAS_WATER"),"TRANSITION_INTERVAL","")))))))))</f>
        <v/>
      </c>
      <c r="G117" s="20">
        <f>IF(OR(F117="",Master_Data!R117="",Master_Data!S117=""),"",IF(RIGHT(F117,10)="TRANSITION",AVERAGE(Master_Data!R117:Master_Data!S117),AVERAGE(Master_Data!S117,Master_Data!R118)))</f>
        <v/>
      </c>
      <c r="H117" s="20">
        <f>IF(G117="","",MAX(Settings!$B$4,Settings!$B$5*AVERAGE(IF(Master_Data!O117&lt;&gt;"",Master_Data!O117,Master_Data!H117),IF(Master_Data!O118&lt;&gt;"",Master_Data!O118,Master_Data!H118))))</f>
        <v/>
      </c>
      <c r="I117" s="20">
        <f>IF(G117="","",G117-H117)</f>
        <v/>
      </c>
      <c r="J117" s="20">
        <f>IF(G117="","",G117+H117)</f>
        <v/>
      </c>
      <c r="K117" s="20">
        <f>IF($A117="","",Master_Data!G117)</f>
        <v/>
      </c>
      <c r="L117" s="20">
        <f>IF($A117="","",Master_Data!G118)</f>
        <v/>
      </c>
      <c r="M117" s="20">
        <f>IF(AND(ISNUMBER(K117),ISNUMBER(L117)),L117-K117,"")</f>
        <v/>
      </c>
      <c r="N117" s="19">
        <f>IF(G117="","",IF(AND(ISNUMBER(K117),ISNUMBER(L117)),IF(OR(F117="GOC",F117="OWC",F117="GWC",F117="OWC_TRANSITION",F117="GOC_TRANSITION"),IF(L117&gt;=K117,"Supports","Conflicts"),"N/A"),"No Sw"))</f>
        <v/>
      </c>
      <c r="O117" s="20">
        <f>IF(G117="","",Settings!$B$6*IF(OR(F117="GOC",F117="OWC",F117="GWC"),1,0.7)+Settings!$B$7*IF(N117="Supports",1,IF(N117="Conflicts",0,0.5))+Settings!$B$8*IF(AND(Master_Data!R117&lt;&gt;"",Master_Data!S117&lt;&gt;"",Master_Data!R118&lt;&gt;"",Master_Data!S118&lt;&gt;""),1,0.5))</f>
        <v/>
      </c>
      <c r="P117" s="19">
        <f>IF(G117="","",IF(N117="Conflicts","SW_CONFLICT",IF(OR(F117="GOC",F117="OWC",F117="GWC"),"DIRECT_FLUID_TRANSITION","TRANSITION_INTERVAL")))</f>
        <v/>
      </c>
      <c r="Q117" s="19">
        <f>IF(G117="","",IF(N117="Conflicts","Investigate contact interpretation / saturation behaviour",IF(OR(F117="OWC",F117="GOC",F117="GWC"),"Candidate contact — validate with logs, pressure and dynamic evidence","Transition zone — do not force to a sharp contact")))</f>
        <v/>
      </c>
    </row>
    <row r="118">
      <c r="A118" s="19">
        <f>IF(AND(Master_Data!A118&lt;&gt;"",Master_Data!A118=Master_Data!A119),Master_Data!A118,"")</f>
        <v/>
      </c>
      <c r="B118" s="19">
        <f>IF($A118="","",Master_Data!B118)</f>
        <v/>
      </c>
      <c r="C118" s="19">
        <f>IF($A118="","",Master_Data!B119)</f>
        <v/>
      </c>
      <c r="D118" s="19">
        <f>IF($A118="","",Master_Data!Q118)</f>
        <v/>
      </c>
      <c r="E118" s="19">
        <f>IF($A118="","",Master_Data!Q119)</f>
        <v/>
      </c>
      <c r="F118" s="19">
        <f>IF($A118="","",IF(AND(D118="GAS",E118="OIL"),"GOC",IF(AND(D118="OIL",E118="WATER"),"OWC",IF(AND(D118="GAS",E118="WATER"),"GWC",IF(AND(D118="OIL",E118="OIL_WATER"),"OWC_TRANSITION",IF(AND(D118="OIL_WATER",E118="WATER"),"OWC_TRANSITION",IF(AND(D118="GAS",E118="GAS_WATER"),"GOC_TRANSITION",IF(AND(D118="GAS_WATER",E118="OIL"),"GOC_TRANSITION",IF(OR(D118="OIL_WATER",D118="GAS_WATER"),"TRANSITION_INTERVAL","")))))))))</f>
        <v/>
      </c>
      <c r="G118" s="20">
        <f>IF(OR(F118="",Master_Data!R118="",Master_Data!S118=""),"",IF(RIGHT(F118,10)="TRANSITION",AVERAGE(Master_Data!R118:Master_Data!S118),AVERAGE(Master_Data!S118,Master_Data!R119)))</f>
        <v/>
      </c>
      <c r="H118" s="20">
        <f>IF(G118="","",MAX(Settings!$B$4,Settings!$B$5*AVERAGE(IF(Master_Data!O118&lt;&gt;"",Master_Data!O118,Master_Data!H118),IF(Master_Data!O119&lt;&gt;"",Master_Data!O119,Master_Data!H119))))</f>
        <v/>
      </c>
      <c r="I118" s="20">
        <f>IF(G118="","",G118-H118)</f>
        <v/>
      </c>
      <c r="J118" s="20">
        <f>IF(G118="","",G118+H118)</f>
        <v/>
      </c>
      <c r="K118" s="20">
        <f>IF($A118="","",Master_Data!G118)</f>
        <v/>
      </c>
      <c r="L118" s="20">
        <f>IF($A118="","",Master_Data!G119)</f>
        <v/>
      </c>
      <c r="M118" s="20">
        <f>IF(AND(ISNUMBER(K118),ISNUMBER(L118)),L118-K118,"")</f>
        <v/>
      </c>
      <c r="N118" s="19">
        <f>IF(G118="","",IF(AND(ISNUMBER(K118),ISNUMBER(L118)),IF(OR(F118="GOC",F118="OWC",F118="GWC",F118="OWC_TRANSITION",F118="GOC_TRANSITION"),IF(L118&gt;=K118,"Supports","Conflicts"),"N/A"),"No Sw"))</f>
        <v/>
      </c>
      <c r="O118" s="20">
        <f>IF(G118="","",Settings!$B$6*IF(OR(F118="GOC",F118="OWC",F118="GWC"),1,0.7)+Settings!$B$7*IF(N118="Supports",1,IF(N118="Conflicts",0,0.5))+Settings!$B$8*IF(AND(Master_Data!R118&lt;&gt;"",Master_Data!S118&lt;&gt;"",Master_Data!R119&lt;&gt;"",Master_Data!S119&lt;&gt;""),1,0.5))</f>
        <v/>
      </c>
      <c r="P118" s="19">
        <f>IF(G118="","",IF(N118="Conflicts","SW_CONFLICT",IF(OR(F118="GOC",F118="OWC",F118="GWC"),"DIRECT_FLUID_TRANSITION","TRANSITION_INTERVAL")))</f>
        <v/>
      </c>
      <c r="Q118" s="19">
        <f>IF(G118="","",IF(N118="Conflicts","Investigate contact interpretation / saturation behaviour",IF(OR(F118="OWC",F118="GOC",F118="GWC"),"Candidate contact — validate with logs, pressure and dynamic evidence","Transition zone — do not force to a sharp contact")))</f>
        <v/>
      </c>
    </row>
    <row r="119">
      <c r="A119" s="19">
        <f>IF(AND(Master_Data!A119&lt;&gt;"",Master_Data!A119=Master_Data!A120),Master_Data!A119,"")</f>
        <v/>
      </c>
      <c r="B119" s="19">
        <f>IF($A119="","",Master_Data!B119)</f>
        <v/>
      </c>
      <c r="C119" s="19">
        <f>IF($A119="","",Master_Data!B120)</f>
        <v/>
      </c>
      <c r="D119" s="19">
        <f>IF($A119="","",Master_Data!Q119)</f>
        <v/>
      </c>
      <c r="E119" s="19">
        <f>IF($A119="","",Master_Data!Q120)</f>
        <v/>
      </c>
      <c r="F119" s="19">
        <f>IF($A119="","",IF(AND(D119="GAS",E119="OIL"),"GOC",IF(AND(D119="OIL",E119="WATER"),"OWC",IF(AND(D119="GAS",E119="WATER"),"GWC",IF(AND(D119="OIL",E119="OIL_WATER"),"OWC_TRANSITION",IF(AND(D119="OIL_WATER",E119="WATER"),"OWC_TRANSITION",IF(AND(D119="GAS",E119="GAS_WATER"),"GOC_TRANSITION",IF(AND(D119="GAS_WATER",E119="OIL"),"GOC_TRANSITION",IF(OR(D119="OIL_WATER",D119="GAS_WATER"),"TRANSITION_INTERVAL","")))))))))</f>
        <v/>
      </c>
      <c r="G119" s="20">
        <f>IF(OR(F119="",Master_Data!R119="",Master_Data!S119=""),"",IF(RIGHT(F119,10)="TRANSITION",AVERAGE(Master_Data!R119:Master_Data!S119),AVERAGE(Master_Data!S119,Master_Data!R120)))</f>
        <v/>
      </c>
      <c r="H119" s="20">
        <f>IF(G119="","",MAX(Settings!$B$4,Settings!$B$5*AVERAGE(IF(Master_Data!O119&lt;&gt;"",Master_Data!O119,Master_Data!H119),IF(Master_Data!O120&lt;&gt;"",Master_Data!O120,Master_Data!H120))))</f>
        <v/>
      </c>
      <c r="I119" s="20">
        <f>IF(G119="","",G119-H119)</f>
        <v/>
      </c>
      <c r="J119" s="20">
        <f>IF(G119="","",G119+H119)</f>
        <v/>
      </c>
      <c r="K119" s="20">
        <f>IF($A119="","",Master_Data!G119)</f>
        <v/>
      </c>
      <c r="L119" s="20">
        <f>IF($A119="","",Master_Data!G120)</f>
        <v/>
      </c>
      <c r="M119" s="20">
        <f>IF(AND(ISNUMBER(K119),ISNUMBER(L119)),L119-K119,"")</f>
        <v/>
      </c>
      <c r="N119" s="19">
        <f>IF(G119="","",IF(AND(ISNUMBER(K119),ISNUMBER(L119)),IF(OR(F119="GOC",F119="OWC",F119="GWC",F119="OWC_TRANSITION",F119="GOC_TRANSITION"),IF(L119&gt;=K119,"Supports","Conflicts"),"N/A"),"No Sw"))</f>
        <v/>
      </c>
      <c r="O119" s="20">
        <f>IF(G119="","",Settings!$B$6*IF(OR(F119="GOC",F119="OWC",F119="GWC"),1,0.7)+Settings!$B$7*IF(N119="Supports",1,IF(N119="Conflicts",0,0.5))+Settings!$B$8*IF(AND(Master_Data!R119&lt;&gt;"",Master_Data!S119&lt;&gt;"",Master_Data!R120&lt;&gt;"",Master_Data!S120&lt;&gt;""),1,0.5))</f>
        <v/>
      </c>
      <c r="P119" s="19">
        <f>IF(G119="","",IF(N119="Conflicts","SW_CONFLICT",IF(OR(F119="GOC",F119="OWC",F119="GWC"),"DIRECT_FLUID_TRANSITION","TRANSITION_INTERVAL")))</f>
        <v/>
      </c>
      <c r="Q119" s="19">
        <f>IF(G119="","",IF(N119="Conflicts","Investigate contact interpretation / saturation behaviour",IF(OR(F119="OWC",F119="GOC",F119="GWC"),"Candidate contact — validate with logs, pressure and dynamic evidence","Transition zone — do not force to a sharp contact")))</f>
        <v/>
      </c>
    </row>
    <row r="120">
      <c r="A120" s="19">
        <f>IF(AND(Master_Data!A120&lt;&gt;"",Master_Data!A120=Master_Data!A121),Master_Data!A120,"")</f>
        <v/>
      </c>
      <c r="B120" s="19">
        <f>IF($A120="","",Master_Data!B120)</f>
        <v/>
      </c>
      <c r="C120" s="19">
        <f>IF($A120="","",Master_Data!B121)</f>
        <v/>
      </c>
      <c r="D120" s="19">
        <f>IF($A120="","",Master_Data!Q120)</f>
        <v/>
      </c>
      <c r="E120" s="19">
        <f>IF($A120="","",Master_Data!Q121)</f>
        <v/>
      </c>
      <c r="F120" s="19">
        <f>IF($A120="","",IF(AND(D120="GAS",E120="OIL"),"GOC",IF(AND(D120="OIL",E120="WATER"),"OWC",IF(AND(D120="GAS",E120="WATER"),"GWC",IF(AND(D120="OIL",E120="OIL_WATER"),"OWC_TRANSITION",IF(AND(D120="OIL_WATER",E120="WATER"),"OWC_TRANSITION",IF(AND(D120="GAS",E120="GAS_WATER"),"GOC_TRANSITION",IF(AND(D120="GAS_WATER",E120="OIL"),"GOC_TRANSITION",IF(OR(D120="OIL_WATER",D120="GAS_WATER"),"TRANSITION_INTERVAL","")))))))))</f>
        <v/>
      </c>
      <c r="G120" s="20">
        <f>IF(OR(F120="",Master_Data!R120="",Master_Data!S120=""),"",IF(RIGHT(F120,10)="TRANSITION",AVERAGE(Master_Data!R120:Master_Data!S120),AVERAGE(Master_Data!S120,Master_Data!R121)))</f>
        <v/>
      </c>
      <c r="H120" s="20">
        <f>IF(G120="","",MAX(Settings!$B$4,Settings!$B$5*AVERAGE(IF(Master_Data!O120&lt;&gt;"",Master_Data!O120,Master_Data!H120),IF(Master_Data!O121&lt;&gt;"",Master_Data!O121,Master_Data!H121))))</f>
        <v/>
      </c>
      <c r="I120" s="20">
        <f>IF(G120="","",G120-H120)</f>
        <v/>
      </c>
      <c r="J120" s="20">
        <f>IF(G120="","",G120+H120)</f>
        <v/>
      </c>
      <c r="K120" s="20">
        <f>IF($A120="","",Master_Data!G120)</f>
        <v/>
      </c>
      <c r="L120" s="20">
        <f>IF($A120="","",Master_Data!G121)</f>
        <v/>
      </c>
      <c r="M120" s="20">
        <f>IF(AND(ISNUMBER(K120),ISNUMBER(L120)),L120-K120,"")</f>
        <v/>
      </c>
      <c r="N120" s="19">
        <f>IF(G120="","",IF(AND(ISNUMBER(K120),ISNUMBER(L120)),IF(OR(F120="GOC",F120="OWC",F120="GWC",F120="OWC_TRANSITION",F120="GOC_TRANSITION"),IF(L120&gt;=K120,"Supports","Conflicts"),"N/A"),"No Sw"))</f>
        <v/>
      </c>
      <c r="O120" s="20">
        <f>IF(G120="","",Settings!$B$6*IF(OR(F120="GOC",F120="OWC",F120="GWC"),1,0.7)+Settings!$B$7*IF(N120="Supports",1,IF(N120="Conflicts",0,0.5))+Settings!$B$8*IF(AND(Master_Data!R120&lt;&gt;"",Master_Data!S120&lt;&gt;"",Master_Data!R121&lt;&gt;"",Master_Data!S121&lt;&gt;""),1,0.5))</f>
        <v/>
      </c>
      <c r="P120" s="19">
        <f>IF(G120="","",IF(N120="Conflicts","SW_CONFLICT",IF(OR(F120="GOC",F120="OWC",F120="GWC"),"DIRECT_FLUID_TRANSITION","TRANSITION_INTERVAL")))</f>
        <v/>
      </c>
      <c r="Q120" s="19">
        <f>IF(G120="","",IF(N120="Conflicts","Investigate contact interpretation / saturation behaviour",IF(OR(F120="OWC",F120="GOC",F120="GWC"),"Candidate contact — validate with logs, pressure and dynamic evidence","Transition zone — do not force to a sharp contact")))</f>
        <v/>
      </c>
    </row>
    <row r="121">
      <c r="A121" s="19">
        <f>IF(AND(Master_Data!A121&lt;&gt;"",Master_Data!A121=Master_Data!A122),Master_Data!A121,"")</f>
        <v/>
      </c>
      <c r="B121" s="19">
        <f>IF($A121="","",Master_Data!B121)</f>
        <v/>
      </c>
      <c r="C121" s="19">
        <f>IF($A121="","",Master_Data!B122)</f>
        <v/>
      </c>
      <c r="D121" s="19">
        <f>IF($A121="","",Master_Data!Q121)</f>
        <v/>
      </c>
      <c r="E121" s="19">
        <f>IF($A121="","",Master_Data!Q122)</f>
        <v/>
      </c>
      <c r="F121" s="19">
        <f>IF($A121="","",IF(AND(D121="GAS",E121="OIL"),"GOC",IF(AND(D121="OIL",E121="WATER"),"OWC",IF(AND(D121="GAS",E121="WATER"),"GWC",IF(AND(D121="OIL",E121="OIL_WATER"),"OWC_TRANSITION",IF(AND(D121="OIL_WATER",E121="WATER"),"OWC_TRANSITION",IF(AND(D121="GAS",E121="GAS_WATER"),"GOC_TRANSITION",IF(AND(D121="GAS_WATER",E121="OIL"),"GOC_TRANSITION",IF(OR(D121="OIL_WATER",D121="GAS_WATER"),"TRANSITION_INTERVAL","")))))))))</f>
        <v/>
      </c>
      <c r="G121" s="20">
        <f>IF(OR(F121="",Master_Data!R121="",Master_Data!S121=""),"",IF(RIGHT(F121,10)="TRANSITION",AVERAGE(Master_Data!R121:Master_Data!S121),AVERAGE(Master_Data!S121,Master_Data!R122)))</f>
        <v/>
      </c>
      <c r="H121" s="20">
        <f>IF(G121="","",MAX(Settings!$B$4,Settings!$B$5*AVERAGE(IF(Master_Data!O121&lt;&gt;"",Master_Data!O121,Master_Data!H121),IF(Master_Data!O122&lt;&gt;"",Master_Data!O122,Master_Data!H122))))</f>
        <v/>
      </c>
      <c r="I121" s="20">
        <f>IF(G121="","",G121-H121)</f>
        <v/>
      </c>
      <c r="J121" s="20">
        <f>IF(G121="","",G121+H121)</f>
        <v/>
      </c>
      <c r="K121" s="20">
        <f>IF($A121="","",Master_Data!G121)</f>
        <v/>
      </c>
      <c r="L121" s="20">
        <f>IF($A121="","",Master_Data!G122)</f>
        <v/>
      </c>
      <c r="M121" s="20">
        <f>IF(AND(ISNUMBER(K121),ISNUMBER(L121)),L121-K121,"")</f>
        <v/>
      </c>
      <c r="N121" s="19">
        <f>IF(G121="","",IF(AND(ISNUMBER(K121),ISNUMBER(L121)),IF(OR(F121="GOC",F121="OWC",F121="GWC",F121="OWC_TRANSITION",F121="GOC_TRANSITION"),IF(L121&gt;=K121,"Supports","Conflicts"),"N/A"),"No Sw"))</f>
        <v/>
      </c>
      <c r="O121" s="20">
        <f>IF(G121="","",Settings!$B$6*IF(OR(F121="GOC",F121="OWC",F121="GWC"),1,0.7)+Settings!$B$7*IF(N121="Supports",1,IF(N121="Conflicts",0,0.5))+Settings!$B$8*IF(AND(Master_Data!R121&lt;&gt;"",Master_Data!S121&lt;&gt;"",Master_Data!R122&lt;&gt;"",Master_Data!S122&lt;&gt;""),1,0.5))</f>
        <v/>
      </c>
      <c r="P121" s="19">
        <f>IF(G121="","",IF(N121="Conflicts","SW_CONFLICT",IF(OR(F121="GOC",F121="OWC",F121="GWC"),"DIRECT_FLUID_TRANSITION","TRANSITION_INTERVAL")))</f>
        <v/>
      </c>
      <c r="Q121" s="19">
        <f>IF(G121="","",IF(N121="Conflicts","Investigate contact interpretation / saturation behaviour",IF(OR(F121="OWC",F121="GOC",F121="GWC"),"Candidate contact — validate with logs, pressure and dynamic evidence","Transition zone — do not force to a sharp contact")))</f>
        <v/>
      </c>
    </row>
    <row r="122">
      <c r="A122" s="19">
        <f>IF(AND(Master_Data!A122&lt;&gt;"",Master_Data!A122=Master_Data!A123),Master_Data!A122,"")</f>
        <v/>
      </c>
      <c r="B122" s="19">
        <f>IF($A122="","",Master_Data!B122)</f>
        <v/>
      </c>
      <c r="C122" s="19">
        <f>IF($A122="","",Master_Data!B123)</f>
        <v/>
      </c>
      <c r="D122" s="19">
        <f>IF($A122="","",Master_Data!Q122)</f>
        <v/>
      </c>
      <c r="E122" s="19">
        <f>IF($A122="","",Master_Data!Q123)</f>
        <v/>
      </c>
      <c r="F122" s="19">
        <f>IF($A122="","",IF(AND(D122="GAS",E122="OIL"),"GOC",IF(AND(D122="OIL",E122="WATER"),"OWC",IF(AND(D122="GAS",E122="WATER"),"GWC",IF(AND(D122="OIL",E122="OIL_WATER"),"OWC_TRANSITION",IF(AND(D122="OIL_WATER",E122="WATER"),"OWC_TRANSITION",IF(AND(D122="GAS",E122="GAS_WATER"),"GOC_TRANSITION",IF(AND(D122="GAS_WATER",E122="OIL"),"GOC_TRANSITION",IF(OR(D122="OIL_WATER",D122="GAS_WATER"),"TRANSITION_INTERVAL","")))))))))</f>
        <v/>
      </c>
      <c r="G122" s="20">
        <f>IF(OR(F122="",Master_Data!R122="",Master_Data!S122=""),"",IF(RIGHT(F122,10)="TRANSITION",AVERAGE(Master_Data!R122:Master_Data!S122),AVERAGE(Master_Data!S122,Master_Data!R123)))</f>
        <v/>
      </c>
      <c r="H122" s="20">
        <f>IF(G122="","",MAX(Settings!$B$4,Settings!$B$5*AVERAGE(IF(Master_Data!O122&lt;&gt;"",Master_Data!O122,Master_Data!H122),IF(Master_Data!O123&lt;&gt;"",Master_Data!O123,Master_Data!H123))))</f>
        <v/>
      </c>
      <c r="I122" s="20">
        <f>IF(G122="","",G122-H122)</f>
        <v/>
      </c>
      <c r="J122" s="20">
        <f>IF(G122="","",G122+H122)</f>
        <v/>
      </c>
      <c r="K122" s="20">
        <f>IF($A122="","",Master_Data!G122)</f>
        <v/>
      </c>
      <c r="L122" s="20">
        <f>IF($A122="","",Master_Data!G123)</f>
        <v/>
      </c>
      <c r="M122" s="20">
        <f>IF(AND(ISNUMBER(K122),ISNUMBER(L122)),L122-K122,"")</f>
        <v/>
      </c>
      <c r="N122" s="19">
        <f>IF(G122="","",IF(AND(ISNUMBER(K122),ISNUMBER(L122)),IF(OR(F122="GOC",F122="OWC",F122="GWC",F122="OWC_TRANSITION",F122="GOC_TRANSITION"),IF(L122&gt;=K122,"Supports","Conflicts"),"N/A"),"No Sw"))</f>
        <v/>
      </c>
      <c r="O122" s="20">
        <f>IF(G122="","",Settings!$B$6*IF(OR(F122="GOC",F122="OWC",F122="GWC"),1,0.7)+Settings!$B$7*IF(N122="Supports",1,IF(N122="Conflicts",0,0.5))+Settings!$B$8*IF(AND(Master_Data!R122&lt;&gt;"",Master_Data!S122&lt;&gt;"",Master_Data!R123&lt;&gt;"",Master_Data!S123&lt;&gt;""),1,0.5))</f>
        <v/>
      </c>
      <c r="P122" s="19">
        <f>IF(G122="","",IF(N122="Conflicts","SW_CONFLICT",IF(OR(F122="GOC",F122="OWC",F122="GWC"),"DIRECT_FLUID_TRANSITION","TRANSITION_INTERVAL")))</f>
        <v/>
      </c>
      <c r="Q122" s="19">
        <f>IF(G122="","",IF(N122="Conflicts","Investigate contact interpretation / saturation behaviour",IF(OR(F122="OWC",F122="GOC",F122="GWC"),"Candidate contact — validate with logs, pressure and dynamic evidence","Transition zone — do not force to a sharp contact")))</f>
        <v/>
      </c>
    </row>
    <row r="123">
      <c r="A123" s="19">
        <f>IF(AND(Master_Data!A123&lt;&gt;"",Master_Data!A123=Master_Data!A124),Master_Data!A123,"")</f>
        <v/>
      </c>
      <c r="B123" s="19">
        <f>IF($A123="","",Master_Data!B123)</f>
        <v/>
      </c>
      <c r="C123" s="19">
        <f>IF($A123="","",Master_Data!B124)</f>
        <v/>
      </c>
      <c r="D123" s="19">
        <f>IF($A123="","",Master_Data!Q123)</f>
        <v/>
      </c>
      <c r="E123" s="19">
        <f>IF($A123="","",Master_Data!Q124)</f>
        <v/>
      </c>
      <c r="F123" s="19">
        <f>IF($A123="","",IF(AND(D123="GAS",E123="OIL"),"GOC",IF(AND(D123="OIL",E123="WATER"),"OWC",IF(AND(D123="GAS",E123="WATER"),"GWC",IF(AND(D123="OIL",E123="OIL_WATER"),"OWC_TRANSITION",IF(AND(D123="OIL_WATER",E123="WATER"),"OWC_TRANSITION",IF(AND(D123="GAS",E123="GAS_WATER"),"GOC_TRANSITION",IF(AND(D123="GAS_WATER",E123="OIL"),"GOC_TRANSITION",IF(OR(D123="OIL_WATER",D123="GAS_WATER"),"TRANSITION_INTERVAL","")))))))))</f>
        <v/>
      </c>
      <c r="G123" s="20">
        <f>IF(OR(F123="",Master_Data!R123="",Master_Data!S123=""),"",IF(RIGHT(F123,10)="TRANSITION",AVERAGE(Master_Data!R123:Master_Data!S123),AVERAGE(Master_Data!S123,Master_Data!R124)))</f>
        <v/>
      </c>
      <c r="H123" s="20">
        <f>IF(G123="","",MAX(Settings!$B$4,Settings!$B$5*AVERAGE(IF(Master_Data!O123&lt;&gt;"",Master_Data!O123,Master_Data!H123),IF(Master_Data!O124&lt;&gt;"",Master_Data!O124,Master_Data!H124))))</f>
        <v/>
      </c>
      <c r="I123" s="20">
        <f>IF(G123="","",G123-H123)</f>
        <v/>
      </c>
      <c r="J123" s="20">
        <f>IF(G123="","",G123+H123)</f>
        <v/>
      </c>
      <c r="K123" s="20">
        <f>IF($A123="","",Master_Data!G123)</f>
        <v/>
      </c>
      <c r="L123" s="20">
        <f>IF($A123="","",Master_Data!G124)</f>
        <v/>
      </c>
      <c r="M123" s="20">
        <f>IF(AND(ISNUMBER(K123),ISNUMBER(L123)),L123-K123,"")</f>
        <v/>
      </c>
      <c r="N123" s="19">
        <f>IF(G123="","",IF(AND(ISNUMBER(K123),ISNUMBER(L123)),IF(OR(F123="GOC",F123="OWC",F123="GWC",F123="OWC_TRANSITION",F123="GOC_TRANSITION"),IF(L123&gt;=K123,"Supports","Conflicts"),"N/A"),"No Sw"))</f>
        <v/>
      </c>
      <c r="O123" s="20">
        <f>IF(G123="","",Settings!$B$6*IF(OR(F123="GOC",F123="OWC",F123="GWC"),1,0.7)+Settings!$B$7*IF(N123="Supports",1,IF(N123="Conflicts",0,0.5))+Settings!$B$8*IF(AND(Master_Data!R123&lt;&gt;"",Master_Data!S123&lt;&gt;"",Master_Data!R124&lt;&gt;"",Master_Data!S124&lt;&gt;""),1,0.5))</f>
        <v/>
      </c>
      <c r="P123" s="19">
        <f>IF(G123="","",IF(N123="Conflicts","SW_CONFLICT",IF(OR(F123="GOC",F123="OWC",F123="GWC"),"DIRECT_FLUID_TRANSITION","TRANSITION_INTERVAL")))</f>
        <v/>
      </c>
      <c r="Q123" s="19">
        <f>IF(G123="","",IF(N123="Conflicts","Investigate contact interpretation / saturation behaviour",IF(OR(F123="OWC",F123="GOC",F123="GWC"),"Candidate contact — validate with logs, pressure and dynamic evidence","Transition zone — do not force to a sharp contact")))</f>
        <v/>
      </c>
    </row>
    <row r="124">
      <c r="A124" s="19">
        <f>IF(AND(Master_Data!A124&lt;&gt;"",Master_Data!A124=Master_Data!A125),Master_Data!A124,"")</f>
        <v/>
      </c>
      <c r="B124" s="19">
        <f>IF($A124="","",Master_Data!B124)</f>
        <v/>
      </c>
      <c r="C124" s="19">
        <f>IF($A124="","",Master_Data!B125)</f>
        <v/>
      </c>
      <c r="D124" s="19">
        <f>IF($A124="","",Master_Data!Q124)</f>
        <v/>
      </c>
      <c r="E124" s="19">
        <f>IF($A124="","",Master_Data!Q125)</f>
        <v/>
      </c>
      <c r="F124" s="19">
        <f>IF($A124="","",IF(AND(D124="GAS",E124="OIL"),"GOC",IF(AND(D124="OIL",E124="WATER"),"OWC",IF(AND(D124="GAS",E124="WATER"),"GWC",IF(AND(D124="OIL",E124="OIL_WATER"),"OWC_TRANSITION",IF(AND(D124="OIL_WATER",E124="WATER"),"OWC_TRANSITION",IF(AND(D124="GAS",E124="GAS_WATER"),"GOC_TRANSITION",IF(AND(D124="GAS_WATER",E124="OIL"),"GOC_TRANSITION",IF(OR(D124="OIL_WATER",D124="GAS_WATER"),"TRANSITION_INTERVAL","")))))))))</f>
        <v/>
      </c>
      <c r="G124" s="20">
        <f>IF(OR(F124="",Master_Data!R124="",Master_Data!S124=""),"",IF(RIGHT(F124,10)="TRANSITION",AVERAGE(Master_Data!R124:Master_Data!S124),AVERAGE(Master_Data!S124,Master_Data!R125)))</f>
        <v/>
      </c>
      <c r="H124" s="20">
        <f>IF(G124="","",MAX(Settings!$B$4,Settings!$B$5*AVERAGE(IF(Master_Data!O124&lt;&gt;"",Master_Data!O124,Master_Data!H124),IF(Master_Data!O125&lt;&gt;"",Master_Data!O125,Master_Data!H125))))</f>
        <v/>
      </c>
      <c r="I124" s="20">
        <f>IF(G124="","",G124-H124)</f>
        <v/>
      </c>
      <c r="J124" s="20">
        <f>IF(G124="","",G124+H124)</f>
        <v/>
      </c>
      <c r="K124" s="20">
        <f>IF($A124="","",Master_Data!G124)</f>
        <v/>
      </c>
      <c r="L124" s="20">
        <f>IF($A124="","",Master_Data!G125)</f>
        <v/>
      </c>
      <c r="M124" s="20">
        <f>IF(AND(ISNUMBER(K124),ISNUMBER(L124)),L124-K124,"")</f>
        <v/>
      </c>
      <c r="N124" s="19">
        <f>IF(G124="","",IF(AND(ISNUMBER(K124),ISNUMBER(L124)),IF(OR(F124="GOC",F124="OWC",F124="GWC",F124="OWC_TRANSITION",F124="GOC_TRANSITION"),IF(L124&gt;=K124,"Supports","Conflicts"),"N/A"),"No Sw"))</f>
        <v/>
      </c>
      <c r="O124" s="20">
        <f>IF(G124="","",Settings!$B$6*IF(OR(F124="GOC",F124="OWC",F124="GWC"),1,0.7)+Settings!$B$7*IF(N124="Supports",1,IF(N124="Conflicts",0,0.5))+Settings!$B$8*IF(AND(Master_Data!R124&lt;&gt;"",Master_Data!S124&lt;&gt;"",Master_Data!R125&lt;&gt;"",Master_Data!S125&lt;&gt;""),1,0.5))</f>
        <v/>
      </c>
      <c r="P124" s="19">
        <f>IF(G124="","",IF(N124="Conflicts","SW_CONFLICT",IF(OR(F124="GOC",F124="OWC",F124="GWC"),"DIRECT_FLUID_TRANSITION","TRANSITION_INTERVAL")))</f>
        <v/>
      </c>
      <c r="Q124" s="19">
        <f>IF(G124="","",IF(N124="Conflicts","Investigate contact interpretation / saturation behaviour",IF(OR(F124="OWC",F124="GOC",F124="GWC"),"Candidate contact — validate with logs, pressure and dynamic evidence","Transition zone — do not force to a sharp contact")))</f>
        <v/>
      </c>
    </row>
    <row r="125">
      <c r="A125" s="19">
        <f>IF(AND(Master_Data!A125&lt;&gt;"",Master_Data!A125=Master_Data!A126),Master_Data!A125,"")</f>
        <v/>
      </c>
      <c r="B125" s="19">
        <f>IF($A125="","",Master_Data!B125)</f>
        <v/>
      </c>
      <c r="C125" s="19">
        <f>IF($A125="","",Master_Data!B126)</f>
        <v/>
      </c>
      <c r="D125" s="19">
        <f>IF($A125="","",Master_Data!Q125)</f>
        <v/>
      </c>
      <c r="E125" s="19">
        <f>IF($A125="","",Master_Data!Q126)</f>
        <v/>
      </c>
      <c r="F125" s="19">
        <f>IF($A125="","",IF(AND(D125="GAS",E125="OIL"),"GOC",IF(AND(D125="OIL",E125="WATER"),"OWC",IF(AND(D125="GAS",E125="WATER"),"GWC",IF(AND(D125="OIL",E125="OIL_WATER"),"OWC_TRANSITION",IF(AND(D125="OIL_WATER",E125="WATER"),"OWC_TRANSITION",IF(AND(D125="GAS",E125="GAS_WATER"),"GOC_TRANSITION",IF(AND(D125="GAS_WATER",E125="OIL"),"GOC_TRANSITION",IF(OR(D125="OIL_WATER",D125="GAS_WATER"),"TRANSITION_INTERVAL","")))))))))</f>
        <v/>
      </c>
      <c r="G125" s="20">
        <f>IF(OR(F125="",Master_Data!R125="",Master_Data!S125=""),"",IF(RIGHT(F125,10)="TRANSITION",AVERAGE(Master_Data!R125:Master_Data!S125),AVERAGE(Master_Data!S125,Master_Data!R126)))</f>
        <v/>
      </c>
      <c r="H125" s="20">
        <f>IF(G125="","",MAX(Settings!$B$4,Settings!$B$5*AVERAGE(IF(Master_Data!O125&lt;&gt;"",Master_Data!O125,Master_Data!H125),IF(Master_Data!O126&lt;&gt;"",Master_Data!O126,Master_Data!H126))))</f>
        <v/>
      </c>
      <c r="I125" s="20">
        <f>IF(G125="","",G125-H125)</f>
        <v/>
      </c>
      <c r="J125" s="20">
        <f>IF(G125="","",G125+H125)</f>
        <v/>
      </c>
      <c r="K125" s="20">
        <f>IF($A125="","",Master_Data!G125)</f>
        <v/>
      </c>
      <c r="L125" s="20">
        <f>IF($A125="","",Master_Data!G126)</f>
        <v/>
      </c>
      <c r="M125" s="20">
        <f>IF(AND(ISNUMBER(K125),ISNUMBER(L125)),L125-K125,"")</f>
        <v/>
      </c>
      <c r="N125" s="19">
        <f>IF(G125="","",IF(AND(ISNUMBER(K125),ISNUMBER(L125)),IF(OR(F125="GOC",F125="OWC",F125="GWC",F125="OWC_TRANSITION",F125="GOC_TRANSITION"),IF(L125&gt;=K125,"Supports","Conflicts"),"N/A"),"No Sw"))</f>
        <v/>
      </c>
      <c r="O125" s="20">
        <f>IF(G125="","",Settings!$B$6*IF(OR(F125="GOC",F125="OWC",F125="GWC"),1,0.7)+Settings!$B$7*IF(N125="Supports",1,IF(N125="Conflicts",0,0.5))+Settings!$B$8*IF(AND(Master_Data!R125&lt;&gt;"",Master_Data!S125&lt;&gt;"",Master_Data!R126&lt;&gt;"",Master_Data!S126&lt;&gt;""),1,0.5))</f>
        <v/>
      </c>
      <c r="P125" s="19">
        <f>IF(G125="","",IF(N125="Conflicts","SW_CONFLICT",IF(OR(F125="GOC",F125="OWC",F125="GWC"),"DIRECT_FLUID_TRANSITION","TRANSITION_INTERVAL")))</f>
        <v/>
      </c>
      <c r="Q125" s="19">
        <f>IF(G125="","",IF(N125="Conflicts","Investigate contact interpretation / saturation behaviour",IF(OR(F125="OWC",F125="GOC",F125="GWC"),"Candidate contact — validate with logs, pressure and dynamic evidence","Transition zone — do not force to a sharp contact")))</f>
        <v/>
      </c>
    </row>
    <row r="126">
      <c r="A126" s="19">
        <f>IF(AND(Master_Data!A126&lt;&gt;"",Master_Data!A126=Master_Data!A127),Master_Data!A126,"")</f>
        <v/>
      </c>
      <c r="B126" s="19">
        <f>IF($A126="","",Master_Data!B126)</f>
        <v/>
      </c>
      <c r="C126" s="19">
        <f>IF($A126="","",Master_Data!B127)</f>
        <v/>
      </c>
      <c r="D126" s="19">
        <f>IF($A126="","",Master_Data!Q126)</f>
        <v/>
      </c>
      <c r="E126" s="19">
        <f>IF($A126="","",Master_Data!Q127)</f>
        <v/>
      </c>
      <c r="F126" s="19">
        <f>IF($A126="","",IF(AND(D126="GAS",E126="OIL"),"GOC",IF(AND(D126="OIL",E126="WATER"),"OWC",IF(AND(D126="GAS",E126="WATER"),"GWC",IF(AND(D126="OIL",E126="OIL_WATER"),"OWC_TRANSITION",IF(AND(D126="OIL_WATER",E126="WATER"),"OWC_TRANSITION",IF(AND(D126="GAS",E126="GAS_WATER"),"GOC_TRANSITION",IF(AND(D126="GAS_WATER",E126="OIL"),"GOC_TRANSITION",IF(OR(D126="OIL_WATER",D126="GAS_WATER"),"TRANSITION_INTERVAL","")))))))))</f>
        <v/>
      </c>
      <c r="G126" s="20">
        <f>IF(OR(F126="",Master_Data!R126="",Master_Data!S126=""),"",IF(RIGHT(F126,10)="TRANSITION",AVERAGE(Master_Data!R126:Master_Data!S126),AVERAGE(Master_Data!S126,Master_Data!R127)))</f>
        <v/>
      </c>
      <c r="H126" s="20">
        <f>IF(G126="","",MAX(Settings!$B$4,Settings!$B$5*AVERAGE(IF(Master_Data!O126&lt;&gt;"",Master_Data!O126,Master_Data!H126),IF(Master_Data!O127&lt;&gt;"",Master_Data!O127,Master_Data!H127))))</f>
        <v/>
      </c>
      <c r="I126" s="20">
        <f>IF(G126="","",G126-H126)</f>
        <v/>
      </c>
      <c r="J126" s="20">
        <f>IF(G126="","",G126+H126)</f>
        <v/>
      </c>
      <c r="K126" s="20">
        <f>IF($A126="","",Master_Data!G126)</f>
        <v/>
      </c>
      <c r="L126" s="20">
        <f>IF($A126="","",Master_Data!G127)</f>
        <v/>
      </c>
      <c r="M126" s="20">
        <f>IF(AND(ISNUMBER(K126),ISNUMBER(L126)),L126-K126,"")</f>
        <v/>
      </c>
      <c r="N126" s="19">
        <f>IF(G126="","",IF(AND(ISNUMBER(K126),ISNUMBER(L126)),IF(OR(F126="GOC",F126="OWC",F126="GWC",F126="OWC_TRANSITION",F126="GOC_TRANSITION"),IF(L126&gt;=K126,"Supports","Conflicts"),"N/A"),"No Sw"))</f>
        <v/>
      </c>
      <c r="O126" s="20">
        <f>IF(G126="","",Settings!$B$6*IF(OR(F126="GOC",F126="OWC",F126="GWC"),1,0.7)+Settings!$B$7*IF(N126="Supports",1,IF(N126="Conflicts",0,0.5))+Settings!$B$8*IF(AND(Master_Data!R126&lt;&gt;"",Master_Data!S126&lt;&gt;"",Master_Data!R127&lt;&gt;"",Master_Data!S127&lt;&gt;""),1,0.5))</f>
        <v/>
      </c>
      <c r="P126" s="19">
        <f>IF(G126="","",IF(N126="Conflicts","SW_CONFLICT",IF(OR(F126="GOC",F126="OWC",F126="GWC"),"DIRECT_FLUID_TRANSITION","TRANSITION_INTERVAL")))</f>
        <v/>
      </c>
      <c r="Q126" s="19">
        <f>IF(G126="","",IF(N126="Conflicts","Investigate contact interpretation / saturation behaviour",IF(OR(F126="OWC",F126="GOC",F126="GWC"),"Candidate contact — validate with logs, pressure and dynamic evidence","Transition zone — do not force to a sharp contact")))</f>
        <v/>
      </c>
    </row>
    <row r="127">
      <c r="A127" s="19">
        <f>IF(AND(Master_Data!A127&lt;&gt;"",Master_Data!A127=Master_Data!A128),Master_Data!A127,"")</f>
        <v/>
      </c>
      <c r="B127" s="19">
        <f>IF($A127="","",Master_Data!B127)</f>
        <v/>
      </c>
      <c r="C127" s="19">
        <f>IF($A127="","",Master_Data!B128)</f>
        <v/>
      </c>
      <c r="D127" s="19">
        <f>IF($A127="","",Master_Data!Q127)</f>
        <v/>
      </c>
      <c r="E127" s="19">
        <f>IF($A127="","",Master_Data!Q128)</f>
        <v/>
      </c>
      <c r="F127" s="19">
        <f>IF($A127="","",IF(AND(D127="GAS",E127="OIL"),"GOC",IF(AND(D127="OIL",E127="WATER"),"OWC",IF(AND(D127="GAS",E127="WATER"),"GWC",IF(AND(D127="OIL",E127="OIL_WATER"),"OWC_TRANSITION",IF(AND(D127="OIL_WATER",E127="WATER"),"OWC_TRANSITION",IF(AND(D127="GAS",E127="GAS_WATER"),"GOC_TRANSITION",IF(AND(D127="GAS_WATER",E127="OIL"),"GOC_TRANSITION",IF(OR(D127="OIL_WATER",D127="GAS_WATER"),"TRANSITION_INTERVAL","")))))))))</f>
        <v/>
      </c>
      <c r="G127" s="20">
        <f>IF(OR(F127="",Master_Data!R127="",Master_Data!S127=""),"",IF(RIGHT(F127,10)="TRANSITION",AVERAGE(Master_Data!R127:Master_Data!S127),AVERAGE(Master_Data!S127,Master_Data!R128)))</f>
        <v/>
      </c>
      <c r="H127" s="20">
        <f>IF(G127="","",MAX(Settings!$B$4,Settings!$B$5*AVERAGE(IF(Master_Data!O127&lt;&gt;"",Master_Data!O127,Master_Data!H127),IF(Master_Data!O128&lt;&gt;"",Master_Data!O128,Master_Data!H128))))</f>
        <v/>
      </c>
      <c r="I127" s="20">
        <f>IF(G127="","",G127-H127)</f>
        <v/>
      </c>
      <c r="J127" s="20">
        <f>IF(G127="","",G127+H127)</f>
        <v/>
      </c>
      <c r="K127" s="20">
        <f>IF($A127="","",Master_Data!G127)</f>
        <v/>
      </c>
      <c r="L127" s="20">
        <f>IF($A127="","",Master_Data!G128)</f>
        <v/>
      </c>
      <c r="M127" s="20">
        <f>IF(AND(ISNUMBER(K127),ISNUMBER(L127)),L127-K127,"")</f>
        <v/>
      </c>
      <c r="N127" s="19">
        <f>IF(G127="","",IF(AND(ISNUMBER(K127),ISNUMBER(L127)),IF(OR(F127="GOC",F127="OWC",F127="GWC",F127="OWC_TRANSITION",F127="GOC_TRANSITION"),IF(L127&gt;=K127,"Supports","Conflicts"),"N/A"),"No Sw"))</f>
        <v/>
      </c>
      <c r="O127" s="20">
        <f>IF(G127="","",Settings!$B$6*IF(OR(F127="GOC",F127="OWC",F127="GWC"),1,0.7)+Settings!$B$7*IF(N127="Supports",1,IF(N127="Conflicts",0,0.5))+Settings!$B$8*IF(AND(Master_Data!R127&lt;&gt;"",Master_Data!S127&lt;&gt;"",Master_Data!R128&lt;&gt;"",Master_Data!S128&lt;&gt;""),1,0.5))</f>
        <v/>
      </c>
      <c r="P127" s="19">
        <f>IF(G127="","",IF(N127="Conflicts","SW_CONFLICT",IF(OR(F127="GOC",F127="OWC",F127="GWC"),"DIRECT_FLUID_TRANSITION","TRANSITION_INTERVAL")))</f>
        <v/>
      </c>
      <c r="Q127" s="19">
        <f>IF(G127="","",IF(N127="Conflicts","Investigate contact interpretation / saturation behaviour",IF(OR(F127="OWC",F127="GOC",F127="GWC"),"Candidate contact — validate with logs, pressure and dynamic evidence","Transition zone — do not force to a sharp contact")))</f>
        <v/>
      </c>
    </row>
    <row r="128">
      <c r="A128" s="19">
        <f>IF(AND(Master_Data!A128&lt;&gt;"",Master_Data!A128=Master_Data!A129),Master_Data!A128,"")</f>
        <v/>
      </c>
      <c r="B128" s="19">
        <f>IF($A128="","",Master_Data!B128)</f>
        <v/>
      </c>
      <c r="C128" s="19">
        <f>IF($A128="","",Master_Data!B129)</f>
        <v/>
      </c>
      <c r="D128" s="19">
        <f>IF($A128="","",Master_Data!Q128)</f>
        <v/>
      </c>
      <c r="E128" s="19">
        <f>IF($A128="","",Master_Data!Q129)</f>
        <v/>
      </c>
      <c r="F128" s="19">
        <f>IF($A128="","",IF(AND(D128="GAS",E128="OIL"),"GOC",IF(AND(D128="OIL",E128="WATER"),"OWC",IF(AND(D128="GAS",E128="WATER"),"GWC",IF(AND(D128="OIL",E128="OIL_WATER"),"OWC_TRANSITION",IF(AND(D128="OIL_WATER",E128="WATER"),"OWC_TRANSITION",IF(AND(D128="GAS",E128="GAS_WATER"),"GOC_TRANSITION",IF(AND(D128="GAS_WATER",E128="OIL"),"GOC_TRANSITION",IF(OR(D128="OIL_WATER",D128="GAS_WATER"),"TRANSITION_INTERVAL","")))))))))</f>
        <v/>
      </c>
      <c r="G128" s="20">
        <f>IF(OR(F128="",Master_Data!R128="",Master_Data!S128=""),"",IF(RIGHT(F128,10)="TRANSITION",AVERAGE(Master_Data!R128:Master_Data!S128),AVERAGE(Master_Data!S128,Master_Data!R129)))</f>
        <v/>
      </c>
      <c r="H128" s="20">
        <f>IF(G128="","",MAX(Settings!$B$4,Settings!$B$5*AVERAGE(IF(Master_Data!O128&lt;&gt;"",Master_Data!O128,Master_Data!H128),IF(Master_Data!O129&lt;&gt;"",Master_Data!O129,Master_Data!H129))))</f>
        <v/>
      </c>
      <c r="I128" s="20">
        <f>IF(G128="","",G128-H128)</f>
        <v/>
      </c>
      <c r="J128" s="20">
        <f>IF(G128="","",G128+H128)</f>
        <v/>
      </c>
      <c r="K128" s="20">
        <f>IF($A128="","",Master_Data!G128)</f>
        <v/>
      </c>
      <c r="L128" s="20">
        <f>IF($A128="","",Master_Data!G129)</f>
        <v/>
      </c>
      <c r="M128" s="20">
        <f>IF(AND(ISNUMBER(K128),ISNUMBER(L128)),L128-K128,"")</f>
        <v/>
      </c>
      <c r="N128" s="19">
        <f>IF(G128="","",IF(AND(ISNUMBER(K128),ISNUMBER(L128)),IF(OR(F128="GOC",F128="OWC",F128="GWC",F128="OWC_TRANSITION",F128="GOC_TRANSITION"),IF(L128&gt;=K128,"Supports","Conflicts"),"N/A"),"No Sw"))</f>
        <v/>
      </c>
      <c r="O128" s="20">
        <f>IF(G128="","",Settings!$B$6*IF(OR(F128="GOC",F128="OWC",F128="GWC"),1,0.7)+Settings!$B$7*IF(N128="Supports",1,IF(N128="Conflicts",0,0.5))+Settings!$B$8*IF(AND(Master_Data!R128&lt;&gt;"",Master_Data!S128&lt;&gt;"",Master_Data!R129&lt;&gt;"",Master_Data!S129&lt;&gt;""),1,0.5))</f>
        <v/>
      </c>
      <c r="P128" s="19">
        <f>IF(G128="","",IF(N128="Conflicts","SW_CONFLICT",IF(OR(F128="GOC",F128="OWC",F128="GWC"),"DIRECT_FLUID_TRANSITION","TRANSITION_INTERVAL")))</f>
        <v/>
      </c>
      <c r="Q128" s="19">
        <f>IF(G128="","",IF(N128="Conflicts","Investigate contact interpretation / saturation behaviour",IF(OR(F128="OWC",F128="GOC",F128="GWC"),"Candidate contact — validate with logs, pressure and dynamic evidence","Transition zone — do not force to a sharp contact")))</f>
        <v/>
      </c>
    </row>
    <row r="129">
      <c r="A129" s="19">
        <f>IF(AND(Master_Data!A129&lt;&gt;"",Master_Data!A129=Master_Data!A130),Master_Data!A129,"")</f>
        <v/>
      </c>
      <c r="B129" s="19">
        <f>IF($A129="","",Master_Data!B129)</f>
        <v/>
      </c>
      <c r="C129" s="19">
        <f>IF($A129="","",Master_Data!B130)</f>
        <v/>
      </c>
      <c r="D129" s="19">
        <f>IF($A129="","",Master_Data!Q129)</f>
        <v/>
      </c>
      <c r="E129" s="19">
        <f>IF($A129="","",Master_Data!Q130)</f>
        <v/>
      </c>
      <c r="F129" s="19">
        <f>IF($A129="","",IF(AND(D129="GAS",E129="OIL"),"GOC",IF(AND(D129="OIL",E129="WATER"),"OWC",IF(AND(D129="GAS",E129="WATER"),"GWC",IF(AND(D129="OIL",E129="OIL_WATER"),"OWC_TRANSITION",IF(AND(D129="OIL_WATER",E129="WATER"),"OWC_TRANSITION",IF(AND(D129="GAS",E129="GAS_WATER"),"GOC_TRANSITION",IF(AND(D129="GAS_WATER",E129="OIL"),"GOC_TRANSITION",IF(OR(D129="OIL_WATER",D129="GAS_WATER"),"TRANSITION_INTERVAL","")))))))))</f>
        <v/>
      </c>
      <c r="G129" s="20">
        <f>IF(OR(F129="",Master_Data!R129="",Master_Data!S129=""),"",IF(RIGHT(F129,10)="TRANSITION",AVERAGE(Master_Data!R129:Master_Data!S129),AVERAGE(Master_Data!S129,Master_Data!R130)))</f>
        <v/>
      </c>
      <c r="H129" s="20">
        <f>IF(G129="","",MAX(Settings!$B$4,Settings!$B$5*AVERAGE(IF(Master_Data!O129&lt;&gt;"",Master_Data!O129,Master_Data!H129),IF(Master_Data!O130&lt;&gt;"",Master_Data!O130,Master_Data!H130))))</f>
        <v/>
      </c>
      <c r="I129" s="20">
        <f>IF(G129="","",G129-H129)</f>
        <v/>
      </c>
      <c r="J129" s="20">
        <f>IF(G129="","",G129+H129)</f>
        <v/>
      </c>
      <c r="K129" s="20">
        <f>IF($A129="","",Master_Data!G129)</f>
        <v/>
      </c>
      <c r="L129" s="20">
        <f>IF($A129="","",Master_Data!G130)</f>
        <v/>
      </c>
      <c r="M129" s="20">
        <f>IF(AND(ISNUMBER(K129),ISNUMBER(L129)),L129-K129,"")</f>
        <v/>
      </c>
      <c r="N129" s="19">
        <f>IF(G129="","",IF(AND(ISNUMBER(K129),ISNUMBER(L129)),IF(OR(F129="GOC",F129="OWC",F129="GWC",F129="OWC_TRANSITION",F129="GOC_TRANSITION"),IF(L129&gt;=K129,"Supports","Conflicts"),"N/A"),"No Sw"))</f>
        <v/>
      </c>
      <c r="O129" s="20">
        <f>IF(G129="","",Settings!$B$6*IF(OR(F129="GOC",F129="OWC",F129="GWC"),1,0.7)+Settings!$B$7*IF(N129="Supports",1,IF(N129="Conflicts",0,0.5))+Settings!$B$8*IF(AND(Master_Data!R129&lt;&gt;"",Master_Data!S129&lt;&gt;"",Master_Data!R130&lt;&gt;"",Master_Data!S130&lt;&gt;""),1,0.5))</f>
        <v/>
      </c>
      <c r="P129" s="19">
        <f>IF(G129="","",IF(N129="Conflicts","SW_CONFLICT",IF(OR(F129="GOC",F129="OWC",F129="GWC"),"DIRECT_FLUID_TRANSITION","TRANSITION_INTERVAL")))</f>
        <v/>
      </c>
      <c r="Q129" s="19">
        <f>IF(G129="","",IF(N129="Conflicts","Investigate contact interpretation / saturation behaviour",IF(OR(F129="OWC",F129="GOC",F129="GWC"),"Candidate contact — validate with logs, pressure and dynamic evidence","Transition zone — do not force to a sharp contact")))</f>
        <v/>
      </c>
    </row>
    <row r="130">
      <c r="A130" s="19">
        <f>IF(AND(Master_Data!A130&lt;&gt;"",Master_Data!A130=Master_Data!A131),Master_Data!A130,"")</f>
        <v/>
      </c>
      <c r="B130" s="19">
        <f>IF($A130="","",Master_Data!B130)</f>
        <v/>
      </c>
      <c r="C130" s="19">
        <f>IF($A130="","",Master_Data!B131)</f>
        <v/>
      </c>
      <c r="D130" s="19">
        <f>IF($A130="","",Master_Data!Q130)</f>
        <v/>
      </c>
      <c r="E130" s="19">
        <f>IF($A130="","",Master_Data!Q131)</f>
        <v/>
      </c>
      <c r="F130" s="19">
        <f>IF($A130="","",IF(AND(D130="GAS",E130="OIL"),"GOC",IF(AND(D130="OIL",E130="WATER"),"OWC",IF(AND(D130="GAS",E130="WATER"),"GWC",IF(AND(D130="OIL",E130="OIL_WATER"),"OWC_TRANSITION",IF(AND(D130="OIL_WATER",E130="WATER"),"OWC_TRANSITION",IF(AND(D130="GAS",E130="GAS_WATER"),"GOC_TRANSITION",IF(AND(D130="GAS_WATER",E130="OIL"),"GOC_TRANSITION",IF(OR(D130="OIL_WATER",D130="GAS_WATER"),"TRANSITION_INTERVAL","")))))))))</f>
        <v/>
      </c>
      <c r="G130" s="20">
        <f>IF(OR(F130="",Master_Data!R130="",Master_Data!S130=""),"",IF(RIGHT(F130,10)="TRANSITION",AVERAGE(Master_Data!R130:Master_Data!S130),AVERAGE(Master_Data!S130,Master_Data!R131)))</f>
        <v/>
      </c>
      <c r="H130" s="20">
        <f>IF(G130="","",MAX(Settings!$B$4,Settings!$B$5*AVERAGE(IF(Master_Data!O130&lt;&gt;"",Master_Data!O130,Master_Data!H130),IF(Master_Data!O131&lt;&gt;"",Master_Data!O131,Master_Data!H131))))</f>
        <v/>
      </c>
      <c r="I130" s="20">
        <f>IF(G130="","",G130-H130)</f>
        <v/>
      </c>
      <c r="J130" s="20">
        <f>IF(G130="","",G130+H130)</f>
        <v/>
      </c>
      <c r="K130" s="20">
        <f>IF($A130="","",Master_Data!G130)</f>
        <v/>
      </c>
      <c r="L130" s="20">
        <f>IF($A130="","",Master_Data!G131)</f>
        <v/>
      </c>
      <c r="M130" s="20">
        <f>IF(AND(ISNUMBER(K130),ISNUMBER(L130)),L130-K130,"")</f>
        <v/>
      </c>
      <c r="N130" s="19">
        <f>IF(G130="","",IF(AND(ISNUMBER(K130),ISNUMBER(L130)),IF(OR(F130="GOC",F130="OWC",F130="GWC",F130="OWC_TRANSITION",F130="GOC_TRANSITION"),IF(L130&gt;=K130,"Supports","Conflicts"),"N/A"),"No Sw"))</f>
        <v/>
      </c>
      <c r="O130" s="20">
        <f>IF(G130="","",Settings!$B$6*IF(OR(F130="GOC",F130="OWC",F130="GWC"),1,0.7)+Settings!$B$7*IF(N130="Supports",1,IF(N130="Conflicts",0,0.5))+Settings!$B$8*IF(AND(Master_Data!R130&lt;&gt;"",Master_Data!S130&lt;&gt;"",Master_Data!R131&lt;&gt;"",Master_Data!S131&lt;&gt;""),1,0.5))</f>
        <v/>
      </c>
      <c r="P130" s="19">
        <f>IF(G130="","",IF(N130="Conflicts","SW_CONFLICT",IF(OR(F130="GOC",F130="OWC",F130="GWC"),"DIRECT_FLUID_TRANSITION","TRANSITION_INTERVAL")))</f>
        <v/>
      </c>
      <c r="Q130" s="19">
        <f>IF(G130="","",IF(N130="Conflicts","Investigate contact interpretation / saturation behaviour",IF(OR(F130="OWC",F130="GOC",F130="GWC"),"Candidate contact — validate with logs, pressure and dynamic evidence","Transition zone — do not force to a sharp contact")))</f>
        <v/>
      </c>
    </row>
    <row r="131">
      <c r="A131" s="19">
        <f>IF(AND(Master_Data!A131&lt;&gt;"",Master_Data!A131=Master_Data!A132),Master_Data!A131,"")</f>
        <v/>
      </c>
      <c r="B131" s="19">
        <f>IF($A131="","",Master_Data!B131)</f>
        <v/>
      </c>
      <c r="C131" s="19">
        <f>IF($A131="","",Master_Data!B132)</f>
        <v/>
      </c>
      <c r="D131" s="19">
        <f>IF($A131="","",Master_Data!Q131)</f>
        <v/>
      </c>
      <c r="E131" s="19">
        <f>IF($A131="","",Master_Data!Q132)</f>
        <v/>
      </c>
      <c r="F131" s="19">
        <f>IF($A131="","",IF(AND(D131="GAS",E131="OIL"),"GOC",IF(AND(D131="OIL",E131="WATER"),"OWC",IF(AND(D131="GAS",E131="WATER"),"GWC",IF(AND(D131="OIL",E131="OIL_WATER"),"OWC_TRANSITION",IF(AND(D131="OIL_WATER",E131="WATER"),"OWC_TRANSITION",IF(AND(D131="GAS",E131="GAS_WATER"),"GOC_TRANSITION",IF(AND(D131="GAS_WATER",E131="OIL"),"GOC_TRANSITION",IF(OR(D131="OIL_WATER",D131="GAS_WATER"),"TRANSITION_INTERVAL","")))))))))</f>
        <v/>
      </c>
      <c r="G131" s="20">
        <f>IF(OR(F131="",Master_Data!R131="",Master_Data!S131=""),"",IF(RIGHT(F131,10)="TRANSITION",AVERAGE(Master_Data!R131:Master_Data!S131),AVERAGE(Master_Data!S131,Master_Data!R132)))</f>
        <v/>
      </c>
      <c r="H131" s="20">
        <f>IF(G131="","",MAX(Settings!$B$4,Settings!$B$5*AVERAGE(IF(Master_Data!O131&lt;&gt;"",Master_Data!O131,Master_Data!H131),IF(Master_Data!O132&lt;&gt;"",Master_Data!O132,Master_Data!H132))))</f>
        <v/>
      </c>
      <c r="I131" s="20">
        <f>IF(G131="","",G131-H131)</f>
        <v/>
      </c>
      <c r="J131" s="20">
        <f>IF(G131="","",G131+H131)</f>
        <v/>
      </c>
      <c r="K131" s="20">
        <f>IF($A131="","",Master_Data!G131)</f>
        <v/>
      </c>
      <c r="L131" s="20">
        <f>IF($A131="","",Master_Data!G132)</f>
        <v/>
      </c>
      <c r="M131" s="20">
        <f>IF(AND(ISNUMBER(K131),ISNUMBER(L131)),L131-K131,"")</f>
        <v/>
      </c>
      <c r="N131" s="19">
        <f>IF(G131="","",IF(AND(ISNUMBER(K131),ISNUMBER(L131)),IF(OR(F131="GOC",F131="OWC",F131="GWC",F131="OWC_TRANSITION",F131="GOC_TRANSITION"),IF(L131&gt;=K131,"Supports","Conflicts"),"N/A"),"No Sw"))</f>
        <v/>
      </c>
      <c r="O131" s="20">
        <f>IF(G131="","",Settings!$B$6*IF(OR(F131="GOC",F131="OWC",F131="GWC"),1,0.7)+Settings!$B$7*IF(N131="Supports",1,IF(N131="Conflicts",0,0.5))+Settings!$B$8*IF(AND(Master_Data!R131&lt;&gt;"",Master_Data!S131&lt;&gt;"",Master_Data!R132&lt;&gt;"",Master_Data!S132&lt;&gt;""),1,0.5))</f>
        <v/>
      </c>
      <c r="P131" s="19">
        <f>IF(G131="","",IF(N131="Conflicts","SW_CONFLICT",IF(OR(F131="GOC",F131="OWC",F131="GWC"),"DIRECT_FLUID_TRANSITION","TRANSITION_INTERVAL")))</f>
        <v/>
      </c>
      <c r="Q131" s="19">
        <f>IF(G131="","",IF(N131="Conflicts","Investigate contact interpretation / saturation behaviour",IF(OR(F131="OWC",F131="GOC",F131="GWC"),"Candidate contact — validate with logs, pressure and dynamic evidence","Transition zone — do not force to a sharp contact")))</f>
        <v/>
      </c>
    </row>
    <row r="132">
      <c r="A132" s="19">
        <f>IF(AND(Master_Data!A132&lt;&gt;"",Master_Data!A132=Master_Data!A133),Master_Data!A132,"")</f>
        <v/>
      </c>
      <c r="B132" s="19">
        <f>IF($A132="","",Master_Data!B132)</f>
        <v/>
      </c>
      <c r="C132" s="19">
        <f>IF($A132="","",Master_Data!B133)</f>
        <v/>
      </c>
      <c r="D132" s="19">
        <f>IF($A132="","",Master_Data!Q132)</f>
        <v/>
      </c>
      <c r="E132" s="19">
        <f>IF($A132="","",Master_Data!Q133)</f>
        <v/>
      </c>
      <c r="F132" s="19">
        <f>IF($A132="","",IF(AND(D132="GAS",E132="OIL"),"GOC",IF(AND(D132="OIL",E132="WATER"),"OWC",IF(AND(D132="GAS",E132="WATER"),"GWC",IF(AND(D132="OIL",E132="OIL_WATER"),"OWC_TRANSITION",IF(AND(D132="OIL_WATER",E132="WATER"),"OWC_TRANSITION",IF(AND(D132="GAS",E132="GAS_WATER"),"GOC_TRANSITION",IF(AND(D132="GAS_WATER",E132="OIL"),"GOC_TRANSITION",IF(OR(D132="OIL_WATER",D132="GAS_WATER"),"TRANSITION_INTERVAL","")))))))))</f>
        <v/>
      </c>
      <c r="G132" s="20">
        <f>IF(OR(F132="",Master_Data!R132="",Master_Data!S132=""),"",IF(RIGHT(F132,10)="TRANSITION",AVERAGE(Master_Data!R132:Master_Data!S132),AVERAGE(Master_Data!S132,Master_Data!R133)))</f>
        <v/>
      </c>
      <c r="H132" s="20">
        <f>IF(G132="","",MAX(Settings!$B$4,Settings!$B$5*AVERAGE(IF(Master_Data!O132&lt;&gt;"",Master_Data!O132,Master_Data!H132),IF(Master_Data!O133&lt;&gt;"",Master_Data!O133,Master_Data!H133))))</f>
        <v/>
      </c>
      <c r="I132" s="20">
        <f>IF(G132="","",G132-H132)</f>
        <v/>
      </c>
      <c r="J132" s="20">
        <f>IF(G132="","",G132+H132)</f>
        <v/>
      </c>
      <c r="K132" s="20">
        <f>IF($A132="","",Master_Data!G132)</f>
        <v/>
      </c>
      <c r="L132" s="20">
        <f>IF($A132="","",Master_Data!G133)</f>
        <v/>
      </c>
      <c r="M132" s="20">
        <f>IF(AND(ISNUMBER(K132),ISNUMBER(L132)),L132-K132,"")</f>
        <v/>
      </c>
      <c r="N132" s="19">
        <f>IF(G132="","",IF(AND(ISNUMBER(K132),ISNUMBER(L132)),IF(OR(F132="GOC",F132="OWC",F132="GWC",F132="OWC_TRANSITION",F132="GOC_TRANSITION"),IF(L132&gt;=K132,"Supports","Conflicts"),"N/A"),"No Sw"))</f>
        <v/>
      </c>
      <c r="O132" s="20">
        <f>IF(G132="","",Settings!$B$6*IF(OR(F132="GOC",F132="OWC",F132="GWC"),1,0.7)+Settings!$B$7*IF(N132="Supports",1,IF(N132="Conflicts",0,0.5))+Settings!$B$8*IF(AND(Master_Data!R132&lt;&gt;"",Master_Data!S132&lt;&gt;"",Master_Data!R133&lt;&gt;"",Master_Data!S133&lt;&gt;""),1,0.5))</f>
        <v/>
      </c>
      <c r="P132" s="19">
        <f>IF(G132="","",IF(N132="Conflicts","SW_CONFLICT",IF(OR(F132="GOC",F132="OWC",F132="GWC"),"DIRECT_FLUID_TRANSITION","TRANSITION_INTERVAL")))</f>
        <v/>
      </c>
      <c r="Q132" s="19">
        <f>IF(G132="","",IF(N132="Conflicts","Investigate contact interpretation / saturation behaviour",IF(OR(F132="OWC",F132="GOC",F132="GWC"),"Candidate contact — validate with logs, pressure and dynamic evidence","Transition zone — do not force to a sharp contact")))</f>
        <v/>
      </c>
    </row>
    <row r="133">
      <c r="A133" s="19">
        <f>IF(AND(Master_Data!A133&lt;&gt;"",Master_Data!A133=Master_Data!A134),Master_Data!A133,"")</f>
        <v/>
      </c>
      <c r="B133" s="19">
        <f>IF($A133="","",Master_Data!B133)</f>
        <v/>
      </c>
      <c r="C133" s="19">
        <f>IF($A133="","",Master_Data!B134)</f>
        <v/>
      </c>
      <c r="D133" s="19">
        <f>IF($A133="","",Master_Data!Q133)</f>
        <v/>
      </c>
      <c r="E133" s="19">
        <f>IF($A133="","",Master_Data!Q134)</f>
        <v/>
      </c>
      <c r="F133" s="19">
        <f>IF($A133="","",IF(AND(D133="GAS",E133="OIL"),"GOC",IF(AND(D133="OIL",E133="WATER"),"OWC",IF(AND(D133="GAS",E133="WATER"),"GWC",IF(AND(D133="OIL",E133="OIL_WATER"),"OWC_TRANSITION",IF(AND(D133="OIL_WATER",E133="WATER"),"OWC_TRANSITION",IF(AND(D133="GAS",E133="GAS_WATER"),"GOC_TRANSITION",IF(AND(D133="GAS_WATER",E133="OIL"),"GOC_TRANSITION",IF(OR(D133="OIL_WATER",D133="GAS_WATER"),"TRANSITION_INTERVAL","")))))))))</f>
        <v/>
      </c>
      <c r="G133" s="20">
        <f>IF(OR(F133="",Master_Data!R133="",Master_Data!S133=""),"",IF(RIGHT(F133,10)="TRANSITION",AVERAGE(Master_Data!R133:Master_Data!S133),AVERAGE(Master_Data!S133,Master_Data!R134)))</f>
        <v/>
      </c>
      <c r="H133" s="20">
        <f>IF(G133="","",MAX(Settings!$B$4,Settings!$B$5*AVERAGE(IF(Master_Data!O133&lt;&gt;"",Master_Data!O133,Master_Data!H133),IF(Master_Data!O134&lt;&gt;"",Master_Data!O134,Master_Data!H134))))</f>
        <v/>
      </c>
      <c r="I133" s="20">
        <f>IF(G133="","",G133-H133)</f>
        <v/>
      </c>
      <c r="J133" s="20">
        <f>IF(G133="","",G133+H133)</f>
        <v/>
      </c>
      <c r="K133" s="20">
        <f>IF($A133="","",Master_Data!G133)</f>
        <v/>
      </c>
      <c r="L133" s="20">
        <f>IF($A133="","",Master_Data!G134)</f>
        <v/>
      </c>
      <c r="M133" s="20">
        <f>IF(AND(ISNUMBER(K133),ISNUMBER(L133)),L133-K133,"")</f>
        <v/>
      </c>
      <c r="N133" s="19">
        <f>IF(G133="","",IF(AND(ISNUMBER(K133),ISNUMBER(L133)),IF(OR(F133="GOC",F133="OWC",F133="GWC",F133="OWC_TRANSITION",F133="GOC_TRANSITION"),IF(L133&gt;=K133,"Supports","Conflicts"),"N/A"),"No Sw"))</f>
        <v/>
      </c>
      <c r="O133" s="20">
        <f>IF(G133="","",Settings!$B$6*IF(OR(F133="GOC",F133="OWC",F133="GWC"),1,0.7)+Settings!$B$7*IF(N133="Supports",1,IF(N133="Conflicts",0,0.5))+Settings!$B$8*IF(AND(Master_Data!R133&lt;&gt;"",Master_Data!S133&lt;&gt;"",Master_Data!R134&lt;&gt;"",Master_Data!S134&lt;&gt;""),1,0.5))</f>
        <v/>
      </c>
      <c r="P133" s="19">
        <f>IF(G133="","",IF(N133="Conflicts","SW_CONFLICT",IF(OR(F133="GOC",F133="OWC",F133="GWC"),"DIRECT_FLUID_TRANSITION","TRANSITION_INTERVAL")))</f>
        <v/>
      </c>
      <c r="Q133" s="19">
        <f>IF(G133="","",IF(N133="Conflicts","Investigate contact interpretation / saturation behaviour",IF(OR(F133="OWC",F133="GOC",F133="GWC"),"Candidate contact — validate with logs, pressure and dynamic evidence","Transition zone — do not force to a sharp contact")))</f>
        <v/>
      </c>
    </row>
    <row r="134">
      <c r="A134" s="19">
        <f>IF(AND(Master_Data!A134&lt;&gt;"",Master_Data!A134=Master_Data!A135),Master_Data!A134,"")</f>
        <v/>
      </c>
      <c r="B134" s="19">
        <f>IF($A134="","",Master_Data!B134)</f>
        <v/>
      </c>
      <c r="C134" s="19">
        <f>IF($A134="","",Master_Data!B135)</f>
        <v/>
      </c>
      <c r="D134" s="19">
        <f>IF($A134="","",Master_Data!Q134)</f>
        <v/>
      </c>
      <c r="E134" s="19">
        <f>IF($A134="","",Master_Data!Q135)</f>
        <v/>
      </c>
      <c r="F134" s="19">
        <f>IF($A134="","",IF(AND(D134="GAS",E134="OIL"),"GOC",IF(AND(D134="OIL",E134="WATER"),"OWC",IF(AND(D134="GAS",E134="WATER"),"GWC",IF(AND(D134="OIL",E134="OIL_WATER"),"OWC_TRANSITION",IF(AND(D134="OIL_WATER",E134="WATER"),"OWC_TRANSITION",IF(AND(D134="GAS",E134="GAS_WATER"),"GOC_TRANSITION",IF(AND(D134="GAS_WATER",E134="OIL"),"GOC_TRANSITION",IF(OR(D134="OIL_WATER",D134="GAS_WATER"),"TRANSITION_INTERVAL","")))))))))</f>
        <v/>
      </c>
      <c r="G134" s="20">
        <f>IF(OR(F134="",Master_Data!R134="",Master_Data!S134=""),"",IF(RIGHT(F134,10)="TRANSITION",AVERAGE(Master_Data!R134:Master_Data!S134),AVERAGE(Master_Data!S134,Master_Data!R135)))</f>
        <v/>
      </c>
      <c r="H134" s="20">
        <f>IF(G134="","",MAX(Settings!$B$4,Settings!$B$5*AVERAGE(IF(Master_Data!O134&lt;&gt;"",Master_Data!O134,Master_Data!H134),IF(Master_Data!O135&lt;&gt;"",Master_Data!O135,Master_Data!H135))))</f>
        <v/>
      </c>
      <c r="I134" s="20">
        <f>IF(G134="","",G134-H134)</f>
        <v/>
      </c>
      <c r="J134" s="20">
        <f>IF(G134="","",G134+H134)</f>
        <v/>
      </c>
      <c r="K134" s="20">
        <f>IF($A134="","",Master_Data!G134)</f>
        <v/>
      </c>
      <c r="L134" s="20">
        <f>IF($A134="","",Master_Data!G135)</f>
        <v/>
      </c>
      <c r="M134" s="20">
        <f>IF(AND(ISNUMBER(K134),ISNUMBER(L134)),L134-K134,"")</f>
        <v/>
      </c>
      <c r="N134" s="19">
        <f>IF(G134="","",IF(AND(ISNUMBER(K134),ISNUMBER(L134)),IF(OR(F134="GOC",F134="OWC",F134="GWC",F134="OWC_TRANSITION",F134="GOC_TRANSITION"),IF(L134&gt;=K134,"Supports","Conflicts"),"N/A"),"No Sw"))</f>
        <v/>
      </c>
      <c r="O134" s="20">
        <f>IF(G134="","",Settings!$B$6*IF(OR(F134="GOC",F134="OWC",F134="GWC"),1,0.7)+Settings!$B$7*IF(N134="Supports",1,IF(N134="Conflicts",0,0.5))+Settings!$B$8*IF(AND(Master_Data!R134&lt;&gt;"",Master_Data!S134&lt;&gt;"",Master_Data!R135&lt;&gt;"",Master_Data!S135&lt;&gt;""),1,0.5))</f>
        <v/>
      </c>
      <c r="P134" s="19">
        <f>IF(G134="","",IF(N134="Conflicts","SW_CONFLICT",IF(OR(F134="GOC",F134="OWC",F134="GWC"),"DIRECT_FLUID_TRANSITION","TRANSITION_INTERVAL")))</f>
        <v/>
      </c>
      <c r="Q134" s="19">
        <f>IF(G134="","",IF(N134="Conflicts","Investigate contact interpretation / saturation behaviour",IF(OR(F134="OWC",F134="GOC",F134="GWC"),"Candidate contact — validate with logs, pressure and dynamic evidence","Transition zone — do not force to a sharp contact")))</f>
        <v/>
      </c>
    </row>
    <row r="135">
      <c r="A135" s="19">
        <f>IF(AND(Master_Data!A135&lt;&gt;"",Master_Data!A135=Master_Data!A136),Master_Data!A135,"")</f>
        <v/>
      </c>
      <c r="B135" s="19">
        <f>IF($A135="","",Master_Data!B135)</f>
        <v/>
      </c>
      <c r="C135" s="19">
        <f>IF($A135="","",Master_Data!B136)</f>
        <v/>
      </c>
      <c r="D135" s="19">
        <f>IF($A135="","",Master_Data!Q135)</f>
        <v/>
      </c>
      <c r="E135" s="19">
        <f>IF($A135="","",Master_Data!Q136)</f>
        <v/>
      </c>
      <c r="F135" s="19">
        <f>IF($A135="","",IF(AND(D135="GAS",E135="OIL"),"GOC",IF(AND(D135="OIL",E135="WATER"),"OWC",IF(AND(D135="GAS",E135="WATER"),"GWC",IF(AND(D135="OIL",E135="OIL_WATER"),"OWC_TRANSITION",IF(AND(D135="OIL_WATER",E135="WATER"),"OWC_TRANSITION",IF(AND(D135="GAS",E135="GAS_WATER"),"GOC_TRANSITION",IF(AND(D135="GAS_WATER",E135="OIL"),"GOC_TRANSITION",IF(OR(D135="OIL_WATER",D135="GAS_WATER"),"TRANSITION_INTERVAL","")))))))))</f>
        <v/>
      </c>
      <c r="G135" s="20">
        <f>IF(OR(F135="",Master_Data!R135="",Master_Data!S135=""),"",IF(RIGHT(F135,10)="TRANSITION",AVERAGE(Master_Data!R135:Master_Data!S135),AVERAGE(Master_Data!S135,Master_Data!R136)))</f>
        <v/>
      </c>
      <c r="H135" s="20">
        <f>IF(G135="","",MAX(Settings!$B$4,Settings!$B$5*AVERAGE(IF(Master_Data!O135&lt;&gt;"",Master_Data!O135,Master_Data!H135),IF(Master_Data!O136&lt;&gt;"",Master_Data!O136,Master_Data!H136))))</f>
        <v/>
      </c>
      <c r="I135" s="20">
        <f>IF(G135="","",G135-H135)</f>
        <v/>
      </c>
      <c r="J135" s="20">
        <f>IF(G135="","",G135+H135)</f>
        <v/>
      </c>
      <c r="K135" s="20">
        <f>IF($A135="","",Master_Data!G135)</f>
        <v/>
      </c>
      <c r="L135" s="20">
        <f>IF($A135="","",Master_Data!G136)</f>
        <v/>
      </c>
      <c r="M135" s="20">
        <f>IF(AND(ISNUMBER(K135),ISNUMBER(L135)),L135-K135,"")</f>
        <v/>
      </c>
      <c r="N135" s="19">
        <f>IF(G135="","",IF(AND(ISNUMBER(K135),ISNUMBER(L135)),IF(OR(F135="GOC",F135="OWC",F135="GWC",F135="OWC_TRANSITION",F135="GOC_TRANSITION"),IF(L135&gt;=K135,"Supports","Conflicts"),"N/A"),"No Sw"))</f>
        <v/>
      </c>
      <c r="O135" s="20">
        <f>IF(G135="","",Settings!$B$6*IF(OR(F135="GOC",F135="OWC",F135="GWC"),1,0.7)+Settings!$B$7*IF(N135="Supports",1,IF(N135="Conflicts",0,0.5))+Settings!$B$8*IF(AND(Master_Data!R135&lt;&gt;"",Master_Data!S135&lt;&gt;"",Master_Data!R136&lt;&gt;"",Master_Data!S136&lt;&gt;""),1,0.5))</f>
        <v/>
      </c>
      <c r="P135" s="19">
        <f>IF(G135="","",IF(N135="Conflicts","SW_CONFLICT",IF(OR(F135="GOC",F135="OWC",F135="GWC"),"DIRECT_FLUID_TRANSITION","TRANSITION_INTERVAL")))</f>
        <v/>
      </c>
      <c r="Q135" s="19">
        <f>IF(G135="","",IF(N135="Conflicts","Investigate contact interpretation / saturation behaviour",IF(OR(F135="OWC",F135="GOC",F135="GWC"),"Candidate contact — validate with logs, pressure and dynamic evidence","Transition zone — do not force to a sharp contact")))</f>
        <v/>
      </c>
    </row>
    <row r="136">
      <c r="A136" s="19">
        <f>IF(AND(Master_Data!A136&lt;&gt;"",Master_Data!A136=Master_Data!A137),Master_Data!A136,"")</f>
        <v/>
      </c>
      <c r="B136" s="19">
        <f>IF($A136="","",Master_Data!B136)</f>
        <v/>
      </c>
      <c r="C136" s="19">
        <f>IF($A136="","",Master_Data!B137)</f>
        <v/>
      </c>
      <c r="D136" s="19">
        <f>IF($A136="","",Master_Data!Q136)</f>
        <v/>
      </c>
      <c r="E136" s="19">
        <f>IF($A136="","",Master_Data!Q137)</f>
        <v/>
      </c>
      <c r="F136" s="19">
        <f>IF($A136="","",IF(AND(D136="GAS",E136="OIL"),"GOC",IF(AND(D136="OIL",E136="WATER"),"OWC",IF(AND(D136="GAS",E136="WATER"),"GWC",IF(AND(D136="OIL",E136="OIL_WATER"),"OWC_TRANSITION",IF(AND(D136="OIL_WATER",E136="WATER"),"OWC_TRANSITION",IF(AND(D136="GAS",E136="GAS_WATER"),"GOC_TRANSITION",IF(AND(D136="GAS_WATER",E136="OIL"),"GOC_TRANSITION",IF(OR(D136="OIL_WATER",D136="GAS_WATER"),"TRANSITION_INTERVAL","")))))))))</f>
        <v/>
      </c>
      <c r="G136" s="20">
        <f>IF(OR(F136="",Master_Data!R136="",Master_Data!S136=""),"",IF(RIGHT(F136,10)="TRANSITION",AVERAGE(Master_Data!R136:Master_Data!S136),AVERAGE(Master_Data!S136,Master_Data!R137)))</f>
        <v/>
      </c>
      <c r="H136" s="20">
        <f>IF(G136="","",MAX(Settings!$B$4,Settings!$B$5*AVERAGE(IF(Master_Data!O136&lt;&gt;"",Master_Data!O136,Master_Data!H136),IF(Master_Data!O137&lt;&gt;"",Master_Data!O137,Master_Data!H137))))</f>
        <v/>
      </c>
      <c r="I136" s="20">
        <f>IF(G136="","",G136-H136)</f>
        <v/>
      </c>
      <c r="J136" s="20">
        <f>IF(G136="","",G136+H136)</f>
        <v/>
      </c>
      <c r="K136" s="20">
        <f>IF($A136="","",Master_Data!G136)</f>
        <v/>
      </c>
      <c r="L136" s="20">
        <f>IF($A136="","",Master_Data!G137)</f>
        <v/>
      </c>
      <c r="M136" s="20">
        <f>IF(AND(ISNUMBER(K136),ISNUMBER(L136)),L136-K136,"")</f>
        <v/>
      </c>
      <c r="N136" s="19">
        <f>IF(G136="","",IF(AND(ISNUMBER(K136),ISNUMBER(L136)),IF(OR(F136="GOC",F136="OWC",F136="GWC",F136="OWC_TRANSITION",F136="GOC_TRANSITION"),IF(L136&gt;=K136,"Supports","Conflicts"),"N/A"),"No Sw"))</f>
        <v/>
      </c>
      <c r="O136" s="20">
        <f>IF(G136="","",Settings!$B$6*IF(OR(F136="GOC",F136="OWC",F136="GWC"),1,0.7)+Settings!$B$7*IF(N136="Supports",1,IF(N136="Conflicts",0,0.5))+Settings!$B$8*IF(AND(Master_Data!R136&lt;&gt;"",Master_Data!S136&lt;&gt;"",Master_Data!R137&lt;&gt;"",Master_Data!S137&lt;&gt;""),1,0.5))</f>
        <v/>
      </c>
      <c r="P136" s="19">
        <f>IF(G136="","",IF(N136="Conflicts","SW_CONFLICT",IF(OR(F136="GOC",F136="OWC",F136="GWC"),"DIRECT_FLUID_TRANSITION","TRANSITION_INTERVAL")))</f>
        <v/>
      </c>
      <c r="Q136" s="19">
        <f>IF(G136="","",IF(N136="Conflicts","Investigate contact interpretation / saturation behaviour",IF(OR(F136="OWC",F136="GOC",F136="GWC"),"Candidate contact — validate with logs, pressure and dynamic evidence","Transition zone — do not force to a sharp contact")))</f>
        <v/>
      </c>
    </row>
    <row r="137">
      <c r="A137" s="19">
        <f>IF(AND(Master_Data!A137&lt;&gt;"",Master_Data!A137=Master_Data!A138),Master_Data!A137,"")</f>
        <v/>
      </c>
      <c r="B137" s="19">
        <f>IF($A137="","",Master_Data!B137)</f>
        <v/>
      </c>
      <c r="C137" s="19">
        <f>IF($A137="","",Master_Data!B138)</f>
        <v/>
      </c>
      <c r="D137" s="19">
        <f>IF($A137="","",Master_Data!Q137)</f>
        <v/>
      </c>
      <c r="E137" s="19">
        <f>IF($A137="","",Master_Data!Q138)</f>
        <v/>
      </c>
      <c r="F137" s="19">
        <f>IF($A137="","",IF(AND(D137="GAS",E137="OIL"),"GOC",IF(AND(D137="OIL",E137="WATER"),"OWC",IF(AND(D137="GAS",E137="WATER"),"GWC",IF(AND(D137="OIL",E137="OIL_WATER"),"OWC_TRANSITION",IF(AND(D137="OIL_WATER",E137="WATER"),"OWC_TRANSITION",IF(AND(D137="GAS",E137="GAS_WATER"),"GOC_TRANSITION",IF(AND(D137="GAS_WATER",E137="OIL"),"GOC_TRANSITION",IF(OR(D137="OIL_WATER",D137="GAS_WATER"),"TRANSITION_INTERVAL","")))))))))</f>
        <v/>
      </c>
      <c r="G137" s="20">
        <f>IF(OR(F137="",Master_Data!R137="",Master_Data!S137=""),"",IF(RIGHT(F137,10)="TRANSITION",AVERAGE(Master_Data!R137:Master_Data!S137),AVERAGE(Master_Data!S137,Master_Data!R138)))</f>
        <v/>
      </c>
      <c r="H137" s="20">
        <f>IF(G137="","",MAX(Settings!$B$4,Settings!$B$5*AVERAGE(IF(Master_Data!O137&lt;&gt;"",Master_Data!O137,Master_Data!H137),IF(Master_Data!O138&lt;&gt;"",Master_Data!O138,Master_Data!H138))))</f>
        <v/>
      </c>
      <c r="I137" s="20">
        <f>IF(G137="","",G137-H137)</f>
        <v/>
      </c>
      <c r="J137" s="20">
        <f>IF(G137="","",G137+H137)</f>
        <v/>
      </c>
      <c r="K137" s="20">
        <f>IF($A137="","",Master_Data!G137)</f>
        <v/>
      </c>
      <c r="L137" s="20">
        <f>IF($A137="","",Master_Data!G138)</f>
        <v/>
      </c>
      <c r="M137" s="20">
        <f>IF(AND(ISNUMBER(K137),ISNUMBER(L137)),L137-K137,"")</f>
        <v/>
      </c>
      <c r="N137" s="19">
        <f>IF(G137="","",IF(AND(ISNUMBER(K137),ISNUMBER(L137)),IF(OR(F137="GOC",F137="OWC",F137="GWC",F137="OWC_TRANSITION",F137="GOC_TRANSITION"),IF(L137&gt;=K137,"Supports","Conflicts"),"N/A"),"No Sw"))</f>
        <v/>
      </c>
      <c r="O137" s="20">
        <f>IF(G137="","",Settings!$B$6*IF(OR(F137="GOC",F137="OWC",F137="GWC"),1,0.7)+Settings!$B$7*IF(N137="Supports",1,IF(N137="Conflicts",0,0.5))+Settings!$B$8*IF(AND(Master_Data!R137&lt;&gt;"",Master_Data!S137&lt;&gt;"",Master_Data!R138&lt;&gt;"",Master_Data!S138&lt;&gt;""),1,0.5))</f>
        <v/>
      </c>
      <c r="P137" s="19">
        <f>IF(G137="","",IF(N137="Conflicts","SW_CONFLICT",IF(OR(F137="GOC",F137="OWC",F137="GWC"),"DIRECT_FLUID_TRANSITION","TRANSITION_INTERVAL")))</f>
        <v/>
      </c>
      <c r="Q137" s="19">
        <f>IF(G137="","",IF(N137="Conflicts","Investigate contact interpretation / saturation behaviour",IF(OR(F137="OWC",F137="GOC",F137="GWC"),"Candidate contact — validate with logs, pressure and dynamic evidence","Transition zone — do not force to a sharp contact")))</f>
        <v/>
      </c>
    </row>
    <row r="138">
      <c r="A138" s="19">
        <f>IF(AND(Master_Data!A138&lt;&gt;"",Master_Data!A138=Master_Data!A139),Master_Data!A138,"")</f>
        <v/>
      </c>
      <c r="B138" s="19">
        <f>IF($A138="","",Master_Data!B138)</f>
        <v/>
      </c>
      <c r="C138" s="19">
        <f>IF($A138="","",Master_Data!B139)</f>
        <v/>
      </c>
      <c r="D138" s="19">
        <f>IF($A138="","",Master_Data!Q138)</f>
        <v/>
      </c>
      <c r="E138" s="19">
        <f>IF($A138="","",Master_Data!Q139)</f>
        <v/>
      </c>
      <c r="F138" s="19">
        <f>IF($A138="","",IF(AND(D138="GAS",E138="OIL"),"GOC",IF(AND(D138="OIL",E138="WATER"),"OWC",IF(AND(D138="GAS",E138="WATER"),"GWC",IF(AND(D138="OIL",E138="OIL_WATER"),"OWC_TRANSITION",IF(AND(D138="OIL_WATER",E138="WATER"),"OWC_TRANSITION",IF(AND(D138="GAS",E138="GAS_WATER"),"GOC_TRANSITION",IF(AND(D138="GAS_WATER",E138="OIL"),"GOC_TRANSITION",IF(OR(D138="OIL_WATER",D138="GAS_WATER"),"TRANSITION_INTERVAL","")))))))))</f>
        <v/>
      </c>
      <c r="G138" s="20">
        <f>IF(OR(F138="",Master_Data!R138="",Master_Data!S138=""),"",IF(RIGHT(F138,10)="TRANSITION",AVERAGE(Master_Data!R138:Master_Data!S138),AVERAGE(Master_Data!S138,Master_Data!R139)))</f>
        <v/>
      </c>
      <c r="H138" s="20">
        <f>IF(G138="","",MAX(Settings!$B$4,Settings!$B$5*AVERAGE(IF(Master_Data!O138&lt;&gt;"",Master_Data!O138,Master_Data!H138),IF(Master_Data!O139&lt;&gt;"",Master_Data!O139,Master_Data!H139))))</f>
        <v/>
      </c>
      <c r="I138" s="20">
        <f>IF(G138="","",G138-H138)</f>
        <v/>
      </c>
      <c r="J138" s="20">
        <f>IF(G138="","",G138+H138)</f>
        <v/>
      </c>
      <c r="K138" s="20">
        <f>IF($A138="","",Master_Data!G138)</f>
        <v/>
      </c>
      <c r="L138" s="20">
        <f>IF($A138="","",Master_Data!G139)</f>
        <v/>
      </c>
      <c r="M138" s="20">
        <f>IF(AND(ISNUMBER(K138),ISNUMBER(L138)),L138-K138,"")</f>
        <v/>
      </c>
      <c r="N138" s="19">
        <f>IF(G138="","",IF(AND(ISNUMBER(K138),ISNUMBER(L138)),IF(OR(F138="GOC",F138="OWC",F138="GWC",F138="OWC_TRANSITION",F138="GOC_TRANSITION"),IF(L138&gt;=K138,"Supports","Conflicts"),"N/A"),"No Sw"))</f>
        <v/>
      </c>
      <c r="O138" s="20">
        <f>IF(G138="","",Settings!$B$6*IF(OR(F138="GOC",F138="OWC",F138="GWC"),1,0.7)+Settings!$B$7*IF(N138="Supports",1,IF(N138="Conflicts",0,0.5))+Settings!$B$8*IF(AND(Master_Data!R138&lt;&gt;"",Master_Data!S138&lt;&gt;"",Master_Data!R139&lt;&gt;"",Master_Data!S139&lt;&gt;""),1,0.5))</f>
        <v/>
      </c>
      <c r="P138" s="19">
        <f>IF(G138="","",IF(N138="Conflicts","SW_CONFLICT",IF(OR(F138="GOC",F138="OWC",F138="GWC"),"DIRECT_FLUID_TRANSITION","TRANSITION_INTERVAL")))</f>
        <v/>
      </c>
      <c r="Q138" s="19">
        <f>IF(G138="","",IF(N138="Conflicts","Investigate contact interpretation / saturation behaviour",IF(OR(F138="OWC",F138="GOC",F138="GWC"),"Candidate contact — validate with logs, pressure and dynamic evidence","Transition zone — do not force to a sharp contact")))</f>
        <v/>
      </c>
    </row>
    <row r="139">
      <c r="A139" s="19">
        <f>IF(AND(Master_Data!A139&lt;&gt;"",Master_Data!A139=Master_Data!A140),Master_Data!A139,"")</f>
        <v/>
      </c>
      <c r="B139" s="19">
        <f>IF($A139="","",Master_Data!B139)</f>
        <v/>
      </c>
      <c r="C139" s="19">
        <f>IF($A139="","",Master_Data!B140)</f>
        <v/>
      </c>
      <c r="D139" s="19">
        <f>IF($A139="","",Master_Data!Q139)</f>
        <v/>
      </c>
      <c r="E139" s="19">
        <f>IF($A139="","",Master_Data!Q140)</f>
        <v/>
      </c>
      <c r="F139" s="19">
        <f>IF($A139="","",IF(AND(D139="GAS",E139="OIL"),"GOC",IF(AND(D139="OIL",E139="WATER"),"OWC",IF(AND(D139="GAS",E139="WATER"),"GWC",IF(AND(D139="OIL",E139="OIL_WATER"),"OWC_TRANSITION",IF(AND(D139="OIL_WATER",E139="WATER"),"OWC_TRANSITION",IF(AND(D139="GAS",E139="GAS_WATER"),"GOC_TRANSITION",IF(AND(D139="GAS_WATER",E139="OIL"),"GOC_TRANSITION",IF(OR(D139="OIL_WATER",D139="GAS_WATER"),"TRANSITION_INTERVAL","")))))))))</f>
        <v/>
      </c>
      <c r="G139" s="20">
        <f>IF(OR(F139="",Master_Data!R139="",Master_Data!S139=""),"",IF(RIGHT(F139,10)="TRANSITION",AVERAGE(Master_Data!R139:Master_Data!S139),AVERAGE(Master_Data!S139,Master_Data!R140)))</f>
        <v/>
      </c>
      <c r="H139" s="20">
        <f>IF(G139="","",MAX(Settings!$B$4,Settings!$B$5*AVERAGE(IF(Master_Data!O139&lt;&gt;"",Master_Data!O139,Master_Data!H139),IF(Master_Data!O140&lt;&gt;"",Master_Data!O140,Master_Data!H140))))</f>
        <v/>
      </c>
      <c r="I139" s="20">
        <f>IF(G139="","",G139-H139)</f>
        <v/>
      </c>
      <c r="J139" s="20">
        <f>IF(G139="","",G139+H139)</f>
        <v/>
      </c>
      <c r="K139" s="20">
        <f>IF($A139="","",Master_Data!G139)</f>
        <v/>
      </c>
      <c r="L139" s="20">
        <f>IF($A139="","",Master_Data!G140)</f>
        <v/>
      </c>
      <c r="M139" s="20">
        <f>IF(AND(ISNUMBER(K139),ISNUMBER(L139)),L139-K139,"")</f>
        <v/>
      </c>
      <c r="N139" s="19">
        <f>IF(G139="","",IF(AND(ISNUMBER(K139),ISNUMBER(L139)),IF(OR(F139="GOC",F139="OWC",F139="GWC",F139="OWC_TRANSITION",F139="GOC_TRANSITION"),IF(L139&gt;=K139,"Supports","Conflicts"),"N/A"),"No Sw"))</f>
        <v/>
      </c>
      <c r="O139" s="20">
        <f>IF(G139="","",Settings!$B$6*IF(OR(F139="GOC",F139="OWC",F139="GWC"),1,0.7)+Settings!$B$7*IF(N139="Supports",1,IF(N139="Conflicts",0,0.5))+Settings!$B$8*IF(AND(Master_Data!R139&lt;&gt;"",Master_Data!S139&lt;&gt;"",Master_Data!R140&lt;&gt;"",Master_Data!S140&lt;&gt;""),1,0.5))</f>
        <v/>
      </c>
      <c r="P139" s="19">
        <f>IF(G139="","",IF(N139="Conflicts","SW_CONFLICT",IF(OR(F139="GOC",F139="OWC",F139="GWC"),"DIRECT_FLUID_TRANSITION","TRANSITION_INTERVAL")))</f>
        <v/>
      </c>
      <c r="Q139" s="19">
        <f>IF(G139="","",IF(N139="Conflicts","Investigate contact interpretation / saturation behaviour",IF(OR(F139="OWC",F139="GOC",F139="GWC"),"Candidate contact — validate with logs, pressure and dynamic evidence","Transition zone — do not force to a sharp contact")))</f>
        <v/>
      </c>
    </row>
    <row r="140">
      <c r="A140" s="19">
        <f>IF(AND(Master_Data!A140&lt;&gt;"",Master_Data!A140=Master_Data!A141),Master_Data!A140,"")</f>
        <v/>
      </c>
      <c r="B140" s="19">
        <f>IF($A140="","",Master_Data!B140)</f>
        <v/>
      </c>
      <c r="C140" s="19">
        <f>IF($A140="","",Master_Data!B141)</f>
        <v/>
      </c>
      <c r="D140" s="19">
        <f>IF($A140="","",Master_Data!Q140)</f>
        <v/>
      </c>
      <c r="E140" s="19">
        <f>IF($A140="","",Master_Data!Q141)</f>
        <v/>
      </c>
      <c r="F140" s="19">
        <f>IF($A140="","",IF(AND(D140="GAS",E140="OIL"),"GOC",IF(AND(D140="OIL",E140="WATER"),"OWC",IF(AND(D140="GAS",E140="WATER"),"GWC",IF(AND(D140="OIL",E140="OIL_WATER"),"OWC_TRANSITION",IF(AND(D140="OIL_WATER",E140="WATER"),"OWC_TRANSITION",IF(AND(D140="GAS",E140="GAS_WATER"),"GOC_TRANSITION",IF(AND(D140="GAS_WATER",E140="OIL"),"GOC_TRANSITION",IF(OR(D140="OIL_WATER",D140="GAS_WATER"),"TRANSITION_INTERVAL","")))))))))</f>
        <v/>
      </c>
      <c r="G140" s="20">
        <f>IF(OR(F140="",Master_Data!R140="",Master_Data!S140=""),"",IF(RIGHT(F140,10)="TRANSITION",AVERAGE(Master_Data!R140:Master_Data!S140),AVERAGE(Master_Data!S140,Master_Data!R141)))</f>
        <v/>
      </c>
      <c r="H140" s="20">
        <f>IF(G140="","",MAX(Settings!$B$4,Settings!$B$5*AVERAGE(IF(Master_Data!O140&lt;&gt;"",Master_Data!O140,Master_Data!H140),IF(Master_Data!O141&lt;&gt;"",Master_Data!O141,Master_Data!H141))))</f>
        <v/>
      </c>
      <c r="I140" s="20">
        <f>IF(G140="","",G140-H140)</f>
        <v/>
      </c>
      <c r="J140" s="20">
        <f>IF(G140="","",G140+H140)</f>
        <v/>
      </c>
      <c r="K140" s="20">
        <f>IF($A140="","",Master_Data!G140)</f>
        <v/>
      </c>
      <c r="L140" s="20">
        <f>IF($A140="","",Master_Data!G141)</f>
        <v/>
      </c>
      <c r="M140" s="20">
        <f>IF(AND(ISNUMBER(K140),ISNUMBER(L140)),L140-K140,"")</f>
        <v/>
      </c>
      <c r="N140" s="19">
        <f>IF(G140="","",IF(AND(ISNUMBER(K140),ISNUMBER(L140)),IF(OR(F140="GOC",F140="OWC",F140="GWC",F140="OWC_TRANSITION",F140="GOC_TRANSITION"),IF(L140&gt;=K140,"Supports","Conflicts"),"N/A"),"No Sw"))</f>
        <v/>
      </c>
      <c r="O140" s="20">
        <f>IF(G140="","",Settings!$B$6*IF(OR(F140="GOC",F140="OWC",F140="GWC"),1,0.7)+Settings!$B$7*IF(N140="Supports",1,IF(N140="Conflicts",0,0.5))+Settings!$B$8*IF(AND(Master_Data!R140&lt;&gt;"",Master_Data!S140&lt;&gt;"",Master_Data!R141&lt;&gt;"",Master_Data!S141&lt;&gt;""),1,0.5))</f>
        <v/>
      </c>
      <c r="P140" s="19">
        <f>IF(G140="","",IF(N140="Conflicts","SW_CONFLICT",IF(OR(F140="GOC",F140="OWC",F140="GWC"),"DIRECT_FLUID_TRANSITION","TRANSITION_INTERVAL")))</f>
        <v/>
      </c>
      <c r="Q140" s="19">
        <f>IF(G140="","",IF(N140="Conflicts","Investigate contact interpretation / saturation behaviour",IF(OR(F140="OWC",F140="GOC",F140="GWC"),"Candidate contact — validate with logs, pressure and dynamic evidence","Transition zone — do not force to a sharp contact")))</f>
        <v/>
      </c>
    </row>
    <row r="141">
      <c r="A141" s="19">
        <f>IF(AND(Master_Data!A141&lt;&gt;"",Master_Data!A141=Master_Data!A142),Master_Data!A141,"")</f>
        <v/>
      </c>
      <c r="B141" s="19">
        <f>IF($A141="","",Master_Data!B141)</f>
        <v/>
      </c>
      <c r="C141" s="19">
        <f>IF($A141="","",Master_Data!B142)</f>
        <v/>
      </c>
      <c r="D141" s="19">
        <f>IF($A141="","",Master_Data!Q141)</f>
        <v/>
      </c>
      <c r="E141" s="19">
        <f>IF($A141="","",Master_Data!Q142)</f>
        <v/>
      </c>
      <c r="F141" s="19">
        <f>IF($A141="","",IF(AND(D141="GAS",E141="OIL"),"GOC",IF(AND(D141="OIL",E141="WATER"),"OWC",IF(AND(D141="GAS",E141="WATER"),"GWC",IF(AND(D141="OIL",E141="OIL_WATER"),"OWC_TRANSITION",IF(AND(D141="OIL_WATER",E141="WATER"),"OWC_TRANSITION",IF(AND(D141="GAS",E141="GAS_WATER"),"GOC_TRANSITION",IF(AND(D141="GAS_WATER",E141="OIL"),"GOC_TRANSITION",IF(OR(D141="OIL_WATER",D141="GAS_WATER"),"TRANSITION_INTERVAL","")))))))))</f>
        <v/>
      </c>
      <c r="G141" s="20">
        <f>IF(OR(F141="",Master_Data!R141="",Master_Data!S141=""),"",IF(RIGHT(F141,10)="TRANSITION",AVERAGE(Master_Data!R141:Master_Data!S141),AVERAGE(Master_Data!S141,Master_Data!R142)))</f>
        <v/>
      </c>
      <c r="H141" s="20">
        <f>IF(G141="","",MAX(Settings!$B$4,Settings!$B$5*AVERAGE(IF(Master_Data!O141&lt;&gt;"",Master_Data!O141,Master_Data!H141),IF(Master_Data!O142&lt;&gt;"",Master_Data!O142,Master_Data!H142))))</f>
        <v/>
      </c>
      <c r="I141" s="20">
        <f>IF(G141="","",G141-H141)</f>
        <v/>
      </c>
      <c r="J141" s="20">
        <f>IF(G141="","",G141+H141)</f>
        <v/>
      </c>
      <c r="K141" s="20">
        <f>IF($A141="","",Master_Data!G141)</f>
        <v/>
      </c>
      <c r="L141" s="20">
        <f>IF($A141="","",Master_Data!G142)</f>
        <v/>
      </c>
      <c r="M141" s="20">
        <f>IF(AND(ISNUMBER(K141),ISNUMBER(L141)),L141-K141,"")</f>
        <v/>
      </c>
      <c r="N141" s="19">
        <f>IF(G141="","",IF(AND(ISNUMBER(K141),ISNUMBER(L141)),IF(OR(F141="GOC",F141="OWC",F141="GWC",F141="OWC_TRANSITION",F141="GOC_TRANSITION"),IF(L141&gt;=K141,"Supports","Conflicts"),"N/A"),"No Sw"))</f>
        <v/>
      </c>
      <c r="O141" s="20">
        <f>IF(G141="","",Settings!$B$6*IF(OR(F141="GOC",F141="OWC",F141="GWC"),1,0.7)+Settings!$B$7*IF(N141="Supports",1,IF(N141="Conflicts",0,0.5))+Settings!$B$8*IF(AND(Master_Data!R141&lt;&gt;"",Master_Data!S141&lt;&gt;"",Master_Data!R142&lt;&gt;"",Master_Data!S142&lt;&gt;""),1,0.5))</f>
        <v/>
      </c>
      <c r="P141" s="19">
        <f>IF(G141="","",IF(N141="Conflicts","SW_CONFLICT",IF(OR(F141="GOC",F141="OWC",F141="GWC"),"DIRECT_FLUID_TRANSITION","TRANSITION_INTERVAL")))</f>
        <v/>
      </c>
      <c r="Q141" s="19">
        <f>IF(G141="","",IF(N141="Conflicts","Investigate contact interpretation / saturation behaviour",IF(OR(F141="OWC",F141="GOC",F141="GWC"),"Candidate contact — validate with logs, pressure and dynamic evidence","Transition zone — do not force to a sharp contact")))</f>
        <v/>
      </c>
    </row>
    <row r="142">
      <c r="A142" s="19">
        <f>IF(AND(Master_Data!A142&lt;&gt;"",Master_Data!A142=Master_Data!A143),Master_Data!A142,"")</f>
        <v/>
      </c>
      <c r="B142" s="19">
        <f>IF($A142="","",Master_Data!B142)</f>
        <v/>
      </c>
      <c r="C142" s="19">
        <f>IF($A142="","",Master_Data!B143)</f>
        <v/>
      </c>
      <c r="D142" s="19">
        <f>IF($A142="","",Master_Data!Q142)</f>
        <v/>
      </c>
      <c r="E142" s="19">
        <f>IF($A142="","",Master_Data!Q143)</f>
        <v/>
      </c>
      <c r="F142" s="19">
        <f>IF($A142="","",IF(AND(D142="GAS",E142="OIL"),"GOC",IF(AND(D142="OIL",E142="WATER"),"OWC",IF(AND(D142="GAS",E142="WATER"),"GWC",IF(AND(D142="OIL",E142="OIL_WATER"),"OWC_TRANSITION",IF(AND(D142="OIL_WATER",E142="WATER"),"OWC_TRANSITION",IF(AND(D142="GAS",E142="GAS_WATER"),"GOC_TRANSITION",IF(AND(D142="GAS_WATER",E142="OIL"),"GOC_TRANSITION",IF(OR(D142="OIL_WATER",D142="GAS_WATER"),"TRANSITION_INTERVAL","")))))))))</f>
        <v/>
      </c>
      <c r="G142" s="20">
        <f>IF(OR(F142="",Master_Data!R142="",Master_Data!S142=""),"",IF(RIGHT(F142,10)="TRANSITION",AVERAGE(Master_Data!R142:Master_Data!S142),AVERAGE(Master_Data!S142,Master_Data!R143)))</f>
        <v/>
      </c>
      <c r="H142" s="20">
        <f>IF(G142="","",MAX(Settings!$B$4,Settings!$B$5*AVERAGE(IF(Master_Data!O142&lt;&gt;"",Master_Data!O142,Master_Data!H142),IF(Master_Data!O143&lt;&gt;"",Master_Data!O143,Master_Data!H143))))</f>
        <v/>
      </c>
      <c r="I142" s="20">
        <f>IF(G142="","",G142-H142)</f>
        <v/>
      </c>
      <c r="J142" s="20">
        <f>IF(G142="","",G142+H142)</f>
        <v/>
      </c>
      <c r="K142" s="20">
        <f>IF($A142="","",Master_Data!G142)</f>
        <v/>
      </c>
      <c r="L142" s="20">
        <f>IF($A142="","",Master_Data!G143)</f>
        <v/>
      </c>
      <c r="M142" s="20">
        <f>IF(AND(ISNUMBER(K142),ISNUMBER(L142)),L142-K142,"")</f>
        <v/>
      </c>
      <c r="N142" s="19">
        <f>IF(G142="","",IF(AND(ISNUMBER(K142),ISNUMBER(L142)),IF(OR(F142="GOC",F142="OWC",F142="GWC",F142="OWC_TRANSITION",F142="GOC_TRANSITION"),IF(L142&gt;=K142,"Supports","Conflicts"),"N/A"),"No Sw"))</f>
        <v/>
      </c>
      <c r="O142" s="20">
        <f>IF(G142="","",Settings!$B$6*IF(OR(F142="GOC",F142="OWC",F142="GWC"),1,0.7)+Settings!$B$7*IF(N142="Supports",1,IF(N142="Conflicts",0,0.5))+Settings!$B$8*IF(AND(Master_Data!R142&lt;&gt;"",Master_Data!S142&lt;&gt;"",Master_Data!R143&lt;&gt;"",Master_Data!S143&lt;&gt;""),1,0.5))</f>
        <v/>
      </c>
      <c r="P142" s="19">
        <f>IF(G142="","",IF(N142="Conflicts","SW_CONFLICT",IF(OR(F142="GOC",F142="OWC",F142="GWC"),"DIRECT_FLUID_TRANSITION","TRANSITION_INTERVAL")))</f>
        <v/>
      </c>
      <c r="Q142" s="19">
        <f>IF(G142="","",IF(N142="Conflicts","Investigate contact interpretation / saturation behaviour",IF(OR(F142="OWC",F142="GOC",F142="GWC"),"Candidate contact — validate with logs, pressure and dynamic evidence","Transition zone — do not force to a sharp contact")))</f>
        <v/>
      </c>
    </row>
    <row r="143">
      <c r="A143" s="19">
        <f>IF(AND(Master_Data!A143&lt;&gt;"",Master_Data!A143=Master_Data!A144),Master_Data!A143,"")</f>
        <v/>
      </c>
      <c r="B143" s="19">
        <f>IF($A143="","",Master_Data!B143)</f>
        <v/>
      </c>
      <c r="C143" s="19">
        <f>IF($A143="","",Master_Data!B144)</f>
        <v/>
      </c>
      <c r="D143" s="19">
        <f>IF($A143="","",Master_Data!Q143)</f>
        <v/>
      </c>
      <c r="E143" s="19">
        <f>IF($A143="","",Master_Data!Q144)</f>
        <v/>
      </c>
      <c r="F143" s="19">
        <f>IF($A143="","",IF(AND(D143="GAS",E143="OIL"),"GOC",IF(AND(D143="OIL",E143="WATER"),"OWC",IF(AND(D143="GAS",E143="WATER"),"GWC",IF(AND(D143="OIL",E143="OIL_WATER"),"OWC_TRANSITION",IF(AND(D143="OIL_WATER",E143="WATER"),"OWC_TRANSITION",IF(AND(D143="GAS",E143="GAS_WATER"),"GOC_TRANSITION",IF(AND(D143="GAS_WATER",E143="OIL"),"GOC_TRANSITION",IF(OR(D143="OIL_WATER",D143="GAS_WATER"),"TRANSITION_INTERVAL","")))))))))</f>
        <v/>
      </c>
      <c r="G143" s="20">
        <f>IF(OR(F143="",Master_Data!R143="",Master_Data!S143=""),"",IF(RIGHT(F143,10)="TRANSITION",AVERAGE(Master_Data!R143:Master_Data!S143),AVERAGE(Master_Data!S143,Master_Data!R144)))</f>
        <v/>
      </c>
      <c r="H143" s="20">
        <f>IF(G143="","",MAX(Settings!$B$4,Settings!$B$5*AVERAGE(IF(Master_Data!O143&lt;&gt;"",Master_Data!O143,Master_Data!H143),IF(Master_Data!O144&lt;&gt;"",Master_Data!O144,Master_Data!H144))))</f>
        <v/>
      </c>
      <c r="I143" s="20">
        <f>IF(G143="","",G143-H143)</f>
        <v/>
      </c>
      <c r="J143" s="20">
        <f>IF(G143="","",G143+H143)</f>
        <v/>
      </c>
      <c r="K143" s="20">
        <f>IF($A143="","",Master_Data!G143)</f>
        <v/>
      </c>
      <c r="L143" s="20">
        <f>IF($A143="","",Master_Data!G144)</f>
        <v/>
      </c>
      <c r="M143" s="20">
        <f>IF(AND(ISNUMBER(K143),ISNUMBER(L143)),L143-K143,"")</f>
        <v/>
      </c>
      <c r="N143" s="19">
        <f>IF(G143="","",IF(AND(ISNUMBER(K143),ISNUMBER(L143)),IF(OR(F143="GOC",F143="OWC",F143="GWC",F143="OWC_TRANSITION",F143="GOC_TRANSITION"),IF(L143&gt;=K143,"Supports","Conflicts"),"N/A"),"No Sw"))</f>
        <v/>
      </c>
      <c r="O143" s="20">
        <f>IF(G143="","",Settings!$B$6*IF(OR(F143="GOC",F143="OWC",F143="GWC"),1,0.7)+Settings!$B$7*IF(N143="Supports",1,IF(N143="Conflicts",0,0.5))+Settings!$B$8*IF(AND(Master_Data!R143&lt;&gt;"",Master_Data!S143&lt;&gt;"",Master_Data!R144&lt;&gt;"",Master_Data!S144&lt;&gt;""),1,0.5))</f>
        <v/>
      </c>
      <c r="P143" s="19">
        <f>IF(G143="","",IF(N143="Conflicts","SW_CONFLICT",IF(OR(F143="GOC",F143="OWC",F143="GWC"),"DIRECT_FLUID_TRANSITION","TRANSITION_INTERVAL")))</f>
        <v/>
      </c>
      <c r="Q143" s="19">
        <f>IF(G143="","",IF(N143="Conflicts","Investigate contact interpretation / saturation behaviour",IF(OR(F143="OWC",F143="GOC",F143="GWC"),"Candidate contact — validate with logs, pressure and dynamic evidence","Transition zone — do not force to a sharp contact")))</f>
        <v/>
      </c>
    </row>
    <row r="144">
      <c r="A144" s="19">
        <f>IF(AND(Master_Data!A144&lt;&gt;"",Master_Data!A144=Master_Data!A145),Master_Data!A144,"")</f>
        <v/>
      </c>
      <c r="B144" s="19">
        <f>IF($A144="","",Master_Data!B144)</f>
        <v/>
      </c>
      <c r="C144" s="19">
        <f>IF($A144="","",Master_Data!B145)</f>
        <v/>
      </c>
      <c r="D144" s="19">
        <f>IF($A144="","",Master_Data!Q144)</f>
        <v/>
      </c>
      <c r="E144" s="19">
        <f>IF($A144="","",Master_Data!Q145)</f>
        <v/>
      </c>
      <c r="F144" s="19">
        <f>IF($A144="","",IF(AND(D144="GAS",E144="OIL"),"GOC",IF(AND(D144="OIL",E144="WATER"),"OWC",IF(AND(D144="GAS",E144="WATER"),"GWC",IF(AND(D144="OIL",E144="OIL_WATER"),"OWC_TRANSITION",IF(AND(D144="OIL_WATER",E144="WATER"),"OWC_TRANSITION",IF(AND(D144="GAS",E144="GAS_WATER"),"GOC_TRANSITION",IF(AND(D144="GAS_WATER",E144="OIL"),"GOC_TRANSITION",IF(OR(D144="OIL_WATER",D144="GAS_WATER"),"TRANSITION_INTERVAL","")))))))))</f>
        <v/>
      </c>
      <c r="G144" s="20">
        <f>IF(OR(F144="",Master_Data!R144="",Master_Data!S144=""),"",IF(RIGHT(F144,10)="TRANSITION",AVERAGE(Master_Data!R144:Master_Data!S144),AVERAGE(Master_Data!S144,Master_Data!R145)))</f>
        <v/>
      </c>
      <c r="H144" s="20">
        <f>IF(G144="","",MAX(Settings!$B$4,Settings!$B$5*AVERAGE(IF(Master_Data!O144&lt;&gt;"",Master_Data!O144,Master_Data!H144),IF(Master_Data!O145&lt;&gt;"",Master_Data!O145,Master_Data!H145))))</f>
        <v/>
      </c>
      <c r="I144" s="20">
        <f>IF(G144="","",G144-H144)</f>
        <v/>
      </c>
      <c r="J144" s="20">
        <f>IF(G144="","",G144+H144)</f>
        <v/>
      </c>
      <c r="K144" s="20">
        <f>IF($A144="","",Master_Data!G144)</f>
        <v/>
      </c>
      <c r="L144" s="20">
        <f>IF($A144="","",Master_Data!G145)</f>
        <v/>
      </c>
      <c r="M144" s="20">
        <f>IF(AND(ISNUMBER(K144),ISNUMBER(L144)),L144-K144,"")</f>
        <v/>
      </c>
      <c r="N144" s="19">
        <f>IF(G144="","",IF(AND(ISNUMBER(K144),ISNUMBER(L144)),IF(OR(F144="GOC",F144="OWC",F144="GWC",F144="OWC_TRANSITION",F144="GOC_TRANSITION"),IF(L144&gt;=K144,"Supports","Conflicts"),"N/A"),"No Sw"))</f>
        <v/>
      </c>
      <c r="O144" s="20">
        <f>IF(G144="","",Settings!$B$6*IF(OR(F144="GOC",F144="OWC",F144="GWC"),1,0.7)+Settings!$B$7*IF(N144="Supports",1,IF(N144="Conflicts",0,0.5))+Settings!$B$8*IF(AND(Master_Data!R144&lt;&gt;"",Master_Data!S144&lt;&gt;"",Master_Data!R145&lt;&gt;"",Master_Data!S145&lt;&gt;""),1,0.5))</f>
        <v/>
      </c>
      <c r="P144" s="19">
        <f>IF(G144="","",IF(N144="Conflicts","SW_CONFLICT",IF(OR(F144="GOC",F144="OWC",F144="GWC"),"DIRECT_FLUID_TRANSITION","TRANSITION_INTERVAL")))</f>
        <v/>
      </c>
      <c r="Q144" s="19">
        <f>IF(G144="","",IF(N144="Conflicts","Investigate contact interpretation / saturation behaviour",IF(OR(F144="OWC",F144="GOC",F144="GWC"),"Candidate contact — validate with logs, pressure and dynamic evidence","Transition zone — do not force to a sharp contact")))</f>
        <v/>
      </c>
    </row>
    <row r="145">
      <c r="A145" s="19">
        <f>IF(AND(Master_Data!A145&lt;&gt;"",Master_Data!A145=Master_Data!A146),Master_Data!A145,"")</f>
        <v/>
      </c>
      <c r="B145" s="19">
        <f>IF($A145="","",Master_Data!B145)</f>
        <v/>
      </c>
      <c r="C145" s="19">
        <f>IF($A145="","",Master_Data!B146)</f>
        <v/>
      </c>
      <c r="D145" s="19">
        <f>IF($A145="","",Master_Data!Q145)</f>
        <v/>
      </c>
      <c r="E145" s="19">
        <f>IF($A145="","",Master_Data!Q146)</f>
        <v/>
      </c>
      <c r="F145" s="19">
        <f>IF($A145="","",IF(AND(D145="GAS",E145="OIL"),"GOC",IF(AND(D145="OIL",E145="WATER"),"OWC",IF(AND(D145="GAS",E145="WATER"),"GWC",IF(AND(D145="OIL",E145="OIL_WATER"),"OWC_TRANSITION",IF(AND(D145="OIL_WATER",E145="WATER"),"OWC_TRANSITION",IF(AND(D145="GAS",E145="GAS_WATER"),"GOC_TRANSITION",IF(AND(D145="GAS_WATER",E145="OIL"),"GOC_TRANSITION",IF(OR(D145="OIL_WATER",D145="GAS_WATER"),"TRANSITION_INTERVAL","")))))))))</f>
        <v/>
      </c>
      <c r="G145" s="20">
        <f>IF(OR(F145="",Master_Data!R145="",Master_Data!S145=""),"",IF(RIGHT(F145,10)="TRANSITION",AVERAGE(Master_Data!R145:Master_Data!S145),AVERAGE(Master_Data!S145,Master_Data!R146)))</f>
        <v/>
      </c>
      <c r="H145" s="20">
        <f>IF(G145="","",MAX(Settings!$B$4,Settings!$B$5*AVERAGE(IF(Master_Data!O145&lt;&gt;"",Master_Data!O145,Master_Data!H145),IF(Master_Data!O146&lt;&gt;"",Master_Data!O146,Master_Data!H146))))</f>
        <v/>
      </c>
      <c r="I145" s="20">
        <f>IF(G145="","",G145-H145)</f>
        <v/>
      </c>
      <c r="J145" s="20">
        <f>IF(G145="","",G145+H145)</f>
        <v/>
      </c>
      <c r="K145" s="20">
        <f>IF($A145="","",Master_Data!G145)</f>
        <v/>
      </c>
      <c r="L145" s="20">
        <f>IF($A145="","",Master_Data!G146)</f>
        <v/>
      </c>
      <c r="M145" s="20">
        <f>IF(AND(ISNUMBER(K145),ISNUMBER(L145)),L145-K145,"")</f>
        <v/>
      </c>
      <c r="N145" s="19">
        <f>IF(G145="","",IF(AND(ISNUMBER(K145),ISNUMBER(L145)),IF(OR(F145="GOC",F145="OWC",F145="GWC",F145="OWC_TRANSITION",F145="GOC_TRANSITION"),IF(L145&gt;=K145,"Supports","Conflicts"),"N/A"),"No Sw"))</f>
        <v/>
      </c>
      <c r="O145" s="20">
        <f>IF(G145="","",Settings!$B$6*IF(OR(F145="GOC",F145="OWC",F145="GWC"),1,0.7)+Settings!$B$7*IF(N145="Supports",1,IF(N145="Conflicts",0,0.5))+Settings!$B$8*IF(AND(Master_Data!R145&lt;&gt;"",Master_Data!S145&lt;&gt;"",Master_Data!R146&lt;&gt;"",Master_Data!S146&lt;&gt;""),1,0.5))</f>
        <v/>
      </c>
      <c r="P145" s="19">
        <f>IF(G145="","",IF(N145="Conflicts","SW_CONFLICT",IF(OR(F145="GOC",F145="OWC",F145="GWC"),"DIRECT_FLUID_TRANSITION","TRANSITION_INTERVAL")))</f>
        <v/>
      </c>
      <c r="Q145" s="19">
        <f>IF(G145="","",IF(N145="Conflicts","Investigate contact interpretation / saturation behaviour",IF(OR(F145="OWC",F145="GOC",F145="GWC"),"Candidate contact — validate with logs, pressure and dynamic evidence","Transition zone — do not force to a sharp contact")))</f>
        <v/>
      </c>
    </row>
    <row r="146">
      <c r="A146" s="19">
        <f>IF(AND(Master_Data!A146&lt;&gt;"",Master_Data!A146=Master_Data!A147),Master_Data!A146,"")</f>
        <v/>
      </c>
      <c r="B146" s="19">
        <f>IF($A146="","",Master_Data!B146)</f>
        <v/>
      </c>
      <c r="C146" s="19">
        <f>IF($A146="","",Master_Data!B147)</f>
        <v/>
      </c>
      <c r="D146" s="19">
        <f>IF($A146="","",Master_Data!Q146)</f>
        <v/>
      </c>
      <c r="E146" s="19">
        <f>IF($A146="","",Master_Data!Q147)</f>
        <v/>
      </c>
      <c r="F146" s="19">
        <f>IF($A146="","",IF(AND(D146="GAS",E146="OIL"),"GOC",IF(AND(D146="OIL",E146="WATER"),"OWC",IF(AND(D146="GAS",E146="WATER"),"GWC",IF(AND(D146="OIL",E146="OIL_WATER"),"OWC_TRANSITION",IF(AND(D146="OIL_WATER",E146="WATER"),"OWC_TRANSITION",IF(AND(D146="GAS",E146="GAS_WATER"),"GOC_TRANSITION",IF(AND(D146="GAS_WATER",E146="OIL"),"GOC_TRANSITION",IF(OR(D146="OIL_WATER",D146="GAS_WATER"),"TRANSITION_INTERVAL","")))))))))</f>
        <v/>
      </c>
      <c r="G146" s="20">
        <f>IF(OR(F146="",Master_Data!R146="",Master_Data!S146=""),"",IF(RIGHT(F146,10)="TRANSITION",AVERAGE(Master_Data!R146:Master_Data!S146),AVERAGE(Master_Data!S146,Master_Data!R147)))</f>
        <v/>
      </c>
      <c r="H146" s="20">
        <f>IF(G146="","",MAX(Settings!$B$4,Settings!$B$5*AVERAGE(IF(Master_Data!O146&lt;&gt;"",Master_Data!O146,Master_Data!H146),IF(Master_Data!O147&lt;&gt;"",Master_Data!O147,Master_Data!H147))))</f>
        <v/>
      </c>
      <c r="I146" s="20">
        <f>IF(G146="","",G146-H146)</f>
        <v/>
      </c>
      <c r="J146" s="20">
        <f>IF(G146="","",G146+H146)</f>
        <v/>
      </c>
      <c r="K146" s="20">
        <f>IF($A146="","",Master_Data!G146)</f>
        <v/>
      </c>
      <c r="L146" s="20">
        <f>IF($A146="","",Master_Data!G147)</f>
        <v/>
      </c>
      <c r="M146" s="20">
        <f>IF(AND(ISNUMBER(K146),ISNUMBER(L146)),L146-K146,"")</f>
        <v/>
      </c>
      <c r="N146" s="19">
        <f>IF(G146="","",IF(AND(ISNUMBER(K146),ISNUMBER(L146)),IF(OR(F146="GOC",F146="OWC",F146="GWC",F146="OWC_TRANSITION",F146="GOC_TRANSITION"),IF(L146&gt;=K146,"Supports","Conflicts"),"N/A"),"No Sw"))</f>
        <v/>
      </c>
      <c r="O146" s="20">
        <f>IF(G146="","",Settings!$B$6*IF(OR(F146="GOC",F146="OWC",F146="GWC"),1,0.7)+Settings!$B$7*IF(N146="Supports",1,IF(N146="Conflicts",0,0.5))+Settings!$B$8*IF(AND(Master_Data!R146&lt;&gt;"",Master_Data!S146&lt;&gt;"",Master_Data!R147&lt;&gt;"",Master_Data!S147&lt;&gt;""),1,0.5))</f>
        <v/>
      </c>
      <c r="P146" s="19">
        <f>IF(G146="","",IF(N146="Conflicts","SW_CONFLICT",IF(OR(F146="GOC",F146="OWC",F146="GWC"),"DIRECT_FLUID_TRANSITION","TRANSITION_INTERVAL")))</f>
        <v/>
      </c>
      <c r="Q146" s="19">
        <f>IF(G146="","",IF(N146="Conflicts","Investigate contact interpretation / saturation behaviour",IF(OR(F146="OWC",F146="GOC",F146="GWC"),"Candidate contact — validate with logs, pressure and dynamic evidence","Transition zone — do not force to a sharp contact")))</f>
        <v/>
      </c>
    </row>
    <row r="147">
      <c r="A147" s="19">
        <f>IF(AND(Master_Data!A147&lt;&gt;"",Master_Data!A147=Master_Data!A148),Master_Data!A147,"")</f>
        <v/>
      </c>
      <c r="B147" s="19">
        <f>IF($A147="","",Master_Data!B147)</f>
        <v/>
      </c>
      <c r="C147" s="19">
        <f>IF($A147="","",Master_Data!B148)</f>
        <v/>
      </c>
      <c r="D147" s="19">
        <f>IF($A147="","",Master_Data!Q147)</f>
        <v/>
      </c>
      <c r="E147" s="19">
        <f>IF($A147="","",Master_Data!Q148)</f>
        <v/>
      </c>
      <c r="F147" s="19">
        <f>IF($A147="","",IF(AND(D147="GAS",E147="OIL"),"GOC",IF(AND(D147="OIL",E147="WATER"),"OWC",IF(AND(D147="GAS",E147="WATER"),"GWC",IF(AND(D147="OIL",E147="OIL_WATER"),"OWC_TRANSITION",IF(AND(D147="OIL_WATER",E147="WATER"),"OWC_TRANSITION",IF(AND(D147="GAS",E147="GAS_WATER"),"GOC_TRANSITION",IF(AND(D147="GAS_WATER",E147="OIL"),"GOC_TRANSITION",IF(OR(D147="OIL_WATER",D147="GAS_WATER"),"TRANSITION_INTERVAL","")))))))))</f>
        <v/>
      </c>
      <c r="G147" s="20">
        <f>IF(OR(F147="",Master_Data!R147="",Master_Data!S147=""),"",IF(RIGHT(F147,10)="TRANSITION",AVERAGE(Master_Data!R147:Master_Data!S147),AVERAGE(Master_Data!S147,Master_Data!R148)))</f>
        <v/>
      </c>
      <c r="H147" s="20">
        <f>IF(G147="","",MAX(Settings!$B$4,Settings!$B$5*AVERAGE(IF(Master_Data!O147&lt;&gt;"",Master_Data!O147,Master_Data!H147),IF(Master_Data!O148&lt;&gt;"",Master_Data!O148,Master_Data!H148))))</f>
        <v/>
      </c>
      <c r="I147" s="20">
        <f>IF(G147="","",G147-H147)</f>
        <v/>
      </c>
      <c r="J147" s="20">
        <f>IF(G147="","",G147+H147)</f>
        <v/>
      </c>
      <c r="K147" s="20">
        <f>IF($A147="","",Master_Data!G147)</f>
        <v/>
      </c>
      <c r="L147" s="20">
        <f>IF($A147="","",Master_Data!G148)</f>
        <v/>
      </c>
      <c r="M147" s="20">
        <f>IF(AND(ISNUMBER(K147),ISNUMBER(L147)),L147-K147,"")</f>
        <v/>
      </c>
      <c r="N147" s="19">
        <f>IF(G147="","",IF(AND(ISNUMBER(K147),ISNUMBER(L147)),IF(OR(F147="GOC",F147="OWC",F147="GWC",F147="OWC_TRANSITION",F147="GOC_TRANSITION"),IF(L147&gt;=K147,"Supports","Conflicts"),"N/A"),"No Sw"))</f>
        <v/>
      </c>
      <c r="O147" s="20">
        <f>IF(G147="","",Settings!$B$6*IF(OR(F147="GOC",F147="OWC",F147="GWC"),1,0.7)+Settings!$B$7*IF(N147="Supports",1,IF(N147="Conflicts",0,0.5))+Settings!$B$8*IF(AND(Master_Data!R147&lt;&gt;"",Master_Data!S147&lt;&gt;"",Master_Data!R148&lt;&gt;"",Master_Data!S148&lt;&gt;""),1,0.5))</f>
        <v/>
      </c>
      <c r="P147" s="19">
        <f>IF(G147="","",IF(N147="Conflicts","SW_CONFLICT",IF(OR(F147="GOC",F147="OWC",F147="GWC"),"DIRECT_FLUID_TRANSITION","TRANSITION_INTERVAL")))</f>
        <v/>
      </c>
      <c r="Q147" s="19">
        <f>IF(G147="","",IF(N147="Conflicts","Investigate contact interpretation / saturation behaviour",IF(OR(F147="OWC",F147="GOC",F147="GWC"),"Candidate contact — validate with logs, pressure and dynamic evidence","Transition zone — do not force to a sharp contact")))</f>
        <v/>
      </c>
    </row>
    <row r="148">
      <c r="A148" s="19">
        <f>IF(AND(Master_Data!A148&lt;&gt;"",Master_Data!A148=Master_Data!A149),Master_Data!A148,"")</f>
        <v/>
      </c>
      <c r="B148" s="19">
        <f>IF($A148="","",Master_Data!B148)</f>
        <v/>
      </c>
      <c r="C148" s="19">
        <f>IF($A148="","",Master_Data!B149)</f>
        <v/>
      </c>
      <c r="D148" s="19">
        <f>IF($A148="","",Master_Data!Q148)</f>
        <v/>
      </c>
      <c r="E148" s="19">
        <f>IF($A148="","",Master_Data!Q149)</f>
        <v/>
      </c>
      <c r="F148" s="19">
        <f>IF($A148="","",IF(AND(D148="GAS",E148="OIL"),"GOC",IF(AND(D148="OIL",E148="WATER"),"OWC",IF(AND(D148="GAS",E148="WATER"),"GWC",IF(AND(D148="OIL",E148="OIL_WATER"),"OWC_TRANSITION",IF(AND(D148="OIL_WATER",E148="WATER"),"OWC_TRANSITION",IF(AND(D148="GAS",E148="GAS_WATER"),"GOC_TRANSITION",IF(AND(D148="GAS_WATER",E148="OIL"),"GOC_TRANSITION",IF(OR(D148="OIL_WATER",D148="GAS_WATER"),"TRANSITION_INTERVAL","")))))))))</f>
        <v/>
      </c>
      <c r="G148" s="20">
        <f>IF(OR(F148="",Master_Data!R148="",Master_Data!S148=""),"",IF(RIGHT(F148,10)="TRANSITION",AVERAGE(Master_Data!R148:Master_Data!S148),AVERAGE(Master_Data!S148,Master_Data!R149)))</f>
        <v/>
      </c>
      <c r="H148" s="20">
        <f>IF(G148="","",MAX(Settings!$B$4,Settings!$B$5*AVERAGE(IF(Master_Data!O148&lt;&gt;"",Master_Data!O148,Master_Data!H148),IF(Master_Data!O149&lt;&gt;"",Master_Data!O149,Master_Data!H149))))</f>
        <v/>
      </c>
      <c r="I148" s="20">
        <f>IF(G148="","",G148-H148)</f>
        <v/>
      </c>
      <c r="J148" s="20">
        <f>IF(G148="","",G148+H148)</f>
        <v/>
      </c>
      <c r="K148" s="20">
        <f>IF($A148="","",Master_Data!G148)</f>
        <v/>
      </c>
      <c r="L148" s="20">
        <f>IF($A148="","",Master_Data!G149)</f>
        <v/>
      </c>
      <c r="M148" s="20">
        <f>IF(AND(ISNUMBER(K148),ISNUMBER(L148)),L148-K148,"")</f>
        <v/>
      </c>
      <c r="N148" s="19">
        <f>IF(G148="","",IF(AND(ISNUMBER(K148),ISNUMBER(L148)),IF(OR(F148="GOC",F148="OWC",F148="GWC",F148="OWC_TRANSITION",F148="GOC_TRANSITION"),IF(L148&gt;=K148,"Supports","Conflicts"),"N/A"),"No Sw"))</f>
        <v/>
      </c>
      <c r="O148" s="20">
        <f>IF(G148="","",Settings!$B$6*IF(OR(F148="GOC",F148="OWC",F148="GWC"),1,0.7)+Settings!$B$7*IF(N148="Supports",1,IF(N148="Conflicts",0,0.5))+Settings!$B$8*IF(AND(Master_Data!R148&lt;&gt;"",Master_Data!S148&lt;&gt;"",Master_Data!R149&lt;&gt;"",Master_Data!S149&lt;&gt;""),1,0.5))</f>
        <v/>
      </c>
      <c r="P148" s="19">
        <f>IF(G148="","",IF(N148="Conflicts","SW_CONFLICT",IF(OR(F148="GOC",F148="OWC",F148="GWC"),"DIRECT_FLUID_TRANSITION","TRANSITION_INTERVAL")))</f>
        <v/>
      </c>
      <c r="Q148" s="19">
        <f>IF(G148="","",IF(N148="Conflicts","Investigate contact interpretation / saturation behaviour",IF(OR(F148="OWC",F148="GOC",F148="GWC"),"Candidate contact — validate with logs, pressure and dynamic evidence","Transition zone — do not force to a sharp contact")))</f>
        <v/>
      </c>
    </row>
    <row r="149">
      <c r="A149" s="19">
        <f>IF(AND(Master_Data!A149&lt;&gt;"",Master_Data!A149=Master_Data!A150),Master_Data!A149,"")</f>
        <v/>
      </c>
      <c r="B149" s="19">
        <f>IF($A149="","",Master_Data!B149)</f>
        <v/>
      </c>
      <c r="C149" s="19">
        <f>IF($A149="","",Master_Data!B150)</f>
        <v/>
      </c>
      <c r="D149" s="19">
        <f>IF($A149="","",Master_Data!Q149)</f>
        <v/>
      </c>
      <c r="E149" s="19">
        <f>IF($A149="","",Master_Data!Q150)</f>
        <v/>
      </c>
      <c r="F149" s="19">
        <f>IF($A149="","",IF(AND(D149="GAS",E149="OIL"),"GOC",IF(AND(D149="OIL",E149="WATER"),"OWC",IF(AND(D149="GAS",E149="WATER"),"GWC",IF(AND(D149="OIL",E149="OIL_WATER"),"OWC_TRANSITION",IF(AND(D149="OIL_WATER",E149="WATER"),"OWC_TRANSITION",IF(AND(D149="GAS",E149="GAS_WATER"),"GOC_TRANSITION",IF(AND(D149="GAS_WATER",E149="OIL"),"GOC_TRANSITION",IF(OR(D149="OIL_WATER",D149="GAS_WATER"),"TRANSITION_INTERVAL","")))))))))</f>
        <v/>
      </c>
      <c r="G149" s="20">
        <f>IF(OR(F149="",Master_Data!R149="",Master_Data!S149=""),"",IF(RIGHT(F149,10)="TRANSITION",AVERAGE(Master_Data!R149:Master_Data!S149),AVERAGE(Master_Data!S149,Master_Data!R150)))</f>
        <v/>
      </c>
      <c r="H149" s="20">
        <f>IF(G149="","",MAX(Settings!$B$4,Settings!$B$5*AVERAGE(IF(Master_Data!O149&lt;&gt;"",Master_Data!O149,Master_Data!H149),IF(Master_Data!O150&lt;&gt;"",Master_Data!O150,Master_Data!H150))))</f>
        <v/>
      </c>
      <c r="I149" s="20">
        <f>IF(G149="","",G149-H149)</f>
        <v/>
      </c>
      <c r="J149" s="20">
        <f>IF(G149="","",G149+H149)</f>
        <v/>
      </c>
      <c r="K149" s="20">
        <f>IF($A149="","",Master_Data!G149)</f>
        <v/>
      </c>
      <c r="L149" s="20">
        <f>IF($A149="","",Master_Data!G150)</f>
        <v/>
      </c>
      <c r="M149" s="20">
        <f>IF(AND(ISNUMBER(K149),ISNUMBER(L149)),L149-K149,"")</f>
        <v/>
      </c>
      <c r="N149" s="19">
        <f>IF(G149="","",IF(AND(ISNUMBER(K149),ISNUMBER(L149)),IF(OR(F149="GOC",F149="OWC",F149="GWC",F149="OWC_TRANSITION",F149="GOC_TRANSITION"),IF(L149&gt;=K149,"Supports","Conflicts"),"N/A"),"No Sw"))</f>
        <v/>
      </c>
      <c r="O149" s="20">
        <f>IF(G149="","",Settings!$B$6*IF(OR(F149="GOC",F149="OWC",F149="GWC"),1,0.7)+Settings!$B$7*IF(N149="Supports",1,IF(N149="Conflicts",0,0.5))+Settings!$B$8*IF(AND(Master_Data!R149&lt;&gt;"",Master_Data!S149&lt;&gt;"",Master_Data!R150&lt;&gt;"",Master_Data!S150&lt;&gt;""),1,0.5))</f>
        <v/>
      </c>
      <c r="P149" s="19">
        <f>IF(G149="","",IF(N149="Conflicts","SW_CONFLICT",IF(OR(F149="GOC",F149="OWC",F149="GWC"),"DIRECT_FLUID_TRANSITION","TRANSITION_INTERVAL")))</f>
        <v/>
      </c>
      <c r="Q149" s="19">
        <f>IF(G149="","",IF(N149="Conflicts","Investigate contact interpretation / saturation behaviour",IF(OR(F149="OWC",F149="GOC",F149="GWC"),"Candidate contact — validate with logs, pressure and dynamic evidence","Transition zone — do not force to a sharp contact")))</f>
        <v/>
      </c>
    </row>
    <row r="150">
      <c r="A150" s="19">
        <f>IF(AND(Master_Data!A150&lt;&gt;"",Master_Data!A150=Master_Data!A151),Master_Data!A150,"")</f>
        <v/>
      </c>
      <c r="B150" s="19">
        <f>IF($A150="","",Master_Data!B150)</f>
        <v/>
      </c>
      <c r="C150" s="19">
        <f>IF($A150="","",Master_Data!B151)</f>
        <v/>
      </c>
      <c r="D150" s="19">
        <f>IF($A150="","",Master_Data!Q150)</f>
        <v/>
      </c>
      <c r="E150" s="19">
        <f>IF($A150="","",Master_Data!Q151)</f>
        <v/>
      </c>
      <c r="F150" s="19">
        <f>IF($A150="","",IF(AND(D150="GAS",E150="OIL"),"GOC",IF(AND(D150="OIL",E150="WATER"),"OWC",IF(AND(D150="GAS",E150="WATER"),"GWC",IF(AND(D150="OIL",E150="OIL_WATER"),"OWC_TRANSITION",IF(AND(D150="OIL_WATER",E150="WATER"),"OWC_TRANSITION",IF(AND(D150="GAS",E150="GAS_WATER"),"GOC_TRANSITION",IF(AND(D150="GAS_WATER",E150="OIL"),"GOC_TRANSITION",IF(OR(D150="OIL_WATER",D150="GAS_WATER"),"TRANSITION_INTERVAL","")))))))))</f>
        <v/>
      </c>
      <c r="G150" s="20">
        <f>IF(OR(F150="",Master_Data!R150="",Master_Data!S150=""),"",IF(RIGHT(F150,10)="TRANSITION",AVERAGE(Master_Data!R150:Master_Data!S150),AVERAGE(Master_Data!S150,Master_Data!R151)))</f>
        <v/>
      </c>
      <c r="H150" s="20">
        <f>IF(G150="","",MAX(Settings!$B$4,Settings!$B$5*AVERAGE(IF(Master_Data!O150&lt;&gt;"",Master_Data!O150,Master_Data!H150),IF(Master_Data!O151&lt;&gt;"",Master_Data!O151,Master_Data!H151))))</f>
        <v/>
      </c>
      <c r="I150" s="20">
        <f>IF(G150="","",G150-H150)</f>
        <v/>
      </c>
      <c r="J150" s="20">
        <f>IF(G150="","",G150+H150)</f>
        <v/>
      </c>
      <c r="K150" s="20">
        <f>IF($A150="","",Master_Data!G150)</f>
        <v/>
      </c>
      <c r="L150" s="20">
        <f>IF($A150="","",Master_Data!G151)</f>
        <v/>
      </c>
      <c r="M150" s="20">
        <f>IF(AND(ISNUMBER(K150),ISNUMBER(L150)),L150-K150,"")</f>
        <v/>
      </c>
      <c r="N150" s="19">
        <f>IF(G150="","",IF(AND(ISNUMBER(K150),ISNUMBER(L150)),IF(OR(F150="GOC",F150="OWC",F150="GWC",F150="OWC_TRANSITION",F150="GOC_TRANSITION"),IF(L150&gt;=K150,"Supports","Conflicts"),"N/A"),"No Sw"))</f>
        <v/>
      </c>
      <c r="O150" s="20">
        <f>IF(G150="","",Settings!$B$6*IF(OR(F150="GOC",F150="OWC",F150="GWC"),1,0.7)+Settings!$B$7*IF(N150="Supports",1,IF(N150="Conflicts",0,0.5))+Settings!$B$8*IF(AND(Master_Data!R150&lt;&gt;"",Master_Data!S150&lt;&gt;"",Master_Data!R151&lt;&gt;"",Master_Data!S151&lt;&gt;""),1,0.5))</f>
        <v/>
      </c>
      <c r="P150" s="19">
        <f>IF(G150="","",IF(N150="Conflicts","SW_CONFLICT",IF(OR(F150="GOC",F150="OWC",F150="GWC"),"DIRECT_FLUID_TRANSITION","TRANSITION_INTERVAL")))</f>
        <v/>
      </c>
      <c r="Q150" s="19">
        <f>IF(G150="","",IF(N150="Conflicts","Investigate contact interpretation / saturation behaviour",IF(OR(F150="OWC",F150="GOC",F150="GWC"),"Candidate contact — validate with logs, pressure and dynamic evidence","Transition zone — do not force to a sharp contact")))</f>
        <v/>
      </c>
    </row>
    <row r="151">
      <c r="A151" s="19">
        <f>IF(AND(Master_Data!A151&lt;&gt;"",Master_Data!A151=Master_Data!A152),Master_Data!A151,"")</f>
        <v/>
      </c>
      <c r="B151" s="19">
        <f>IF($A151="","",Master_Data!B151)</f>
        <v/>
      </c>
      <c r="C151" s="19">
        <f>IF($A151="","",Master_Data!B152)</f>
        <v/>
      </c>
      <c r="D151" s="19">
        <f>IF($A151="","",Master_Data!Q151)</f>
        <v/>
      </c>
      <c r="E151" s="19">
        <f>IF($A151="","",Master_Data!Q152)</f>
        <v/>
      </c>
      <c r="F151" s="19">
        <f>IF($A151="","",IF(AND(D151="GAS",E151="OIL"),"GOC",IF(AND(D151="OIL",E151="WATER"),"OWC",IF(AND(D151="GAS",E151="WATER"),"GWC",IF(AND(D151="OIL",E151="OIL_WATER"),"OWC_TRANSITION",IF(AND(D151="OIL_WATER",E151="WATER"),"OWC_TRANSITION",IF(AND(D151="GAS",E151="GAS_WATER"),"GOC_TRANSITION",IF(AND(D151="GAS_WATER",E151="OIL"),"GOC_TRANSITION",IF(OR(D151="OIL_WATER",D151="GAS_WATER"),"TRANSITION_INTERVAL","")))))))))</f>
        <v/>
      </c>
      <c r="G151" s="20">
        <f>IF(OR(F151="",Master_Data!R151="",Master_Data!S151=""),"",IF(RIGHT(F151,10)="TRANSITION",AVERAGE(Master_Data!R151:Master_Data!S151),AVERAGE(Master_Data!S151,Master_Data!R152)))</f>
        <v/>
      </c>
      <c r="H151" s="20">
        <f>IF(G151="","",MAX(Settings!$B$4,Settings!$B$5*AVERAGE(IF(Master_Data!O151&lt;&gt;"",Master_Data!O151,Master_Data!H151),IF(Master_Data!O152&lt;&gt;"",Master_Data!O152,Master_Data!H152))))</f>
        <v/>
      </c>
      <c r="I151" s="20">
        <f>IF(G151="","",G151-H151)</f>
        <v/>
      </c>
      <c r="J151" s="20">
        <f>IF(G151="","",G151+H151)</f>
        <v/>
      </c>
      <c r="K151" s="20">
        <f>IF($A151="","",Master_Data!G151)</f>
        <v/>
      </c>
      <c r="L151" s="20">
        <f>IF($A151="","",Master_Data!G152)</f>
        <v/>
      </c>
      <c r="M151" s="20">
        <f>IF(AND(ISNUMBER(K151),ISNUMBER(L151)),L151-K151,"")</f>
        <v/>
      </c>
      <c r="N151" s="19">
        <f>IF(G151="","",IF(AND(ISNUMBER(K151),ISNUMBER(L151)),IF(OR(F151="GOC",F151="OWC",F151="GWC",F151="OWC_TRANSITION",F151="GOC_TRANSITION"),IF(L151&gt;=K151,"Supports","Conflicts"),"N/A"),"No Sw"))</f>
        <v/>
      </c>
      <c r="O151" s="20">
        <f>IF(G151="","",Settings!$B$6*IF(OR(F151="GOC",F151="OWC",F151="GWC"),1,0.7)+Settings!$B$7*IF(N151="Supports",1,IF(N151="Conflicts",0,0.5))+Settings!$B$8*IF(AND(Master_Data!R151&lt;&gt;"",Master_Data!S151&lt;&gt;"",Master_Data!R152&lt;&gt;"",Master_Data!S152&lt;&gt;""),1,0.5))</f>
        <v/>
      </c>
      <c r="P151" s="19">
        <f>IF(G151="","",IF(N151="Conflicts","SW_CONFLICT",IF(OR(F151="GOC",F151="OWC",F151="GWC"),"DIRECT_FLUID_TRANSITION","TRANSITION_INTERVAL")))</f>
        <v/>
      </c>
      <c r="Q151" s="19">
        <f>IF(G151="","",IF(N151="Conflicts","Investigate contact interpretation / saturation behaviour",IF(OR(F151="OWC",F151="GOC",F151="GWC"),"Candidate contact — validate with logs, pressure and dynamic evidence","Transition zone — do not force to a sharp contact")))</f>
        <v/>
      </c>
    </row>
    <row r="152">
      <c r="A152" s="19">
        <f>IF(AND(Master_Data!A152&lt;&gt;"",Master_Data!A152=Master_Data!A153),Master_Data!A152,"")</f>
        <v/>
      </c>
      <c r="B152" s="19">
        <f>IF($A152="","",Master_Data!B152)</f>
        <v/>
      </c>
      <c r="C152" s="19">
        <f>IF($A152="","",Master_Data!B153)</f>
        <v/>
      </c>
      <c r="D152" s="19">
        <f>IF($A152="","",Master_Data!Q152)</f>
        <v/>
      </c>
      <c r="E152" s="19">
        <f>IF($A152="","",Master_Data!Q153)</f>
        <v/>
      </c>
      <c r="F152" s="19">
        <f>IF($A152="","",IF(AND(D152="GAS",E152="OIL"),"GOC",IF(AND(D152="OIL",E152="WATER"),"OWC",IF(AND(D152="GAS",E152="WATER"),"GWC",IF(AND(D152="OIL",E152="OIL_WATER"),"OWC_TRANSITION",IF(AND(D152="OIL_WATER",E152="WATER"),"OWC_TRANSITION",IF(AND(D152="GAS",E152="GAS_WATER"),"GOC_TRANSITION",IF(AND(D152="GAS_WATER",E152="OIL"),"GOC_TRANSITION",IF(OR(D152="OIL_WATER",D152="GAS_WATER"),"TRANSITION_INTERVAL","")))))))))</f>
        <v/>
      </c>
      <c r="G152" s="20">
        <f>IF(OR(F152="",Master_Data!R152="",Master_Data!S152=""),"",IF(RIGHT(F152,10)="TRANSITION",AVERAGE(Master_Data!R152:Master_Data!S152),AVERAGE(Master_Data!S152,Master_Data!R153)))</f>
        <v/>
      </c>
      <c r="H152" s="20">
        <f>IF(G152="","",MAX(Settings!$B$4,Settings!$B$5*AVERAGE(IF(Master_Data!O152&lt;&gt;"",Master_Data!O152,Master_Data!H152),IF(Master_Data!O153&lt;&gt;"",Master_Data!O153,Master_Data!H153))))</f>
        <v/>
      </c>
      <c r="I152" s="20">
        <f>IF(G152="","",G152-H152)</f>
        <v/>
      </c>
      <c r="J152" s="20">
        <f>IF(G152="","",G152+H152)</f>
        <v/>
      </c>
      <c r="K152" s="20">
        <f>IF($A152="","",Master_Data!G152)</f>
        <v/>
      </c>
      <c r="L152" s="20">
        <f>IF($A152="","",Master_Data!G153)</f>
        <v/>
      </c>
      <c r="M152" s="20">
        <f>IF(AND(ISNUMBER(K152),ISNUMBER(L152)),L152-K152,"")</f>
        <v/>
      </c>
      <c r="N152" s="19">
        <f>IF(G152="","",IF(AND(ISNUMBER(K152),ISNUMBER(L152)),IF(OR(F152="GOC",F152="OWC",F152="GWC",F152="OWC_TRANSITION",F152="GOC_TRANSITION"),IF(L152&gt;=K152,"Supports","Conflicts"),"N/A"),"No Sw"))</f>
        <v/>
      </c>
      <c r="O152" s="20">
        <f>IF(G152="","",Settings!$B$6*IF(OR(F152="GOC",F152="OWC",F152="GWC"),1,0.7)+Settings!$B$7*IF(N152="Supports",1,IF(N152="Conflicts",0,0.5))+Settings!$B$8*IF(AND(Master_Data!R152&lt;&gt;"",Master_Data!S152&lt;&gt;"",Master_Data!R153&lt;&gt;"",Master_Data!S153&lt;&gt;""),1,0.5))</f>
        <v/>
      </c>
      <c r="P152" s="19">
        <f>IF(G152="","",IF(N152="Conflicts","SW_CONFLICT",IF(OR(F152="GOC",F152="OWC",F152="GWC"),"DIRECT_FLUID_TRANSITION","TRANSITION_INTERVAL")))</f>
        <v/>
      </c>
      <c r="Q152" s="19">
        <f>IF(G152="","",IF(N152="Conflicts","Investigate contact interpretation / saturation behaviour",IF(OR(F152="OWC",F152="GOC",F152="GWC"),"Candidate contact — validate with logs, pressure and dynamic evidence","Transition zone — do not force to a sharp contact")))</f>
        <v/>
      </c>
    </row>
    <row r="153">
      <c r="A153" s="19">
        <f>IF(AND(Master_Data!A153&lt;&gt;"",Master_Data!A153=Master_Data!A154),Master_Data!A153,"")</f>
        <v/>
      </c>
      <c r="B153" s="19">
        <f>IF($A153="","",Master_Data!B153)</f>
        <v/>
      </c>
      <c r="C153" s="19">
        <f>IF($A153="","",Master_Data!B154)</f>
        <v/>
      </c>
      <c r="D153" s="19">
        <f>IF($A153="","",Master_Data!Q153)</f>
        <v/>
      </c>
      <c r="E153" s="19">
        <f>IF($A153="","",Master_Data!Q154)</f>
        <v/>
      </c>
      <c r="F153" s="19">
        <f>IF($A153="","",IF(AND(D153="GAS",E153="OIL"),"GOC",IF(AND(D153="OIL",E153="WATER"),"OWC",IF(AND(D153="GAS",E153="WATER"),"GWC",IF(AND(D153="OIL",E153="OIL_WATER"),"OWC_TRANSITION",IF(AND(D153="OIL_WATER",E153="WATER"),"OWC_TRANSITION",IF(AND(D153="GAS",E153="GAS_WATER"),"GOC_TRANSITION",IF(AND(D153="GAS_WATER",E153="OIL"),"GOC_TRANSITION",IF(OR(D153="OIL_WATER",D153="GAS_WATER"),"TRANSITION_INTERVAL","")))))))))</f>
        <v/>
      </c>
      <c r="G153" s="20">
        <f>IF(OR(F153="",Master_Data!R153="",Master_Data!S153=""),"",IF(RIGHT(F153,10)="TRANSITION",AVERAGE(Master_Data!R153:Master_Data!S153),AVERAGE(Master_Data!S153,Master_Data!R154)))</f>
        <v/>
      </c>
      <c r="H153" s="20">
        <f>IF(G153="","",MAX(Settings!$B$4,Settings!$B$5*AVERAGE(IF(Master_Data!O153&lt;&gt;"",Master_Data!O153,Master_Data!H153),IF(Master_Data!O154&lt;&gt;"",Master_Data!O154,Master_Data!H154))))</f>
        <v/>
      </c>
      <c r="I153" s="20">
        <f>IF(G153="","",G153-H153)</f>
        <v/>
      </c>
      <c r="J153" s="20">
        <f>IF(G153="","",G153+H153)</f>
        <v/>
      </c>
      <c r="K153" s="20">
        <f>IF($A153="","",Master_Data!G153)</f>
        <v/>
      </c>
      <c r="L153" s="20">
        <f>IF($A153="","",Master_Data!G154)</f>
        <v/>
      </c>
      <c r="M153" s="20">
        <f>IF(AND(ISNUMBER(K153),ISNUMBER(L153)),L153-K153,"")</f>
        <v/>
      </c>
      <c r="N153" s="19">
        <f>IF(G153="","",IF(AND(ISNUMBER(K153),ISNUMBER(L153)),IF(OR(F153="GOC",F153="OWC",F153="GWC",F153="OWC_TRANSITION",F153="GOC_TRANSITION"),IF(L153&gt;=K153,"Supports","Conflicts"),"N/A"),"No Sw"))</f>
        <v/>
      </c>
      <c r="O153" s="20">
        <f>IF(G153="","",Settings!$B$6*IF(OR(F153="GOC",F153="OWC",F153="GWC"),1,0.7)+Settings!$B$7*IF(N153="Supports",1,IF(N153="Conflicts",0,0.5))+Settings!$B$8*IF(AND(Master_Data!R153&lt;&gt;"",Master_Data!S153&lt;&gt;"",Master_Data!R154&lt;&gt;"",Master_Data!S154&lt;&gt;""),1,0.5))</f>
        <v/>
      </c>
      <c r="P153" s="19">
        <f>IF(G153="","",IF(N153="Conflicts","SW_CONFLICT",IF(OR(F153="GOC",F153="OWC",F153="GWC"),"DIRECT_FLUID_TRANSITION","TRANSITION_INTERVAL")))</f>
        <v/>
      </c>
      <c r="Q153" s="19">
        <f>IF(G153="","",IF(N153="Conflicts","Investigate contact interpretation / saturation behaviour",IF(OR(F153="OWC",F153="GOC",F153="GWC"),"Candidate contact — validate with logs, pressure and dynamic evidence","Transition zone — do not force to a sharp contact")))</f>
        <v/>
      </c>
    </row>
    <row r="154">
      <c r="A154" s="19">
        <f>IF(AND(Master_Data!A154&lt;&gt;"",Master_Data!A154=Master_Data!A155),Master_Data!A154,"")</f>
        <v/>
      </c>
      <c r="B154" s="19">
        <f>IF($A154="","",Master_Data!B154)</f>
        <v/>
      </c>
      <c r="C154" s="19">
        <f>IF($A154="","",Master_Data!B155)</f>
        <v/>
      </c>
      <c r="D154" s="19">
        <f>IF($A154="","",Master_Data!Q154)</f>
        <v/>
      </c>
      <c r="E154" s="19">
        <f>IF($A154="","",Master_Data!Q155)</f>
        <v/>
      </c>
      <c r="F154" s="19">
        <f>IF($A154="","",IF(AND(D154="GAS",E154="OIL"),"GOC",IF(AND(D154="OIL",E154="WATER"),"OWC",IF(AND(D154="GAS",E154="WATER"),"GWC",IF(AND(D154="OIL",E154="OIL_WATER"),"OWC_TRANSITION",IF(AND(D154="OIL_WATER",E154="WATER"),"OWC_TRANSITION",IF(AND(D154="GAS",E154="GAS_WATER"),"GOC_TRANSITION",IF(AND(D154="GAS_WATER",E154="OIL"),"GOC_TRANSITION",IF(OR(D154="OIL_WATER",D154="GAS_WATER"),"TRANSITION_INTERVAL","")))))))))</f>
        <v/>
      </c>
      <c r="G154" s="20">
        <f>IF(OR(F154="",Master_Data!R154="",Master_Data!S154=""),"",IF(RIGHT(F154,10)="TRANSITION",AVERAGE(Master_Data!R154:Master_Data!S154),AVERAGE(Master_Data!S154,Master_Data!R155)))</f>
        <v/>
      </c>
      <c r="H154" s="20">
        <f>IF(G154="","",MAX(Settings!$B$4,Settings!$B$5*AVERAGE(IF(Master_Data!O154&lt;&gt;"",Master_Data!O154,Master_Data!H154),IF(Master_Data!O155&lt;&gt;"",Master_Data!O155,Master_Data!H155))))</f>
        <v/>
      </c>
      <c r="I154" s="20">
        <f>IF(G154="","",G154-H154)</f>
        <v/>
      </c>
      <c r="J154" s="20">
        <f>IF(G154="","",G154+H154)</f>
        <v/>
      </c>
      <c r="K154" s="20">
        <f>IF($A154="","",Master_Data!G154)</f>
        <v/>
      </c>
      <c r="L154" s="20">
        <f>IF($A154="","",Master_Data!G155)</f>
        <v/>
      </c>
      <c r="M154" s="20">
        <f>IF(AND(ISNUMBER(K154),ISNUMBER(L154)),L154-K154,"")</f>
        <v/>
      </c>
      <c r="N154" s="19">
        <f>IF(G154="","",IF(AND(ISNUMBER(K154),ISNUMBER(L154)),IF(OR(F154="GOC",F154="OWC",F154="GWC",F154="OWC_TRANSITION",F154="GOC_TRANSITION"),IF(L154&gt;=K154,"Supports","Conflicts"),"N/A"),"No Sw"))</f>
        <v/>
      </c>
      <c r="O154" s="20">
        <f>IF(G154="","",Settings!$B$6*IF(OR(F154="GOC",F154="OWC",F154="GWC"),1,0.7)+Settings!$B$7*IF(N154="Supports",1,IF(N154="Conflicts",0,0.5))+Settings!$B$8*IF(AND(Master_Data!R154&lt;&gt;"",Master_Data!S154&lt;&gt;"",Master_Data!R155&lt;&gt;"",Master_Data!S155&lt;&gt;""),1,0.5))</f>
        <v/>
      </c>
      <c r="P154" s="19">
        <f>IF(G154="","",IF(N154="Conflicts","SW_CONFLICT",IF(OR(F154="GOC",F154="OWC",F154="GWC"),"DIRECT_FLUID_TRANSITION","TRANSITION_INTERVAL")))</f>
        <v/>
      </c>
      <c r="Q154" s="19">
        <f>IF(G154="","",IF(N154="Conflicts","Investigate contact interpretation / saturation behaviour",IF(OR(F154="OWC",F154="GOC",F154="GWC"),"Candidate contact — validate with logs, pressure and dynamic evidence","Transition zone — do not force to a sharp contact")))</f>
        <v/>
      </c>
    </row>
    <row r="155">
      <c r="A155" s="19">
        <f>IF(AND(Master_Data!A155&lt;&gt;"",Master_Data!A155=Master_Data!A156),Master_Data!A155,"")</f>
        <v/>
      </c>
      <c r="B155" s="19">
        <f>IF($A155="","",Master_Data!B155)</f>
        <v/>
      </c>
      <c r="C155" s="19">
        <f>IF($A155="","",Master_Data!B156)</f>
        <v/>
      </c>
      <c r="D155" s="19">
        <f>IF($A155="","",Master_Data!Q155)</f>
        <v/>
      </c>
      <c r="E155" s="19">
        <f>IF($A155="","",Master_Data!Q156)</f>
        <v/>
      </c>
      <c r="F155" s="19">
        <f>IF($A155="","",IF(AND(D155="GAS",E155="OIL"),"GOC",IF(AND(D155="OIL",E155="WATER"),"OWC",IF(AND(D155="GAS",E155="WATER"),"GWC",IF(AND(D155="OIL",E155="OIL_WATER"),"OWC_TRANSITION",IF(AND(D155="OIL_WATER",E155="WATER"),"OWC_TRANSITION",IF(AND(D155="GAS",E155="GAS_WATER"),"GOC_TRANSITION",IF(AND(D155="GAS_WATER",E155="OIL"),"GOC_TRANSITION",IF(OR(D155="OIL_WATER",D155="GAS_WATER"),"TRANSITION_INTERVAL","")))))))))</f>
        <v/>
      </c>
      <c r="G155" s="20">
        <f>IF(OR(F155="",Master_Data!R155="",Master_Data!S155=""),"",IF(RIGHT(F155,10)="TRANSITION",AVERAGE(Master_Data!R155:Master_Data!S155),AVERAGE(Master_Data!S155,Master_Data!R156)))</f>
        <v/>
      </c>
      <c r="H155" s="20">
        <f>IF(G155="","",MAX(Settings!$B$4,Settings!$B$5*AVERAGE(IF(Master_Data!O155&lt;&gt;"",Master_Data!O155,Master_Data!H155),IF(Master_Data!O156&lt;&gt;"",Master_Data!O156,Master_Data!H156))))</f>
        <v/>
      </c>
      <c r="I155" s="20">
        <f>IF(G155="","",G155-H155)</f>
        <v/>
      </c>
      <c r="J155" s="20">
        <f>IF(G155="","",G155+H155)</f>
        <v/>
      </c>
      <c r="K155" s="20">
        <f>IF($A155="","",Master_Data!G155)</f>
        <v/>
      </c>
      <c r="L155" s="20">
        <f>IF($A155="","",Master_Data!G156)</f>
        <v/>
      </c>
      <c r="M155" s="20">
        <f>IF(AND(ISNUMBER(K155),ISNUMBER(L155)),L155-K155,"")</f>
        <v/>
      </c>
      <c r="N155" s="19">
        <f>IF(G155="","",IF(AND(ISNUMBER(K155),ISNUMBER(L155)),IF(OR(F155="GOC",F155="OWC",F155="GWC",F155="OWC_TRANSITION",F155="GOC_TRANSITION"),IF(L155&gt;=K155,"Supports","Conflicts"),"N/A"),"No Sw"))</f>
        <v/>
      </c>
      <c r="O155" s="20">
        <f>IF(G155="","",Settings!$B$6*IF(OR(F155="GOC",F155="OWC",F155="GWC"),1,0.7)+Settings!$B$7*IF(N155="Supports",1,IF(N155="Conflicts",0,0.5))+Settings!$B$8*IF(AND(Master_Data!R155&lt;&gt;"",Master_Data!S155&lt;&gt;"",Master_Data!R156&lt;&gt;"",Master_Data!S156&lt;&gt;""),1,0.5))</f>
        <v/>
      </c>
      <c r="P155" s="19">
        <f>IF(G155="","",IF(N155="Conflicts","SW_CONFLICT",IF(OR(F155="GOC",F155="OWC",F155="GWC"),"DIRECT_FLUID_TRANSITION","TRANSITION_INTERVAL")))</f>
        <v/>
      </c>
      <c r="Q155" s="19">
        <f>IF(G155="","",IF(N155="Conflicts","Investigate contact interpretation / saturation behaviour",IF(OR(F155="OWC",F155="GOC",F155="GWC"),"Candidate contact — validate with logs, pressure and dynamic evidence","Transition zone — do not force to a sharp contact")))</f>
        <v/>
      </c>
    </row>
    <row r="156">
      <c r="A156" s="19">
        <f>IF(AND(Master_Data!A156&lt;&gt;"",Master_Data!A156=Master_Data!A157),Master_Data!A156,"")</f>
        <v/>
      </c>
      <c r="B156" s="19">
        <f>IF($A156="","",Master_Data!B156)</f>
        <v/>
      </c>
      <c r="C156" s="19">
        <f>IF($A156="","",Master_Data!B157)</f>
        <v/>
      </c>
      <c r="D156" s="19">
        <f>IF($A156="","",Master_Data!Q156)</f>
        <v/>
      </c>
      <c r="E156" s="19">
        <f>IF($A156="","",Master_Data!Q157)</f>
        <v/>
      </c>
      <c r="F156" s="19">
        <f>IF($A156="","",IF(AND(D156="GAS",E156="OIL"),"GOC",IF(AND(D156="OIL",E156="WATER"),"OWC",IF(AND(D156="GAS",E156="WATER"),"GWC",IF(AND(D156="OIL",E156="OIL_WATER"),"OWC_TRANSITION",IF(AND(D156="OIL_WATER",E156="WATER"),"OWC_TRANSITION",IF(AND(D156="GAS",E156="GAS_WATER"),"GOC_TRANSITION",IF(AND(D156="GAS_WATER",E156="OIL"),"GOC_TRANSITION",IF(OR(D156="OIL_WATER",D156="GAS_WATER"),"TRANSITION_INTERVAL","")))))))))</f>
        <v/>
      </c>
      <c r="G156" s="20">
        <f>IF(OR(F156="",Master_Data!R156="",Master_Data!S156=""),"",IF(RIGHT(F156,10)="TRANSITION",AVERAGE(Master_Data!R156:Master_Data!S156),AVERAGE(Master_Data!S156,Master_Data!R157)))</f>
        <v/>
      </c>
      <c r="H156" s="20">
        <f>IF(G156="","",MAX(Settings!$B$4,Settings!$B$5*AVERAGE(IF(Master_Data!O156&lt;&gt;"",Master_Data!O156,Master_Data!H156),IF(Master_Data!O157&lt;&gt;"",Master_Data!O157,Master_Data!H157))))</f>
        <v/>
      </c>
      <c r="I156" s="20">
        <f>IF(G156="","",G156-H156)</f>
        <v/>
      </c>
      <c r="J156" s="20">
        <f>IF(G156="","",G156+H156)</f>
        <v/>
      </c>
      <c r="K156" s="20">
        <f>IF($A156="","",Master_Data!G156)</f>
        <v/>
      </c>
      <c r="L156" s="20">
        <f>IF($A156="","",Master_Data!G157)</f>
        <v/>
      </c>
      <c r="M156" s="20">
        <f>IF(AND(ISNUMBER(K156),ISNUMBER(L156)),L156-K156,"")</f>
        <v/>
      </c>
      <c r="N156" s="19">
        <f>IF(G156="","",IF(AND(ISNUMBER(K156),ISNUMBER(L156)),IF(OR(F156="GOC",F156="OWC",F156="GWC",F156="OWC_TRANSITION",F156="GOC_TRANSITION"),IF(L156&gt;=K156,"Supports","Conflicts"),"N/A"),"No Sw"))</f>
        <v/>
      </c>
      <c r="O156" s="20">
        <f>IF(G156="","",Settings!$B$6*IF(OR(F156="GOC",F156="OWC",F156="GWC"),1,0.7)+Settings!$B$7*IF(N156="Supports",1,IF(N156="Conflicts",0,0.5))+Settings!$B$8*IF(AND(Master_Data!R156&lt;&gt;"",Master_Data!S156&lt;&gt;"",Master_Data!R157&lt;&gt;"",Master_Data!S157&lt;&gt;""),1,0.5))</f>
        <v/>
      </c>
      <c r="P156" s="19">
        <f>IF(G156="","",IF(N156="Conflicts","SW_CONFLICT",IF(OR(F156="GOC",F156="OWC",F156="GWC"),"DIRECT_FLUID_TRANSITION","TRANSITION_INTERVAL")))</f>
        <v/>
      </c>
      <c r="Q156" s="19">
        <f>IF(G156="","",IF(N156="Conflicts","Investigate contact interpretation / saturation behaviour",IF(OR(F156="OWC",F156="GOC",F156="GWC"),"Candidate contact — validate with logs, pressure and dynamic evidence","Transition zone — do not force to a sharp contact")))</f>
        <v/>
      </c>
    </row>
    <row r="157">
      <c r="A157" s="19">
        <f>IF(AND(Master_Data!A157&lt;&gt;"",Master_Data!A157=Master_Data!A158),Master_Data!A157,"")</f>
        <v/>
      </c>
      <c r="B157" s="19">
        <f>IF($A157="","",Master_Data!B157)</f>
        <v/>
      </c>
      <c r="C157" s="19">
        <f>IF($A157="","",Master_Data!B158)</f>
        <v/>
      </c>
      <c r="D157" s="19">
        <f>IF($A157="","",Master_Data!Q157)</f>
        <v/>
      </c>
      <c r="E157" s="19">
        <f>IF($A157="","",Master_Data!Q158)</f>
        <v/>
      </c>
      <c r="F157" s="19">
        <f>IF($A157="","",IF(AND(D157="GAS",E157="OIL"),"GOC",IF(AND(D157="OIL",E157="WATER"),"OWC",IF(AND(D157="GAS",E157="WATER"),"GWC",IF(AND(D157="OIL",E157="OIL_WATER"),"OWC_TRANSITION",IF(AND(D157="OIL_WATER",E157="WATER"),"OWC_TRANSITION",IF(AND(D157="GAS",E157="GAS_WATER"),"GOC_TRANSITION",IF(AND(D157="GAS_WATER",E157="OIL"),"GOC_TRANSITION",IF(OR(D157="OIL_WATER",D157="GAS_WATER"),"TRANSITION_INTERVAL","")))))))))</f>
        <v/>
      </c>
      <c r="G157" s="20">
        <f>IF(OR(F157="",Master_Data!R157="",Master_Data!S157=""),"",IF(RIGHT(F157,10)="TRANSITION",AVERAGE(Master_Data!R157:Master_Data!S157),AVERAGE(Master_Data!S157,Master_Data!R158)))</f>
        <v/>
      </c>
      <c r="H157" s="20">
        <f>IF(G157="","",MAX(Settings!$B$4,Settings!$B$5*AVERAGE(IF(Master_Data!O157&lt;&gt;"",Master_Data!O157,Master_Data!H157),IF(Master_Data!O158&lt;&gt;"",Master_Data!O158,Master_Data!H158))))</f>
        <v/>
      </c>
      <c r="I157" s="20">
        <f>IF(G157="","",G157-H157)</f>
        <v/>
      </c>
      <c r="J157" s="20">
        <f>IF(G157="","",G157+H157)</f>
        <v/>
      </c>
      <c r="K157" s="20">
        <f>IF($A157="","",Master_Data!G157)</f>
        <v/>
      </c>
      <c r="L157" s="20">
        <f>IF($A157="","",Master_Data!G158)</f>
        <v/>
      </c>
      <c r="M157" s="20">
        <f>IF(AND(ISNUMBER(K157),ISNUMBER(L157)),L157-K157,"")</f>
        <v/>
      </c>
      <c r="N157" s="19">
        <f>IF(G157="","",IF(AND(ISNUMBER(K157),ISNUMBER(L157)),IF(OR(F157="GOC",F157="OWC",F157="GWC",F157="OWC_TRANSITION",F157="GOC_TRANSITION"),IF(L157&gt;=K157,"Supports","Conflicts"),"N/A"),"No Sw"))</f>
        <v/>
      </c>
      <c r="O157" s="20">
        <f>IF(G157="","",Settings!$B$6*IF(OR(F157="GOC",F157="OWC",F157="GWC"),1,0.7)+Settings!$B$7*IF(N157="Supports",1,IF(N157="Conflicts",0,0.5))+Settings!$B$8*IF(AND(Master_Data!R157&lt;&gt;"",Master_Data!S157&lt;&gt;"",Master_Data!R158&lt;&gt;"",Master_Data!S158&lt;&gt;""),1,0.5))</f>
        <v/>
      </c>
      <c r="P157" s="19">
        <f>IF(G157="","",IF(N157="Conflicts","SW_CONFLICT",IF(OR(F157="GOC",F157="OWC",F157="GWC"),"DIRECT_FLUID_TRANSITION","TRANSITION_INTERVAL")))</f>
        <v/>
      </c>
      <c r="Q157" s="19">
        <f>IF(G157="","",IF(N157="Conflicts","Investigate contact interpretation / saturation behaviour",IF(OR(F157="OWC",F157="GOC",F157="GWC"),"Candidate contact — validate with logs, pressure and dynamic evidence","Transition zone — do not force to a sharp contact")))</f>
        <v/>
      </c>
    </row>
    <row r="158">
      <c r="A158" s="19">
        <f>IF(AND(Master_Data!A158&lt;&gt;"",Master_Data!A158=Master_Data!A159),Master_Data!A158,"")</f>
        <v/>
      </c>
      <c r="B158" s="19">
        <f>IF($A158="","",Master_Data!B158)</f>
        <v/>
      </c>
      <c r="C158" s="19">
        <f>IF($A158="","",Master_Data!B159)</f>
        <v/>
      </c>
      <c r="D158" s="19">
        <f>IF($A158="","",Master_Data!Q158)</f>
        <v/>
      </c>
      <c r="E158" s="19">
        <f>IF($A158="","",Master_Data!Q159)</f>
        <v/>
      </c>
      <c r="F158" s="19">
        <f>IF($A158="","",IF(AND(D158="GAS",E158="OIL"),"GOC",IF(AND(D158="OIL",E158="WATER"),"OWC",IF(AND(D158="GAS",E158="WATER"),"GWC",IF(AND(D158="OIL",E158="OIL_WATER"),"OWC_TRANSITION",IF(AND(D158="OIL_WATER",E158="WATER"),"OWC_TRANSITION",IF(AND(D158="GAS",E158="GAS_WATER"),"GOC_TRANSITION",IF(AND(D158="GAS_WATER",E158="OIL"),"GOC_TRANSITION",IF(OR(D158="OIL_WATER",D158="GAS_WATER"),"TRANSITION_INTERVAL","")))))))))</f>
        <v/>
      </c>
      <c r="G158" s="20">
        <f>IF(OR(F158="",Master_Data!R158="",Master_Data!S158=""),"",IF(RIGHT(F158,10)="TRANSITION",AVERAGE(Master_Data!R158:Master_Data!S158),AVERAGE(Master_Data!S158,Master_Data!R159)))</f>
        <v/>
      </c>
      <c r="H158" s="20">
        <f>IF(G158="","",MAX(Settings!$B$4,Settings!$B$5*AVERAGE(IF(Master_Data!O158&lt;&gt;"",Master_Data!O158,Master_Data!H158),IF(Master_Data!O159&lt;&gt;"",Master_Data!O159,Master_Data!H159))))</f>
        <v/>
      </c>
      <c r="I158" s="20">
        <f>IF(G158="","",G158-H158)</f>
        <v/>
      </c>
      <c r="J158" s="20">
        <f>IF(G158="","",G158+H158)</f>
        <v/>
      </c>
      <c r="K158" s="20">
        <f>IF($A158="","",Master_Data!G158)</f>
        <v/>
      </c>
      <c r="L158" s="20">
        <f>IF($A158="","",Master_Data!G159)</f>
        <v/>
      </c>
      <c r="M158" s="20">
        <f>IF(AND(ISNUMBER(K158),ISNUMBER(L158)),L158-K158,"")</f>
        <v/>
      </c>
      <c r="N158" s="19">
        <f>IF(G158="","",IF(AND(ISNUMBER(K158),ISNUMBER(L158)),IF(OR(F158="GOC",F158="OWC",F158="GWC",F158="OWC_TRANSITION",F158="GOC_TRANSITION"),IF(L158&gt;=K158,"Supports","Conflicts"),"N/A"),"No Sw"))</f>
        <v/>
      </c>
      <c r="O158" s="20">
        <f>IF(G158="","",Settings!$B$6*IF(OR(F158="GOC",F158="OWC",F158="GWC"),1,0.7)+Settings!$B$7*IF(N158="Supports",1,IF(N158="Conflicts",0,0.5))+Settings!$B$8*IF(AND(Master_Data!R158&lt;&gt;"",Master_Data!S158&lt;&gt;"",Master_Data!R159&lt;&gt;"",Master_Data!S159&lt;&gt;""),1,0.5))</f>
        <v/>
      </c>
      <c r="P158" s="19">
        <f>IF(G158="","",IF(N158="Conflicts","SW_CONFLICT",IF(OR(F158="GOC",F158="OWC",F158="GWC"),"DIRECT_FLUID_TRANSITION","TRANSITION_INTERVAL")))</f>
        <v/>
      </c>
      <c r="Q158" s="19">
        <f>IF(G158="","",IF(N158="Conflicts","Investigate contact interpretation / saturation behaviour",IF(OR(F158="OWC",F158="GOC",F158="GWC"),"Candidate contact — validate with logs, pressure and dynamic evidence","Transition zone — do not force to a sharp contact")))</f>
        <v/>
      </c>
    </row>
    <row r="159">
      <c r="A159" s="19">
        <f>IF(AND(Master_Data!A159&lt;&gt;"",Master_Data!A159=Master_Data!A160),Master_Data!A159,"")</f>
        <v/>
      </c>
      <c r="B159" s="19">
        <f>IF($A159="","",Master_Data!B159)</f>
        <v/>
      </c>
      <c r="C159" s="19">
        <f>IF($A159="","",Master_Data!B160)</f>
        <v/>
      </c>
      <c r="D159" s="19">
        <f>IF($A159="","",Master_Data!Q159)</f>
        <v/>
      </c>
      <c r="E159" s="19">
        <f>IF($A159="","",Master_Data!Q160)</f>
        <v/>
      </c>
      <c r="F159" s="19">
        <f>IF($A159="","",IF(AND(D159="GAS",E159="OIL"),"GOC",IF(AND(D159="OIL",E159="WATER"),"OWC",IF(AND(D159="GAS",E159="WATER"),"GWC",IF(AND(D159="OIL",E159="OIL_WATER"),"OWC_TRANSITION",IF(AND(D159="OIL_WATER",E159="WATER"),"OWC_TRANSITION",IF(AND(D159="GAS",E159="GAS_WATER"),"GOC_TRANSITION",IF(AND(D159="GAS_WATER",E159="OIL"),"GOC_TRANSITION",IF(OR(D159="OIL_WATER",D159="GAS_WATER"),"TRANSITION_INTERVAL","")))))))))</f>
        <v/>
      </c>
      <c r="G159" s="20">
        <f>IF(OR(F159="",Master_Data!R159="",Master_Data!S159=""),"",IF(RIGHT(F159,10)="TRANSITION",AVERAGE(Master_Data!R159:Master_Data!S159),AVERAGE(Master_Data!S159,Master_Data!R160)))</f>
        <v/>
      </c>
      <c r="H159" s="20">
        <f>IF(G159="","",MAX(Settings!$B$4,Settings!$B$5*AVERAGE(IF(Master_Data!O159&lt;&gt;"",Master_Data!O159,Master_Data!H159),IF(Master_Data!O160&lt;&gt;"",Master_Data!O160,Master_Data!H160))))</f>
        <v/>
      </c>
      <c r="I159" s="20">
        <f>IF(G159="","",G159-H159)</f>
        <v/>
      </c>
      <c r="J159" s="20">
        <f>IF(G159="","",G159+H159)</f>
        <v/>
      </c>
      <c r="K159" s="20">
        <f>IF($A159="","",Master_Data!G159)</f>
        <v/>
      </c>
      <c r="L159" s="20">
        <f>IF($A159="","",Master_Data!G160)</f>
        <v/>
      </c>
      <c r="M159" s="20">
        <f>IF(AND(ISNUMBER(K159),ISNUMBER(L159)),L159-K159,"")</f>
        <v/>
      </c>
      <c r="N159" s="19">
        <f>IF(G159="","",IF(AND(ISNUMBER(K159),ISNUMBER(L159)),IF(OR(F159="GOC",F159="OWC",F159="GWC",F159="OWC_TRANSITION",F159="GOC_TRANSITION"),IF(L159&gt;=K159,"Supports","Conflicts"),"N/A"),"No Sw"))</f>
        <v/>
      </c>
      <c r="O159" s="20">
        <f>IF(G159="","",Settings!$B$6*IF(OR(F159="GOC",F159="OWC",F159="GWC"),1,0.7)+Settings!$B$7*IF(N159="Supports",1,IF(N159="Conflicts",0,0.5))+Settings!$B$8*IF(AND(Master_Data!R159&lt;&gt;"",Master_Data!S159&lt;&gt;"",Master_Data!R160&lt;&gt;"",Master_Data!S160&lt;&gt;""),1,0.5))</f>
        <v/>
      </c>
      <c r="P159" s="19">
        <f>IF(G159="","",IF(N159="Conflicts","SW_CONFLICT",IF(OR(F159="GOC",F159="OWC",F159="GWC"),"DIRECT_FLUID_TRANSITION","TRANSITION_INTERVAL")))</f>
        <v/>
      </c>
      <c r="Q159" s="19">
        <f>IF(G159="","",IF(N159="Conflicts","Investigate contact interpretation / saturation behaviour",IF(OR(F159="OWC",F159="GOC",F159="GWC"),"Candidate contact — validate with logs, pressure and dynamic evidence","Transition zone — do not force to a sharp contact")))</f>
        <v/>
      </c>
    </row>
    <row r="160">
      <c r="A160" s="19">
        <f>IF(AND(Master_Data!A160&lt;&gt;"",Master_Data!A160=Master_Data!A161),Master_Data!A160,"")</f>
        <v/>
      </c>
      <c r="B160" s="19">
        <f>IF($A160="","",Master_Data!B160)</f>
        <v/>
      </c>
      <c r="C160" s="19">
        <f>IF($A160="","",Master_Data!B161)</f>
        <v/>
      </c>
      <c r="D160" s="19">
        <f>IF($A160="","",Master_Data!Q160)</f>
        <v/>
      </c>
      <c r="E160" s="19">
        <f>IF($A160="","",Master_Data!Q161)</f>
        <v/>
      </c>
      <c r="F160" s="19">
        <f>IF($A160="","",IF(AND(D160="GAS",E160="OIL"),"GOC",IF(AND(D160="OIL",E160="WATER"),"OWC",IF(AND(D160="GAS",E160="WATER"),"GWC",IF(AND(D160="OIL",E160="OIL_WATER"),"OWC_TRANSITION",IF(AND(D160="OIL_WATER",E160="WATER"),"OWC_TRANSITION",IF(AND(D160="GAS",E160="GAS_WATER"),"GOC_TRANSITION",IF(AND(D160="GAS_WATER",E160="OIL"),"GOC_TRANSITION",IF(OR(D160="OIL_WATER",D160="GAS_WATER"),"TRANSITION_INTERVAL","")))))))))</f>
        <v/>
      </c>
      <c r="G160" s="20">
        <f>IF(OR(F160="",Master_Data!R160="",Master_Data!S160=""),"",IF(RIGHT(F160,10)="TRANSITION",AVERAGE(Master_Data!R160:Master_Data!S160),AVERAGE(Master_Data!S160,Master_Data!R161)))</f>
        <v/>
      </c>
      <c r="H160" s="20">
        <f>IF(G160="","",MAX(Settings!$B$4,Settings!$B$5*AVERAGE(IF(Master_Data!O160&lt;&gt;"",Master_Data!O160,Master_Data!H160),IF(Master_Data!O161&lt;&gt;"",Master_Data!O161,Master_Data!H161))))</f>
        <v/>
      </c>
      <c r="I160" s="20">
        <f>IF(G160="","",G160-H160)</f>
        <v/>
      </c>
      <c r="J160" s="20">
        <f>IF(G160="","",G160+H160)</f>
        <v/>
      </c>
      <c r="K160" s="20">
        <f>IF($A160="","",Master_Data!G160)</f>
        <v/>
      </c>
      <c r="L160" s="20">
        <f>IF($A160="","",Master_Data!G161)</f>
        <v/>
      </c>
      <c r="M160" s="20">
        <f>IF(AND(ISNUMBER(K160),ISNUMBER(L160)),L160-K160,"")</f>
        <v/>
      </c>
      <c r="N160" s="19">
        <f>IF(G160="","",IF(AND(ISNUMBER(K160),ISNUMBER(L160)),IF(OR(F160="GOC",F160="OWC",F160="GWC",F160="OWC_TRANSITION",F160="GOC_TRANSITION"),IF(L160&gt;=K160,"Supports","Conflicts"),"N/A"),"No Sw"))</f>
        <v/>
      </c>
      <c r="O160" s="20">
        <f>IF(G160="","",Settings!$B$6*IF(OR(F160="GOC",F160="OWC",F160="GWC"),1,0.7)+Settings!$B$7*IF(N160="Supports",1,IF(N160="Conflicts",0,0.5))+Settings!$B$8*IF(AND(Master_Data!R160&lt;&gt;"",Master_Data!S160&lt;&gt;"",Master_Data!R161&lt;&gt;"",Master_Data!S161&lt;&gt;""),1,0.5))</f>
        <v/>
      </c>
      <c r="P160" s="19">
        <f>IF(G160="","",IF(N160="Conflicts","SW_CONFLICT",IF(OR(F160="GOC",F160="OWC",F160="GWC"),"DIRECT_FLUID_TRANSITION","TRANSITION_INTERVAL")))</f>
        <v/>
      </c>
      <c r="Q160" s="19">
        <f>IF(G160="","",IF(N160="Conflicts","Investigate contact interpretation / saturation behaviour",IF(OR(F160="OWC",F160="GOC",F160="GWC"),"Candidate contact — validate with logs, pressure and dynamic evidence","Transition zone — do not force to a sharp contact")))</f>
        <v/>
      </c>
    </row>
    <row r="161">
      <c r="A161" s="19">
        <f>IF(AND(Master_Data!A161&lt;&gt;"",Master_Data!A161=Master_Data!A162),Master_Data!A161,"")</f>
        <v/>
      </c>
      <c r="B161" s="19">
        <f>IF($A161="","",Master_Data!B161)</f>
        <v/>
      </c>
      <c r="C161" s="19">
        <f>IF($A161="","",Master_Data!B162)</f>
        <v/>
      </c>
      <c r="D161" s="19">
        <f>IF($A161="","",Master_Data!Q161)</f>
        <v/>
      </c>
      <c r="E161" s="19">
        <f>IF($A161="","",Master_Data!Q162)</f>
        <v/>
      </c>
      <c r="F161" s="19">
        <f>IF($A161="","",IF(AND(D161="GAS",E161="OIL"),"GOC",IF(AND(D161="OIL",E161="WATER"),"OWC",IF(AND(D161="GAS",E161="WATER"),"GWC",IF(AND(D161="OIL",E161="OIL_WATER"),"OWC_TRANSITION",IF(AND(D161="OIL_WATER",E161="WATER"),"OWC_TRANSITION",IF(AND(D161="GAS",E161="GAS_WATER"),"GOC_TRANSITION",IF(AND(D161="GAS_WATER",E161="OIL"),"GOC_TRANSITION",IF(OR(D161="OIL_WATER",D161="GAS_WATER"),"TRANSITION_INTERVAL","")))))))))</f>
        <v/>
      </c>
      <c r="G161" s="20">
        <f>IF(OR(F161="",Master_Data!R161="",Master_Data!S161=""),"",IF(RIGHT(F161,10)="TRANSITION",AVERAGE(Master_Data!R161:Master_Data!S161),AVERAGE(Master_Data!S161,Master_Data!R162)))</f>
        <v/>
      </c>
      <c r="H161" s="20">
        <f>IF(G161="","",MAX(Settings!$B$4,Settings!$B$5*AVERAGE(IF(Master_Data!O161&lt;&gt;"",Master_Data!O161,Master_Data!H161),IF(Master_Data!O162&lt;&gt;"",Master_Data!O162,Master_Data!H162))))</f>
        <v/>
      </c>
      <c r="I161" s="20">
        <f>IF(G161="","",G161-H161)</f>
        <v/>
      </c>
      <c r="J161" s="20">
        <f>IF(G161="","",G161+H161)</f>
        <v/>
      </c>
      <c r="K161" s="20">
        <f>IF($A161="","",Master_Data!G161)</f>
        <v/>
      </c>
      <c r="L161" s="20">
        <f>IF($A161="","",Master_Data!G162)</f>
        <v/>
      </c>
      <c r="M161" s="20">
        <f>IF(AND(ISNUMBER(K161),ISNUMBER(L161)),L161-K161,"")</f>
        <v/>
      </c>
      <c r="N161" s="19">
        <f>IF(G161="","",IF(AND(ISNUMBER(K161),ISNUMBER(L161)),IF(OR(F161="GOC",F161="OWC",F161="GWC",F161="OWC_TRANSITION",F161="GOC_TRANSITION"),IF(L161&gt;=K161,"Supports","Conflicts"),"N/A"),"No Sw"))</f>
        <v/>
      </c>
      <c r="O161" s="20">
        <f>IF(G161="","",Settings!$B$6*IF(OR(F161="GOC",F161="OWC",F161="GWC"),1,0.7)+Settings!$B$7*IF(N161="Supports",1,IF(N161="Conflicts",0,0.5))+Settings!$B$8*IF(AND(Master_Data!R161&lt;&gt;"",Master_Data!S161&lt;&gt;"",Master_Data!R162&lt;&gt;"",Master_Data!S162&lt;&gt;""),1,0.5))</f>
        <v/>
      </c>
      <c r="P161" s="19">
        <f>IF(G161="","",IF(N161="Conflicts","SW_CONFLICT",IF(OR(F161="GOC",F161="OWC",F161="GWC"),"DIRECT_FLUID_TRANSITION","TRANSITION_INTERVAL")))</f>
        <v/>
      </c>
      <c r="Q161" s="19">
        <f>IF(G161="","",IF(N161="Conflicts","Investigate contact interpretation / saturation behaviour",IF(OR(F161="OWC",F161="GOC",F161="GWC"),"Candidate contact — validate with logs, pressure and dynamic evidence","Transition zone — do not force to a sharp contact")))</f>
        <v/>
      </c>
    </row>
    <row r="162">
      <c r="A162" s="19">
        <f>IF(AND(Master_Data!A162&lt;&gt;"",Master_Data!A162=Master_Data!A163),Master_Data!A162,"")</f>
        <v/>
      </c>
      <c r="B162" s="19">
        <f>IF($A162="","",Master_Data!B162)</f>
        <v/>
      </c>
      <c r="C162" s="19">
        <f>IF($A162="","",Master_Data!B163)</f>
        <v/>
      </c>
      <c r="D162" s="19">
        <f>IF($A162="","",Master_Data!Q162)</f>
        <v/>
      </c>
      <c r="E162" s="19">
        <f>IF($A162="","",Master_Data!Q163)</f>
        <v/>
      </c>
      <c r="F162" s="19">
        <f>IF($A162="","",IF(AND(D162="GAS",E162="OIL"),"GOC",IF(AND(D162="OIL",E162="WATER"),"OWC",IF(AND(D162="GAS",E162="WATER"),"GWC",IF(AND(D162="OIL",E162="OIL_WATER"),"OWC_TRANSITION",IF(AND(D162="OIL_WATER",E162="WATER"),"OWC_TRANSITION",IF(AND(D162="GAS",E162="GAS_WATER"),"GOC_TRANSITION",IF(AND(D162="GAS_WATER",E162="OIL"),"GOC_TRANSITION",IF(OR(D162="OIL_WATER",D162="GAS_WATER"),"TRANSITION_INTERVAL","")))))))))</f>
        <v/>
      </c>
      <c r="G162" s="20">
        <f>IF(OR(F162="",Master_Data!R162="",Master_Data!S162=""),"",IF(RIGHT(F162,10)="TRANSITION",AVERAGE(Master_Data!R162:Master_Data!S162),AVERAGE(Master_Data!S162,Master_Data!R163)))</f>
        <v/>
      </c>
      <c r="H162" s="20">
        <f>IF(G162="","",MAX(Settings!$B$4,Settings!$B$5*AVERAGE(IF(Master_Data!O162&lt;&gt;"",Master_Data!O162,Master_Data!H162),IF(Master_Data!O163&lt;&gt;"",Master_Data!O163,Master_Data!H163))))</f>
        <v/>
      </c>
      <c r="I162" s="20">
        <f>IF(G162="","",G162-H162)</f>
        <v/>
      </c>
      <c r="J162" s="20">
        <f>IF(G162="","",G162+H162)</f>
        <v/>
      </c>
      <c r="K162" s="20">
        <f>IF($A162="","",Master_Data!G162)</f>
        <v/>
      </c>
      <c r="L162" s="20">
        <f>IF($A162="","",Master_Data!G163)</f>
        <v/>
      </c>
      <c r="M162" s="20">
        <f>IF(AND(ISNUMBER(K162),ISNUMBER(L162)),L162-K162,"")</f>
        <v/>
      </c>
      <c r="N162" s="19">
        <f>IF(G162="","",IF(AND(ISNUMBER(K162),ISNUMBER(L162)),IF(OR(F162="GOC",F162="OWC",F162="GWC",F162="OWC_TRANSITION",F162="GOC_TRANSITION"),IF(L162&gt;=K162,"Supports","Conflicts"),"N/A"),"No Sw"))</f>
        <v/>
      </c>
      <c r="O162" s="20">
        <f>IF(G162="","",Settings!$B$6*IF(OR(F162="GOC",F162="OWC",F162="GWC"),1,0.7)+Settings!$B$7*IF(N162="Supports",1,IF(N162="Conflicts",0,0.5))+Settings!$B$8*IF(AND(Master_Data!R162&lt;&gt;"",Master_Data!S162&lt;&gt;"",Master_Data!R163&lt;&gt;"",Master_Data!S163&lt;&gt;""),1,0.5))</f>
        <v/>
      </c>
      <c r="P162" s="19">
        <f>IF(G162="","",IF(N162="Conflicts","SW_CONFLICT",IF(OR(F162="GOC",F162="OWC",F162="GWC"),"DIRECT_FLUID_TRANSITION","TRANSITION_INTERVAL")))</f>
        <v/>
      </c>
      <c r="Q162" s="19">
        <f>IF(G162="","",IF(N162="Conflicts","Investigate contact interpretation / saturation behaviour",IF(OR(F162="OWC",F162="GOC",F162="GWC"),"Candidate contact — validate with logs, pressure and dynamic evidence","Transition zone — do not force to a sharp contact")))</f>
        <v/>
      </c>
    </row>
    <row r="163">
      <c r="A163" s="19">
        <f>IF(AND(Master_Data!A163&lt;&gt;"",Master_Data!A163=Master_Data!A164),Master_Data!A163,"")</f>
        <v/>
      </c>
      <c r="B163" s="19">
        <f>IF($A163="","",Master_Data!B163)</f>
        <v/>
      </c>
      <c r="C163" s="19">
        <f>IF($A163="","",Master_Data!B164)</f>
        <v/>
      </c>
      <c r="D163" s="19">
        <f>IF($A163="","",Master_Data!Q163)</f>
        <v/>
      </c>
      <c r="E163" s="19">
        <f>IF($A163="","",Master_Data!Q164)</f>
        <v/>
      </c>
      <c r="F163" s="19">
        <f>IF($A163="","",IF(AND(D163="GAS",E163="OIL"),"GOC",IF(AND(D163="OIL",E163="WATER"),"OWC",IF(AND(D163="GAS",E163="WATER"),"GWC",IF(AND(D163="OIL",E163="OIL_WATER"),"OWC_TRANSITION",IF(AND(D163="OIL_WATER",E163="WATER"),"OWC_TRANSITION",IF(AND(D163="GAS",E163="GAS_WATER"),"GOC_TRANSITION",IF(AND(D163="GAS_WATER",E163="OIL"),"GOC_TRANSITION",IF(OR(D163="OIL_WATER",D163="GAS_WATER"),"TRANSITION_INTERVAL","")))))))))</f>
        <v/>
      </c>
      <c r="G163" s="20">
        <f>IF(OR(F163="",Master_Data!R163="",Master_Data!S163=""),"",IF(RIGHT(F163,10)="TRANSITION",AVERAGE(Master_Data!R163:Master_Data!S163),AVERAGE(Master_Data!S163,Master_Data!R164)))</f>
        <v/>
      </c>
      <c r="H163" s="20">
        <f>IF(G163="","",MAX(Settings!$B$4,Settings!$B$5*AVERAGE(IF(Master_Data!O163&lt;&gt;"",Master_Data!O163,Master_Data!H163),IF(Master_Data!O164&lt;&gt;"",Master_Data!O164,Master_Data!H164))))</f>
        <v/>
      </c>
      <c r="I163" s="20">
        <f>IF(G163="","",G163-H163)</f>
        <v/>
      </c>
      <c r="J163" s="20">
        <f>IF(G163="","",G163+H163)</f>
        <v/>
      </c>
      <c r="K163" s="20">
        <f>IF($A163="","",Master_Data!G163)</f>
        <v/>
      </c>
      <c r="L163" s="20">
        <f>IF($A163="","",Master_Data!G164)</f>
        <v/>
      </c>
      <c r="M163" s="20">
        <f>IF(AND(ISNUMBER(K163),ISNUMBER(L163)),L163-K163,"")</f>
        <v/>
      </c>
      <c r="N163" s="19">
        <f>IF(G163="","",IF(AND(ISNUMBER(K163),ISNUMBER(L163)),IF(OR(F163="GOC",F163="OWC",F163="GWC",F163="OWC_TRANSITION",F163="GOC_TRANSITION"),IF(L163&gt;=K163,"Supports","Conflicts"),"N/A"),"No Sw"))</f>
        <v/>
      </c>
      <c r="O163" s="20">
        <f>IF(G163="","",Settings!$B$6*IF(OR(F163="GOC",F163="OWC",F163="GWC"),1,0.7)+Settings!$B$7*IF(N163="Supports",1,IF(N163="Conflicts",0,0.5))+Settings!$B$8*IF(AND(Master_Data!R163&lt;&gt;"",Master_Data!S163&lt;&gt;"",Master_Data!R164&lt;&gt;"",Master_Data!S164&lt;&gt;""),1,0.5))</f>
        <v/>
      </c>
      <c r="P163" s="19">
        <f>IF(G163="","",IF(N163="Conflicts","SW_CONFLICT",IF(OR(F163="GOC",F163="OWC",F163="GWC"),"DIRECT_FLUID_TRANSITION","TRANSITION_INTERVAL")))</f>
        <v/>
      </c>
      <c r="Q163" s="19">
        <f>IF(G163="","",IF(N163="Conflicts","Investigate contact interpretation / saturation behaviour",IF(OR(F163="OWC",F163="GOC",F163="GWC"),"Candidate contact — validate with logs, pressure and dynamic evidence","Transition zone — do not force to a sharp contact")))</f>
        <v/>
      </c>
    </row>
    <row r="164">
      <c r="A164" s="19">
        <f>IF(AND(Master_Data!A164&lt;&gt;"",Master_Data!A164=Master_Data!A165),Master_Data!A164,"")</f>
        <v/>
      </c>
      <c r="B164" s="19">
        <f>IF($A164="","",Master_Data!B164)</f>
        <v/>
      </c>
      <c r="C164" s="19">
        <f>IF($A164="","",Master_Data!B165)</f>
        <v/>
      </c>
      <c r="D164" s="19">
        <f>IF($A164="","",Master_Data!Q164)</f>
        <v/>
      </c>
      <c r="E164" s="19">
        <f>IF($A164="","",Master_Data!Q165)</f>
        <v/>
      </c>
      <c r="F164" s="19">
        <f>IF($A164="","",IF(AND(D164="GAS",E164="OIL"),"GOC",IF(AND(D164="OIL",E164="WATER"),"OWC",IF(AND(D164="GAS",E164="WATER"),"GWC",IF(AND(D164="OIL",E164="OIL_WATER"),"OWC_TRANSITION",IF(AND(D164="OIL_WATER",E164="WATER"),"OWC_TRANSITION",IF(AND(D164="GAS",E164="GAS_WATER"),"GOC_TRANSITION",IF(AND(D164="GAS_WATER",E164="OIL"),"GOC_TRANSITION",IF(OR(D164="OIL_WATER",D164="GAS_WATER"),"TRANSITION_INTERVAL","")))))))))</f>
        <v/>
      </c>
      <c r="G164" s="20">
        <f>IF(OR(F164="",Master_Data!R164="",Master_Data!S164=""),"",IF(RIGHT(F164,10)="TRANSITION",AVERAGE(Master_Data!R164:Master_Data!S164),AVERAGE(Master_Data!S164,Master_Data!R165)))</f>
        <v/>
      </c>
      <c r="H164" s="20">
        <f>IF(G164="","",MAX(Settings!$B$4,Settings!$B$5*AVERAGE(IF(Master_Data!O164&lt;&gt;"",Master_Data!O164,Master_Data!H164),IF(Master_Data!O165&lt;&gt;"",Master_Data!O165,Master_Data!H165))))</f>
        <v/>
      </c>
      <c r="I164" s="20">
        <f>IF(G164="","",G164-H164)</f>
        <v/>
      </c>
      <c r="J164" s="20">
        <f>IF(G164="","",G164+H164)</f>
        <v/>
      </c>
      <c r="K164" s="20">
        <f>IF($A164="","",Master_Data!G164)</f>
        <v/>
      </c>
      <c r="L164" s="20">
        <f>IF($A164="","",Master_Data!G165)</f>
        <v/>
      </c>
      <c r="M164" s="20">
        <f>IF(AND(ISNUMBER(K164),ISNUMBER(L164)),L164-K164,"")</f>
        <v/>
      </c>
      <c r="N164" s="19">
        <f>IF(G164="","",IF(AND(ISNUMBER(K164),ISNUMBER(L164)),IF(OR(F164="GOC",F164="OWC",F164="GWC",F164="OWC_TRANSITION",F164="GOC_TRANSITION"),IF(L164&gt;=K164,"Supports","Conflicts"),"N/A"),"No Sw"))</f>
        <v/>
      </c>
      <c r="O164" s="20">
        <f>IF(G164="","",Settings!$B$6*IF(OR(F164="GOC",F164="OWC",F164="GWC"),1,0.7)+Settings!$B$7*IF(N164="Supports",1,IF(N164="Conflicts",0,0.5))+Settings!$B$8*IF(AND(Master_Data!R164&lt;&gt;"",Master_Data!S164&lt;&gt;"",Master_Data!R165&lt;&gt;"",Master_Data!S165&lt;&gt;""),1,0.5))</f>
        <v/>
      </c>
      <c r="P164" s="19">
        <f>IF(G164="","",IF(N164="Conflicts","SW_CONFLICT",IF(OR(F164="GOC",F164="OWC",F164="GWC"),"DIRECT_FLUID_TRANSITION","TRANSITION_INTERVAL")))</f>
        <v/>
      </c>
      <c r="Q164" s="19">
        <f>IF(G164="","",IF(N164="Conflicts","Investigate contact interpretation / saturation behaviour",IF(OR(F164="OWC",F164="GOC",F164="GWC"),"Candidate contact — validate with logs, pressure and dynamic evidence","Transition zone — do not force to a sharp contact")))</f>
        <v/>
      </c>
    </row>
    <row r="165">
      <c r="A165" s="19">
        <f>IF(AND(Master_Data!A165&lt;&gt;"",Master_Data!A165=Master_Data!A166),Master_Data!A165,"")</f>
        <v/>
      </c>
      <c r="B165" s="19">
        <f>IF($A165="","",Master_Data!B165)</f>
        <v/>
      </c>
      <c r="C165" s="19">
        <f>IF($A165="","",Master_Data!B166)</f>
        <v/>
      </c>
      <c r="D165" s="19">
        <f>IF($A165="","",Master_Data!Q165)</f>
        <v/>
      </c>
      <c r="E165" s="19">
        <f>IF($A165="","",Master_Data!Q166)</f>
        <v/>
      </c>
      <c r="F165" s="19">
        <f>IF($A165="","",IF(AND(D165="GAS",E165="OIL"),"GOC",IF(AND(D165="OIL",E165="WATER"),"OWC",IF(AND(D165="GAS",E165="WATER"),"GWC",IF(AND(D165="OIL",E165="OIL_WATER"),"OWC_TRANSITION",IF(AND(D165="OIL_WATER",E165="WATER"),"OWC_TRANSITION",IF(AND(D165="GAS",E165="GAS_WATER"),"GOC_TRANSITION",IF(AND(D165="GAS_WATER",E165="OIL"),"GOC_TRANSITION",IF(OR(D165="OIL_WATER",D165="GAS_WATER"),"TRANSITION_INTERVAL","")))))))))</f>
        <v/>
      </c>
      <c r="G165" s="20">
        <f>IF(OR(F165="",Master_Data!R165="",Master_Data!S165=""),"",IF(RIGHT(F165,10)="TRANSITION",AVERAGE(Master_Data!R165:Master_Data!S165),AVERAGE(Master_Data!S165,Master_Data!R166)))</f>
        <v/>
      </c>
      <c r="H165" s="20">
        <f>IF(G165="","",MAX(Settings!$B$4,Settings!$B$5*AVERAGE(IF(Master_Data!O165&lt;&gt;"",Master_Data!O165,Master_Data!H165),IF(Master_Data!O166&lt;&gt;"",Master_Data!O166,Master_Data!H166))))</f>
        <v/>
      </c>
      <c r="I165" s="20">
        <f>IF(G165="","",G165-H165)</f>
        <v/>
      </c>
      <c r="J165" s="20">
        <f>IF(G165="","",G165+H165)</f>
        <v/>
      </c>
      <c r="K165" s="20">
        <f>IF($A165="","",Master_Data!G165)</f>
        <v/>
      </c>
      <c r="L165" s="20">
        <f>IF($A165="","",Master_Data!G166)</f>
        <v/>
      </c>
      <c r="M165" s="20">
        <f>IF(AND(ISNUMBER(K165),ISNUMBER(L165)),L165-K165,"")</f>
        <v/>
      </c>
      <c r="N165" s="19">
        <f>IF(G165="","",IF(AND(ISNUMBER(K165),ISNUMBER(L165)),IF(OR(F165="GOC",F165="OWC",F165="GWC",F165="OWC_TRANSITION",F165="GOC_TRANSITION"),IF(L165&gt;=K165,"Supports","Conflicts"),"N/A"),"No Sw"))</f>
        <v/>
      </c>
      <c r="O165" s="20">
        <f>IF(G165="","",Settings!$B$6*IF(OR(F165="GOC",F165="OWC",F165="GWC"),1,0.7)+Settings!$B$7*IF(N165="Supports",1,IF(N165="Conflicts",0,0.5))+Settings!$B$8*IF(AND(Master_Data!R165&lt;&gt;"",Master_Data!S165&lt;&gt;"",Master_Data!R166&lt;&gt;"",Master_Data!S166&lt;&gt;""),1,0.5))</f>
        <v/>
      </c>
      <c r="P165" s="19">
        <f>IF(G165="","",IF(N165="Conflicts","SW_CONFLICT",IF(OR(F165="GOC",F165="OWC",F165="GWC"),"DIRECT_FLUID_TRANSITION","TRANSITION_INTERVAL")))</f>
        <v/>
      </c>
      <c r="Q165" s="19">
        <f>IF(G165="","",IF(N165="Conflicts","Investigate contact interpretation / saturation behaviour",IF(OR(F165="OWC",F165="GOC",F165="GWC"),"Candidate contact — validate with logs, pressure and dynamic evidence","Transition zone — do not force to a sharp contact")))</f>
        <v/>
      </c>
    </row>
    <row r="166">
      <c r="A166" s="19">
        <f>IF(AND(Master_Data!A166&lt;&gt;"",Master_Data!A166=Master_Data!A167),Master_Data!A166,"")</f>
        <v/>
      </c>
      <c r="B166" s="19">
        <f>IF($A166="","",Master_Data!B166)</f>
        <v/>
      </c>
      <c r="C166" s="19">
        <f>IF($A166="","",Master_Data!B167)</f>
        <v/>
      </c>
      <c r="D166" s="19">
        <f>IF($A166="","",Master_Data!Q166)</f>
        <v/>
      </c>
      <c r="E166" s="19">
        <f>IF($A166="","",Master_Data!Q167)</f>
        <v/>
      </c>
      <c r="F166" s="19">
        <f>IF($A166="","",IF(AND(D166="GAS",E166="OIL"),"GOC",IF(AND(D166="OIL",E166="WATER"),"OWC",IF(AND(D166="GAS",E166="WATER"),"GWC",IF(AND(D166="OIL",E166="OIL_WATER"),"OWC_TRANSITION",IF(AND(D166="OIL_WATER",E166="WATER"),"OWC_TRANSITION",IF(AND(D166="GAS",E166="GAS_WATER"),"GOC_TRANSITION",IF(AND(D166="GAS_WATER",E166="OIL"),"GOC_TRANSITION",IF(OR(D166="OIL_WATER",D166="GAS_WATER"),"TRANSITION_INTERVAL","")))))))))</f>
        <v/>
      </c>
      <c r="G166" s="20">
        <f>IF(OR(F166="",Master_Data!R166="",Master_Data!S166=""),"",IF(RIGHT(F166,10)="TRANSITION",AVERAGE(Master_Data!R166:Master_Data!S166),AVERAGE(Master_Data!S166,Master_Data!R167)))</f>
        <v/>
      </c>
      <c r="H166" s="20">
        <f>IF(G166="","",MAX(Settings!$B$4,Settings!$B$5*AVERAGE(IF(Master_Data!O166&lt;&gt;"",Master_Data!O166,Master_Data!H166),IF(Master_Data!O167&lt;&gt;"",Master_Data!O167,Master_Data!H167))))</f>
        <v/>
      </c>
      <c r="I166" s="20">
        <f>IF(G166="","",G166-H166)</f>
        <v/>
      </c>
      <c r="J166" s="20">
        <f>IF(G166="","",G166+H166)</f>
        <v/>
      </c>
      <c r="K166" s="20">
        <f>IF($A166="","",Master_Data!G166)</f>
        <v/>
      </c>
      <c r="L166" s="20">
        <f>IF($A166="","",Master_Data!G167)</f>
        <v/>
      </c>
      <c r="M166" s="20">
        <f>IF(AND(ISNUMBER(K166),ISNUMBER(L166)),L166-K166,"")</f>
        <v/>
      </c>
      <c r="N166" s="19">
        <f>IF(G166="","",IF(AND(ISNUMBER(K166),ISNUMBER(L166)),IF(OR(F166="GOC",F166="OWC",F166="GWC",F166="OWC_TRANSITION",F166="GOC_TRANSITION"),IF(L166&gt;=K166,"Supports","Conflicts"),"N/A"),"No Sw"))</f>
        <v/>
      </c>
      <c r="O166" s="20">
        <f>IF(G166="","",Settings!$B$6*IF(OR(F166="GOC",F166="OWC",F166="GWC"),1,0.7)+Settings!$B$7*IF(N166="Supports",1,IF(N166="Conflicts",0,0.5))+Settings!$B$8*IF(AND(Master_Data!R166&lt;&gt;"",Master_Data!S166&lt;&gt;"",Master_Data!R167&lt;&gt;"",Master_Data!S167&lt;&gt;""),1,0.5))</f>
        <v/>
      </c>
      <c r="P166" s="19">
        <f>IF(G166="","",IF(N166="Conflicts","SW_CONFLICT",IF(OR(F166="GOC",F166="OWC",F166="GWC"),"DIRECT_FLUID_TRANSITION","TRANSITION_INTERVAL")))</f>
        <v/>
      </c>
      <c r="Q166" s="19">
        <f>IF(G166="","",IF(N166="Conflicts","Investigate contact interpretation / saturation behaviour",IF(OR(F166="OWC",F166="GOC",F166="GWC"),"Candidate contact — validate with logs, pressure and dynamic evidence","Transition zone — do not force to a sharp contact")))</f>
        <v/>
      </c>
    </row>
    <row r="167">
      <c r="A167" s="19">
        <f>IF(AND(Master_Data!A167&lt;&gt;"",Master_Data!A167=Master_Data!A168),Master_Data!A167,"")</f>
        <v/>
      </c>
      <c r="B167" s="19">
        <f>IF($A167="","",Master_Data!B167)</f>
        <v/>
      </c>
      <c r="C167" s="19">
        <f>IF($A167="","",Master_Data!B168)</f>
        <v/>
      </c>
      <c r="D167" s="19">
        <f>IF($A167="","",Master_Data!Q167)</f>
        <v/>
      </c>
      <c r="E167" s="19">
        <f>IF($A167="","",Master_Data!Q168)</f>
        <v/>
      </c>
      <c r="F167" s="19">
        <f>IF($A167="","",IF(AND(D167="GAS",E167="OIL"),"GOC",IF(AND(D167="OIL",E167="WATER"),"OWC",IF(AND(D167="GAS",E167="WATER"),"GWC",IF(AND(D167="OIL",E167="OIL_WATER"),"OWC_TRANSITION",IF(AND(D167="OIL_WATER",E167="WATER"),"OWC_TRANSITION",IF(AND(D167="GAS",E167="GAS_WATER"),"GOC_TRANSITION",IF(AND(D167="GAS_WATER",E167="OIL"),"GOC_TRANSITION",IF(OR(D167="OIL_WATER",D167="GAS_WATER"),"TRANSITION_INTERVAL","")))))))))</f>
        <v/>
      </c>
      <c r="G167" s="20">
        <f>IF(OR(F167="",Master_Data!R167="",Master_Data!S167=""),"",IF(RIGHT(F167,10)="TRANSITION",AVERAGE(Master_Data!R167:Master_Data!S167),AVERAGE(Master_Data!S167,Master_Data!R168)))</f>
        <v/>
      </c>
      <c r="H167" s="20">
        <f>IF(G167="","",MAX(Settings!$B$4,Settings!$B$5*AVERAGE(IF(Master_Data!O167&lt;&gt;"",Master_Data!O167,Master_Data!H167),IF(Master_Data!O168&lt;&gt;"",Master_Data!O168,Master_Data!H168))))</f>
        <v/>
      </c>
      <c r="I167" s="20">
        <f>IF(G167="","",G167-H167)</f>
        <v/>
      </c>
      <c r="J167" s="20">
        <f>IF(G167="","",G167+H167)</f>
        <v/>
      </c>
      <c r="K167" s="20">
        <f>IF($A167="","",Master_Data!G167)</f>
        <v/>
      </c>
      <c r="L167" s="20">
        <f>IF($A167="","",Master_Data!G168)</f>
        <v/>
      </c>
      <c r="M167" s="20">
        <f>IF(AND(ISNUMBER(K167),ISNUMBER(L167)),L167-K167,"")</f>
        <v/>
      </c>
      <c r="N167" s="19">
        <f>IF(G167="","",IF(AND(ISNUMBER(K167),ISNUMBER(L167)),IF(OR(F167="GOC",F167="OWC",F167="GWC",F167="OWC_TRANSITION",F167="GOC_TRANSITION"),IF(L167&gt;=K167,"Supports","Conflicts"),"N/A"),"No Sw"))</f>
        <v/>
      </c>
      <c r="O167" s="20">
        <f>IF(G167="","",Settings!$B$6*IF(OR(F167="GOC",F167="OWC",F167="GWC"),1,0.7)+Settings!$B$7*IF(N167="Supports",1,IF(N167="Conflicts",0,0.5))+Settings!$B$8*IF(AND(Master_Data!R167&lt;&gt;"",Master_Data!S167&lt;&gt;"",Master_Data!R168&lt;&gt;"",Master_Data!S168&lt;&gt;""),1,0.5))</f>
        <v/>
      </c>
      <c r="P167" s="19">
        <f>IF(G167="","",IF(N167="Conflicts","SW_CONFLICT",IF(OR(F167="GOC",F167="OWC",F167="GWC"),"DIRECT_FLUID_TRANSITION","TRANSITION_INTERVAL")))</f>
        <v/>
      </c>
      <c r="Q167" s="19">
        <f>IF(G167="","",IF(N167="Conflicts","Investigate contact interpretation / saturation behaviour",IF(OR(F167="OWC",F167="GOC",F167="GWC"),"Candidate contact — validate with logs, pressure and dynamic evidence","Transition zone — do not force to a sharp contact")))</f>
        <v/>
      </c>
    </row>
    <row r="168">
      <c r="A168" s="19">
        <f>IF(AND(Master_Data!A168&lt;&gt;"",Master_Data!A168=Master_Data!A169),Master_Data!A168,"")</f>
        <v/>
      </c>
      <c r="B168" s="19">
        <f>IF($A168="","",Master_Data!B168)</f>
        <v/>
      </c>
      <c r="C168" s="19">
        <f>IF($A168="","",Master_Data!B169)</f>
        <v/>
      </c>
      <c r="D168" s="19">
        <f>IF($A168="","",Master_Data!Q168)</f>
        <v/>
      </c>
      <c r="E168" s="19">
        <f>IF($A168="","",Master_Data!Q169)</f>
        <v/>
      </c>
      <c r="F168" s="19">
        <f>IF($A168="","",IF(AND(D168="GAS",E168="OIL"),"GOC",IF(AND(D168="OIL",E168="WATER"),"OWC",IF(AND(D168="GAS",E168="WATER"),"GWC",IF(AND(D168="OIL",E168="OIL_WATER"),"OWC_TRANSITION",IF(AND(D168="OIL_WATER",E168="WATER"),"OWC_TRANSITION",IF(AND(D168="GAS",E168="GAS_WATER"),"GOC_TRANSITION",IF(AND(D168="GAS_WATER",E168="OIL"),"GOC_TRANSITION",IF(OR(D168="OIL_WATER",D168="GAS_WATER"),"TRANSITION_INTERVAL","")))))))))</f>
        <v/>
      </c>
      <c r="G168" s="20">
        <f>IF(OR(F168="",Master_Data!R168="",Master_Data!S168=""),"",IF(RIGHT(F168,10)="TRANSITION",AVERAGE(Master_Data!R168:Master_Data!S168),AVERAGE(Master_Data!S168,Master_Data!R169)))</f>
        <v/>
      </c>
      <c r="H168" s="20">
        <f>IF(G168="","",MAX(Settings!$B$4,Settings!$B$5*AVERAGE(IF(Master_Data!O168&lt;&gt;"",Master_Data!O168,Master_Data!H168),IF(Master_Data!O169&lt;&gt;"",Master_Data!O169,Master_Data!H169))))</f>
        <v/>
      </c>
      <c r="I168" s="20">
        <f>IF(G168="","",G168-H168)</f>
        <v/>
      </c>
      <c r="J168" s="20">
        <f>IF(G168="","",G168+H168)</f>
        <v/>
      </c>
      <c r="K168" s="20">
        <f>IF($A168="","",Master_Data!G168)</f>
        <v/>
      </c>
      <c r="L168" s="20">
        <f>IF($A168="","",Master_Data!G169)</f>
        <v/>
      </c>
      <c r="M168" s="20">
        <f>IF(AND(ISNUMBER(K168),ISNUMBER(L168)),L168-K168,"")</f>
        <v/>
      </c>
      <c r="N168" s="19">
        <f>IF(G168="","",IF(AND(ISNUMBER(K168),ISNUMBER(L168)),IF(OR(F168="GOC",F168="OWC",F168="GWC",F168="OWC_TRANSITION",F168="GOC_TRANSITION"),IF(L168&gt;=K168,"Supports","Conflicts"),"N/A"),"No Sw"))</f>
        <v/>
      </c>
      <c r="O168" s="20">
        <f>IF(G168="","",Settings!$B$6*IF(OR(F168="GOC",F168="OWC",F168="GWC"),1,0.7)+Settings!$B$7*IF(N168="Supports",1,IF(N168="Conflicts",0,0.5))+Settings!$B$8*IF(AND(Master_Data!R168&lt;&gt;"",Master_Data!S168&lt;&gt;"",Master_Data!R169&lt;&gt;"",Master_Data!S169&lt;&gt;""),1,0.5))</f>
        <v/>
      </c>
      <c r="P168" s="19">
        <f>IF(G168="","",IF(N168="Conflicts","SW_CONFLICT",IF(OR(F168="GOC",F168="OWC",F168="GWC"),"DIRECT_FLUID_TRANSITION","TRANSITION_INTERVAL")))</f>
        <v/>
      </c>
      <c r="Q168" s="19">
        <f>IF(G168="","",IF(N168="Conflicts","Investigate contact interpretation / saturation behaviour",IF(OR(F168="OWC",F168="GOC",F168="GWC"),"Candidate contact — validate with logs, pressure and dynamic evidence","Transition zone — do not force to a sharp contact")))</f>
        <v/>
      </c>
    </row>
    <row r="169">
      <c r="A169" s="19">
        <f>IF(AND(Master_Data!A169&lt;&gt;"",Master_Data!A169=Master_Data!A170),Master_Data!A169,"")</f>
        <v/>
      </c>
      <c r="B169" s="19">
        <f>IF($A169="","",Master_Data!B169)</f>
        <v/>
      </c>
      <c r="C169" s="19">
        <f>IF($A169="","",Master_Data!B170)</f>
        <v/>
      </c>
      <c r="D169" s="19">
        <f>IF($A169="","",Master_Data!Q169)</f>
        <v/>
      </c>
      <c r="E169" s="19">
        <f>IF($A169="","",Master_Data!Q170)</f>
        <v/>
      </c>
      <c r="F169" s="19">
        <f>IF($A169="","",IF(AND(D169="GAS",E169="OIL"),"GOC",IF(AND(D169="OIL",E169="WATER"),"OWC",IF(AND(D169="GAS",E169="WATER"),"GWC",IF(AND(D169="OIL",E169="OIL_WATER"),"OWC_TRANSITION",IF(AND(D169="OIL_WATER",E169="WATER"),"OWC_TRANSITION",IF(AND(D169="GAS",E169="GAS_WATER"),"GOC_TRANSITION",IF(AND(D169="GAS_WATER",E169="OIL"),"GOC_TRANSITION",IF(OR(D169="OIL_WATER",D169="GAS_WATER"),"TRANSITION_INTERVAL","")))))))))</f>
        <v/>
      </c>
      <c r="G169" s="20">
        <f>IF(OR(F169="",Master_Data!R169="",Master_Data!S169=""),"",IF(RIGHT(F169,10)="TRANSITION",AVERAGE(Master_Data!R169:Master_Data!S169),AVERAGE(Master_Data!S169,Master_Data!R170)))</f>
        <v/>
      </c>
      <c r="H169" s="20">
        <f>IF(G169="","",MAX(Settings!$B$4,Settings!$B$5*AVERAGE(IF(Master_Data!O169&lt;&gt;"",Master_Data!O169,Master_Data!H169),IF(Master_Data!O170&lt;&gt;"",Master_Data!O170,Master_Data!H170))))</f>
        <v/>
      </c>
      <c r="I169" s="20">
        <f>IF(G169="","",G169-H169)</f>
        <v/>
      </c>
      <c r="J169" s="20">
        <f>IF(G169="","",G169+H169)</f>
        <v/>
      </c>
      <c r="K169" s="20">
        <f>IF($A169="","",Master_Data!G169)</f>
        <v/>
      </c>
      <c r="L169" s="20">
        <f>IF($A169="","",Master_Data!G170)</f>
        <v/>
      </c>
      <c r="M169" s="20">
        <f>IF(AND(ISNUMBER(K169),ISNUMBER(L169)),L169-K169,"")</f>
        <v/>
      </c>
      <c r="N169" s="19">
        <f>IF(G169="","",IF(AND(ISNUMBER(K169),ISNUMBER(L169)),IF(OR(F169="GOC",F169="OWC",F169="GWC",F169="OWC_TRANSITION",F169="GOC_TRANSITION"),IF(L169&gt;=K169,"Supports","Conflicts"),"N/A"),"No Sw"))</f>
        <v/>
      </c>
      <c r="O169" s="20">
        <f>IF(G169="","",Settings!$B$6*IF(OR(F169="GOC",F169="OWC",F169="GWC"),1,0.7)+Settings!$B$7*IF(N169="Supports",1,IF(N169="Conflicts",0,0.5))+Settings!$B$8*IF(AND(Master_Data!R169&lt;&gt;"",Master_Data!S169&lt;&gt;"",Master_Data!R170&lt;&gt;"",Master_Data!S170&lt;&gt;""),1,0.5))</f>
        <v/>
      </c>
      <c r="P169" s="19">
        <f>IF(G169="","",IF(N169="Conflicts","SW_CONFLICT",IF(OR(F169="GOC",F169="OWC",F169="GWC"),"DIRECT_FLUID_TRANSITION","TRANSITION_INTERVAL")))</f>
        <v/>
      </c>
      <c r="Q169" s="19">
        <f>IF(G169="","",IF(N169="Conflicts","Investigate contact interpretation / saturation behaviour",IF(OR(F169="OWC",F169="GOC",F169="GWC"),"Candidate contact — validate with logs, pressure and dynamic evidence","Transition zone — do not force to a sharp contact")))</f>
        <v/>
      </c>
    </row>
    <row r="170">
      <c r="A170" s="19">
        <f>IF(AND(Master_Data!A170&lt;&gt;"",Master_Data!A170=Master_Data!A171),Master_Data!A170,"")</f>
        <v/>
      </c>
      <c r="B170" s="19">
        <f>IF($A170="","",Master_Data!B170)</f>
        <v/>
      </c>
      <c r="C170" s="19">
        <f>IF($A170="","",Master_Data!B171)</f>
        <v/>
      </c>
      <c r="D170" s="19">
        <f>IF($A170="","",Master_Data!Q170)</f>
        <v/>
      </c>
      <c r="E170" s="19">
        <f>IF($A170="","",Master_Data!Q171)</f>
        <v/>
      </c>
      <c r="F170" s="19">
        <f>IF($A170="","",IF(AND(D170="GAS",E170="OIL"),"GOC",IF(AND(D170="OIL",E170="WATER"),"OWC",IF(AND(D170="GAS",E170="WATER"),"GWC",IF(AND(D170="OIL",E170="OIL_WATER"),"OWC_TRANSITION",IF(AND(D170="OIL_WATER",E170="WATER"),"OWC_TRANSITION",IF(AND(D170="GAS",E170="GAS_WATER"),"GOC_TRANSITION",IF(AND(D170="GAS_WATER",E170="OIL"),"GOC_TRANSITION",IF(OR(D170="OIL_WATER",D170="GAS_WATER"),"TRANSITION_INTERVAL","")))))))))</f>
        <v/>
      </c>
      <c r="G170" s="20">
        <f>IF(OR(F170="",Master_Data!R170="",Master_Data!S170=""),"",IF(RIGHT(F170,10)="TRANSITION",AVERAGE(Master_Data!R170:Master_Data!S170),AVERAGE(Master_Data!S170,Master_Data!R171)))</f>
        <v/>
      </c>
      <c r="H170" s="20">
        <f>IF(G170="","",MAX(Settings!$B$4,Settings!$B$5*AVERAGE(IF(Master_Data!O170&lt;&gt;"",Master_Data!O170,Master_Data!H170),IF(Master_Data!O171&lt;&gt;"",Master_Data!O171,Master_Data!H171))))</f>
        <v/>
      </c>
      <c r="I170" s="20">
        <f>IF(G170="","",G170-H170)</f>
        <v/>
      </c>
      <c r="J170" s="20">
        <f>IF(G170="","",G170+H170)</f>
        <v/>
      </c>
      <c r="K170" s="20">
        <f>IF($A170="","",Master_Data!G170)</f>
        <v/>
      </c>
      <c r="L170" s="20">
        <f>IF($A170="","",Master_Data!G171)</f>
        <v/>
      </c>
      <c r="M170" s="20">
        <f>IF(AND(ISNUMBER(K170),ISNUMBER(L170)),L170-K170,"")</f>
        <v/>
      </c>
      <c r="N170" s="19">
        <f>IF(G170="","",IF(AND(ISNUMBER(K170),ISNUMBER(L170)),IF(OR(F170="GOC",F170="OWC",F170="GWC",F170="OWC_TRANSITION",F170="GOC_TRANSITION"),IF(L170&gt;=K170,"Supports","Conflicts"),"N/A"),"No Sw"))</f>
        <v/>
      </c>
      <c r="O170" s="20">
        <f>IF(G170="","",Settings!$B$6*IF(OR(F170="GOC",F170="OWC",F170="GWC"),1,0.7)+Settings!$B$7*IF(N170="Supports",1,IF(N170="Conflicts",0,0.5))+Settings!$B$8*IF(AND(Master_Data!R170&lt;&gt;"",Master_Data!S170&lt;&gt;"",Master_Data!R171&lt;&gt;"",Master_Data!S171&lt;&gt;""),1,0.5))</f>
        <v/>
      </c>
      <c r="P170" s="19">
        <f>IF(G170="","",IF(N170="Conflicts","SW_CONFLICT",IF(OR(F170="GOC",F170="OWC",F170="GWC"),"DIRECT_FLUID_TRANSITION","TRANSITION_INTERVAL")))</f>
        <v/>
      </c>
      <c r="Q170" s="19">
        <f>IF(G170="","",IF(N170="Conflicts","Investigate contact interpretation / saturation behaviour",IF(OR(F170="OWC",F170="GOC",F170="GWC"),"Candidate contact — validate with logs, pressure and dynamic evidence","Transition zone — do not force to a sharp contact")))</f>
        <v/>
      </c>
    </row>
    <row r="171">
      <c r="A171" s="19">
        <f>IF(AND(Master_Data!A171&lt;&gt;"",Master_Data!A171=Master_Data!A172),Master_Data!A171,"")</f>
        <v/>
      </c>
      <c r="B171" s="19">
        <f>IF($A171="","",Master_Data!B171)</f>
        <v/>
      </c>
      <c r="C171" s="19">
        <f>IF($A171="","",Master_Data!B172)</f>
        <v/>
      </c>
      <c r="D171" s="19">
        <f>IF($A171="","",Master_Data!Q171)</f>
        <v/>
      </c>
      <c r="E171" s="19">
        <f>IF($A171="","",Master_Data!Q172)</f>
        <v/>
      </c>
      <c r="F171" s="19">
        <f>IF($A171="","",IF(AND(D171="GAS",E171="OIL"),"GOC",IF(AND(D171="OIL",E171="WATER"),"OWC",IF(AND(D171="GAS",E171="WATER"),"GWC",IF(AND(D171="OIL",E171="OIL_WATER"),"OWC_TRANSITION",IF(AND(D171="OIL_WATER",E171="WATER"),"OWC_TRANSITION",IF(AND(D171="GAS",E171="GAS_WATER"),"GOC_TRANSITION",IF(AND(D171="GAS_WATER",E171="OIL"),"GOC_TRANSITION",IF(OR(D171="OIL_WATER",D171="GAS_WATER"),"TRANSITION_INTERVAL","")))))))))</f>
        <v/>
      </c>
      <c r="G171" s="20">
        <f>IF(OR(F171="",Master_Data!R171="",Master_Data!S171=""),"",IF(RIGHT(F171,10)="TRANSITION",AVERAGE(Master_Data!R171:Master_Data!S171),AVERAGE(Master_Data!S171,Master_Data!R172)))</f>
        <v/>
      </c>
      <c r="H171" s="20">
        <f>IF(G171="","",MAX(Settings!$B$4,Settings!$B$5*AVERAGE(IF(Master_Data!O171&lt;&gt;"",Master_Data!O171,Master_Data!H171),IF(Master_Data!O172&lt;&gt;"",Master_Data!O172,Master_Data!H172))))</f>
        <v/>
      </c>
      <c r="I171" s="20">
        <f>IF(G171="","",G171-H171)</f>
        <v/>
      </c>
      <c r="J171" s="20">
        <f>IF(G171="","",G171+H171)</f>
        <v/>
      </c>
      <c r="K171" s="20">
        <f>IF($A171="","",Master_Data!G171)</f>
        <v/>
      </c>
      <c r="L171" s="20">
        <f>IF($A171="","",Master_Data!G172)</f>
        <v/>
      </c>
      <c r="M171" s="20">
        <f>IF(AND(ISNUMBER(K171),ISNUMBER(L171)),L171-K171,"")</f>
        <v/>
      </c>
      <c r="N171" s="19">
        <f>IF(G171="","",IF(AND(ISNUMBER(K171),ISNUMBER(L171)),IF(OR(F171="GOC",F171="OWC",F171="GWC",F171="OWC_TRANSITION",F171="GOC_TRANSITION"),IF(L171&gt;=K171,"Supports","Conflicts"),"N/A"),"No Sw"))</f>
        <v/>
      </c>
      <c r="O171" s="20">
        <f>IF(G171="","",Settings!$B$6*IF(OR(F171="GOC",F171="OWC",F171="GWC"),1,0.7)+Settings!$B$7*IF(N171="Supports",1,IF(N171="Conflicts",0,0.5))+Settings!$B$8*IF(AND(Master_Data!R171&lt;&gt;"",Master_Data!S171&lt;&gt;"",Master_Data!R172&lt;&gt;"",Master_Data!S172&lt;&gt;""),1,0.5))</f>
        <v/>
      </c>
      <c r="P171" s="19">
        <f>IF(G171="","",IF(N171="Conflicts","SW_CONFLICT",IF(OR(F171="GOC",F171="OWC",F171="GWC"),"DIRECT_FLUID_TRANSITION","TRANSITION_INTERVAL")))</f>
        <v/>
      </c>
      <c r="Q171" s="19">
        <f>IF(G171="","",IF(N171="Conflicts","Investigate contact interpretation / saturation behaviour",IF(OR(F171="OWC",F171="GOC",F171="GWC"),"Candidate contact — validate with logs, pressure and dynamic evidence","Transition zone — do not force to a sharp contact")))</f>
        <v/>
      </c>
    </row>
    <row r="172">
      <c r="A172" s="19">
        <f>IF(AND(Master_Data!A172&lt;&gt;"",Master_Data!A172=Master_Data!A173),Master_Data!A172,"")</f>
        <v/>
      </c>
      <c r="B172" s="19">
        <f>IF($A172="","",Master_Data!B172)</f>
        <v/>
      </c>
      <c r="C172" s="19">
        <f>IF($A172="","",Master_Data!B173)</f>
        <v/>
      </c>
      <c r="D172" s="19">
        <f>IF($A172="","",Master_Data!Q172)</f>
        <v/>
      </c>
      <c r="E172" s="19">
        <f>IF($A172="","",Master_Data!Q173)</f>
        <v/>
      </c>
      <c r="F172" s="19">
        <f>IF($A172="","",IF(AND(D172="GAS",E172="OIL"),"GOC",IF(AND(D172="OIL",E172="WATER"),"OWC",IF(AND(D172="GAS",E172="WATER"),"GWC",IF(AND(D172="OIL",E172="OIL_WATER"),"OWC_TRANSITION",IF(AND(D172="OIL_WATER",E172="WATER"),"OWC_TRANSITION",IF(AND(D172="GAS",E172="GAS_WATER"),"GOC_TRANSITION",IF(AND(D172="GAS_WATER",E172="OIL"),"GOC_TRANSITION",IF(OR(D172="OIL_WATER",D172="GAS_WATER"),"TRANSITION_INTERVAL","")))))))))</f>
        <v/>
      </c>
      <c r="G172" s="20">
        <f>IF(OR(F172="",Master_Data!R172="",Master_Data!S172=""),"",IF(RIGHT(F172,10)="TRANSITION",AVERAGE(Master_Data!R172:Master_Data!S172),AVERAGE(Master_Data!S172,Master_Data!R173)))</f>
        <v/>
      </c>
      <c r="H172" s="20">
        <f>IF(G172="","",MAX(Settings!$B$4,Settings!$B$5*AVERAGE(IF(Master_Data!O172&lt;&gt;"",Master_Data!O172,Master_Data!H172),IF(Master_Data!O173&lt;&gt;"",Master_Data!O173,Master_Data!H173))))</f>
        <v/>
      </c>
      <c r="I172" s="20">
        <f>IF(G172="","",G172-H172)</f>
        <v/>
      </c>
      <c r="J172" s="20">
        <f>IF(G172="","",G172+H172)</f>
        <v/>
      </c>
      <c r="K172" s="20">
        <f>IF($A172="","",Master_Data!G172)</f>
        <v/>
      </c>
      <c r="L172" s="20">
        <f>IF($A172="","",Master_Data!G173)</f>
        <v/>
      </c>
      <c r="M172" s="20">
        <f>IF(AND(ISNUMBER(K172),ISNUMBER(L172)),L172-K172,"")</f>
        <v/>
      </c>
      <c r="N172" s="19">
        <f>IF(G172="","",IF(AND(ISNUMBER(K172),ISNUMBER(L172)),IF(OR(F172="GOC",F172="OWC",F172="GWC",F172="OWC_TRANSITION",F172="GOC_TRANSITION"),IF(L172&gt;=K172,"Supports","Conflicts"),"N/A"),"No Sw"))</f>
        <v/>
      </c>
      <c r="O172" s="20">
        <f>IF(G172="","",Settings!$B$6*IF(OR(F172="GOC",F172="OWC",F172="GWC"),1,0.7)+Settings!$B$7*IF(N172="Supports",1,IF(N172="Conflicts",0,0.5))+Settings!$B$8*IF(AND(Master_Data!R172&lt;&gt;"",Master_Data!S172&lt;&gt;"",Master_Data!R173&lt;&gt;"",Master_Data!S173&lt;&gt;""),1,0.5))</f>
        <v/>
      </c>
      <c r="P172" s="19">
        <f>IF(G172="","",IF(N172="Conflicts","SW_CONFLICT",IF(OR(F172="GOC",F172="OWC",F172="GWC"),"DIRECT_FLUID_TRANSITION","TRANSITION_INTERVAL")))</f>
        <v/>
      </c>
      <c r="Q172" s="19">
        <f>IF(G172="","",IF(N172="Conflicts","Investigate contact interpretation / saturation behaviour",IF(OR(F172="OWC",F172="GOC",F172="GWC"),"Candidate contact — validate with logs, pressure and dynamic evidence","Transition zone — do not force to a sharp contact")))</f>
        <v/>
      </c>
    </row>
    <row r="173">
      <c r="A173" s="19">
        <f>IF(AND(Master_Data!A173&lt;&gt;"",Master_Data!A173=Master_Data!A174),Master_Data!A173,"")</f>
        <v/>
      </c>
      <c r="B173" s="19">
        <f>IF($A173="","",Master_Data!B173)</f>
        <v/>
      </c>
      <c r="C173" s="19">
        <f>IF($A173="","",Master_Data!B174)</f>
        <v/>
      </c>
      <c r="D173" s="19">
        <f>IF($A173="","",Master_Data!Q173)</f>
        <v/>
      </c>
      <c r="E173" s="19">
        <f>IF($A173="","",Master_Data!Q174)</f>
        <v/>
      </c>
      <c r="F173" s="19">
        <f>IF($A173="","",IF(AND(D173="GAS",E173="OIL"),"GOC",IF(AND(D173="OIL",E173="WATER"),"OWC",IF(AND(D173="GAS",E173="WATER"),"GWC",IF(AND(D173="OIL",E173="OIL_WATER"),"OWC_TRANSITION",IF(AND(D173="OIL_WATER",E173="WATER"),"OWC_TRANSITION",IF(AND(D173="GAS",E173="GAS_WATER"),"GOC_TRANSITION",IF(AND(D173="GAS_WATER",E173="OIL"),"GOC_TRANSITION",IF(OR(D173="OIL_WATER",D173="GAS_WATER"),"TRANSITION_INTERVAL","")))))))))</f>
        <v/>
      </c>
      <c r="G173" s="20">
        <f>IF(OR(F173="",Master_Data!R173="",Master_Data!S173=""),"",IF(RIGHT(F173,10)="TRANSITION",AVERAGE(Master_Data!R173:Master_Data!S173),AVERAGE(Master_Data!S173,Master_Data!R174)))</f>
        <v/>
      </c>
      <c r="H173" s="20">
        <f>IF(G173="","",MAX(Settings!$B$4,Settings!$B$5*AVERAGE(IF(Master_Data!O173&lt;&gt;"",Master_Data!O173,Master_Data!H173),IF(Master_Data!O174&lt;&gt;"",Master_Data!O174,Master_Data!H174))))</f>
        <v/>
      </c>
      <c r="I173" s="20">
        <f>IF(G173="","",G173-H173)</f>
        <v/>
      </c>
      <c r="J173" s="20">
        <f>IF(G173="","",G173+H173)</f>
        <v/>
      </c>
      <c r="K173" s="20">
        <f>IF($A173="","",Master_Data!G173)</f>
        <v/>
      </c>
      <c r="L173" s="20">
        <f>IF($A173="","",Master_Data!G174)</f>
        <v/>
      </c>
      <c r="M173" s="20">
        <f>IF(AND(ISNUMBER(K173),ISNUMBER(L173)),L173-K173,"")</f>
        <v/>
      </c>
      <c r="N173" s="19">
        <f>IF(G173="","",IF(AND(ISNUMBER(K173),ISNUMBER(L173)),IF(OR(F173="GOC",F173="OWC",F173="GWC",F173="OWC_TRANSITION",F173="GOC_TRANSITION"),IF(L173&gt;=K173,"Supports","Conflicts"),"N/A"),"No Sw"))</f>
        <v/>
      </c>
      <c r="O173" s="20">
        <f>IF(G173="","",Settings!$B$6*IF(OR(F173="GOC",F173="OWC",F173="GWC"),1,0.7)+Settings!$B$7*IF(N173="Supports",1,IF(N173="Conflicts",0,0.5))+Settings!$B$8*IF(AND(Master_Data!R173&lt;&gt;"",Master_Data!S173&lt;&gt;"",Master_Data!R174&lt;&gt;"",Master_Data!S174&lt;&gt;""),1,0.5))</f>
        <v/>
      </c>
      <c r="P173" s="19">
        <f>IF(G173="","",IF(N173="Conflicts","SW_CONFLICT",IF(OR(F173="GOC",F173="OWC",F173="GWC"),"DIRECT_FLUID_TRANSITION","TRANSITION_INTERVAL")))</f>
        <v/>
      </c>
      <c r="Q173" s="19">
        <f>IF(G173="","",IF(N173="Conflicts","Investigate contact interpretation / saturation behaviour",IF(OR(F173="OWC",F173="GOC",F173="GWC"),"Candidate contact — validate with logs, pressure and dynamic evidence","Transition zone — do not force to a sharp contact")))</f>
        <v/>
      </c>
    </row>
    <row r="174">
      <c r="A174" s="19">
        <f>IF(AND(Master_Data!A174&lt;&gt;"",Master_Data!A174=Master_Data!A175),Master_Data!A174,"")</f>
        <v/>
      </c>
      <c r="B174" s="19">
        <f>IF($A174="","",Master_Data!B174)</f>
        <v/>
      </c>
      <c r="C174" s="19">
        <f>IF($A174="","",Master_Data!B175)</f>
        <v/>
      </c>
      <c r="D174" s="19">
        <f>IF($A174="","",Master_Data!Q174)</f>
        <v/>
      </c>
      <c r="E174" s="19">
        <f>IF($A174="","",Master_Data!Q175)</f>
        <v/>
      </c>
      <c r="F174" s="19">
        <f>IF($A174="","",IF(AND(D174="GAS",E174="OIL"),"GOC",IF(AND(D174="OIL",E174="WATER"),"OWC",IF(AND(D174="GAS",E174="WATER"),"GWC",IF(AND(D174="OIL",E174="OIL_WATER"),"OWC_TRANSITION",IF(AND(D174="OIL_WATER",E174="WATER"),"OWC_TRANSITION",IF(AND(D174="GAS",E174="GAS_WATER"),"GOC_TRANSITION",IF(AND(D174="GAS_WATER",E174="OIL"),"GOC_TRANSITION",IF(OR(D174="OIL_WATER",D174="GAS_WATER"),"TRANSITION_INTERVAL","")))))))))</f>
        <v/>
      </c>
      <c r="G174" s="20">
        <f>IF(OR(F174="",Master_Data!R174="",Master_Data!S174=""),"",IF(RIGHT(F174,10)="TRANSITION",AVERAGE(Master_Data!R174:Master_Data!S174),AVERAGE(Master_Data!S174,Master_Data!R175)))</f>
        <v/>
      </c>
      <c r="H174" s="20">
        <f>IF(G174="","",MAX(Settings!$B$4,Settings!$B$5*AVERAGE(IF(Master_Data!O174&lt;&gt;"",Master_Data!O174,Master_Data!H174),IF(Master_Data!O175&lt;&gt;"",Master_Data!O175,Master_Data!H175))))</f>
        <v/>
      </c>
      <c r="I174" s="20">
        <f>IF(G174="","",G174-H174)</f>
        <v/>
      </c>
      <c r="J174" s="20">
        <f>IF(G174="","",G174+H174)</f>
        <v/>
      </c>
      <c r="K174" s="20">
        <f>IF($A174="","",Master_Data!G174)</f>
        <v/>
      </c>
      <c r="L174" s="20">
        <f>IF($A174="","",Master_Data!G175)</f>
        <v/>
      </c>
      <c r="M174" s="20">
        <f>IF(AND(ISNUMBER(K174),ISNUMBER(L174)),L174-K174,"")</f>
        <v/>
      </c>
      <c r="N174" s="19">
        <f>IF(G174="","",IF(AND(ISNUMBER(K174),ISNUMBER(L174)),IF(OR(F174="GOC",F174="OWC",F174="GWC",F174="OWC_TRANSITION",F174="GOC_TRANSITION"),IF(L174&gt;=K174,"Supports","Conflicts"),"N/A"),"No Sw"))</f>
        <v/>
      </c>
      <c r="O174" s="20">
        <f>IF(G174="","",Settings!$B$6*IF(OR(F174="GOC",F174="OWC",F174="GWC"),1,0.7)+Settings!$B$7*IF(N174="Supports",1,IF(N174="Conflicts",0,0.5))+Settings!$B$8*IF(AND(Master_Data!R174&lt;&gt;"",Master_Data!S174&lt;&gt;"",Master_Data!R175&lt;&gt;"",Master_Data!S175&lt;&gt;""),1,0.5))</f>
        <v/>
      </c>
      <c r="P174" s="19">
        <f>IF(G174="","",IF(N174="Conflicts","SW_CONFLICT",IF(OR(F174="GOC",F174="OWC",F174="GWC"),"DIRECT_FLUID_TRANSITION","TRANSITION_INTERVAL")))</f>
        <v/>
      </c>
      <c r="Q174" s="19">
        <f>IF(G174="","",IF(N174="Conflicts","Investigate contact interpretation / saturation behaviour",IF(OR(F174="OWC",F174="GOC",F174="GWC"),"Candidate contact — validate with logs, pressure and dynamic evidence","Transition zone — do not force to a sharp contact")))</f>
        <v/>
      </c>
    </row>
    <row r="175">
      <c r="A175" s="19">
        <f>IF(AND(Master_Data!A175&lt;&gt;"",Master_Data!A175=Master_Data!A176),Master_Data!A175,"")</f>
        <v/>
      </c>
      <c r="B175" s="19">
        <f>IF($A175="","",Master_Data!B175)</f>
        <v/>
      </c>
      <c r="C175" s="19">
        <f>IF($A175="","",Master_Data!B176)</f>
        <v/>
      </c>
      <c r="D175" s="19">
        <f>IF($A175="","",Master_Data!Q175)</f>
        <v/>
      </c>
      <c r="E175" s="19">
        <f>IF($A175="","",Master_Data!Q176)</f>
        <v/>
      </c>
      <c r="F175" s="19">
        <f>IF($A175="","",IF(AND(D175="GAS",E175="OIL"),"GOC",IF(AND(D175="OIL",E175="WATER"),"OWC",IF(AND(D175="GAS",E175="WATER"),"GWC",IF(AND(D175="OIL",E175="OIL_WATER"),"OWC_TRANSITION",IF(AND(D175="OIL_WATER",E175="WATER"),"OWC_TRANSITION",IF(AND(D175="GAS",E175="GAS_WATER"),"GOC_TRANSITION",IF(AND(D175="GAS_WATER",E175="OIL"),"GOC_TRANSITION",IF(OR(D175="OIL_WATER",D175="GAS_WATER"),"TRANSITION_INTERVAL","")))))))))</f>
        <v/>
      </c>
      <c r="G175" s="20">
        <f>IF(OR(F175="",Master_Data!R175="",Master_Data!S175=""),"",IF(RIGHT(F175,10)="TRANSITION",AVERAGE(Master_Data!R175:Master_Data!S175),AVERAGE(Master_Data!S175,Master_Data!R176)))</f>
        <v/>
      </c>
      <c r="H175" s="20">
        <f>IF(G175="","",MAX(Settings!$B$4,Settings!$B$5*AVERAGE(IF(Master_Data!O175&lt;&gt;"",Master_Data!O175,Master_Data!H175),IF(Master_Data!O176&lt;&gt;"",Master_Data!O176,Master_Data!H176))))</f>
        <v/>
      </c>
      <c r="I175" s="20">
        <f>IF(G175="","",G175-H175)</f>
        <v/>
      </c>
      <c r="J175" s="20">
        <f>IF(G175="","",G175+H175)</f>
        <v/>
      </c>
      <c r="K175" s="20">
        <f>IF($A175="","",Master_Data!G175)</f>
        <v/>
      </c>
      <c r="L175" s="20">
        <f>IF($A175="","",Master_Data!G176)</f>
        <v/>
      </c>
      <c r="M175" s="20">
        <f>IF(AND(ISNUMBER(K175),ISNUMBER(L175)),L175-K175,"")</f>
        <v/>
      </c>
      <c r="N175" s="19">
        <f>IF(G175="","",IF(AND(ISNUMBER(K175),ISNUMBER(L175)),IF(OR(F175="GOC",F175="OWC",F175="GWC",F175="OWC_TRANSITION",F175="GOC_TRANSITION"),IF(L175&gt;=K175,"Supports","Conflicts"),"N/A"),"No Sw"))</f>
        <v/>
      </c>
      <c r="O175" s="20">
        <f>IF(G175="","",Settings!$B$6*IF(OR(F175="GOC",F175="OWC",F175="GWC"),1,0.7)+Settings!$B$7*IF(N175="Supports",1,IF(N175="Conflicts",0,0.5))+Settings!$B$8*IF(AND(Master_Data!R175&lt;&gt;"",Master_Data!S175&lt;&gt;"",Master_Data!R176&lt;&gt;"",Master_Data!S176&lt;&gt;""),1,0.5))</f>
        <v/>
      </c>
      <c r="P175" s="19">
        <f>IF(G175="","",IF(N175="Conflicts","SW_CONFLICT",IF(OR(F175="GOC",F175="OWC",F175="GWC"),"DIRECT_FLUID_TRANSITION","TRANSITION_INTERVAL")))</f>
        <v/>
      </c>
      <c r="Q175" s="19">
        <f>IF(G175="","",IF(N175="Conflicts","Investigate contact interpretation / saturation behaviour",IF(OR(F175="OWC",F175="GOC",F175="GWC"),"Candidate contact — validate with logs, pressure and dynamic evidence","Transition zone — do not force to a sharp contact")))</f>
        <v/>
      </c>
    </row>
    <row r="176">
      <c r="A176" s="19">
        <f>IF(AND(Master_Data!A176&lt;&gt;"",Master_Data!A176=Master_Data!A177),Master_Data!A176,"")</f>
        <v/>
      </c>
      <c r="B176" s="19">
        <f>IF($A176="","",Master_Data!B176)</f>
        <v/>
      </c>
      <c r="C176" s="19">
        <f>IF($A176="","",Master_Data!B177)</f>
        <v/>
      </c>
      <c r="D176" s="19">
        <f>IF($A176="","",Master_Data!Q176)</f>
        <v/>
      </c>
      <c r="E176" s="19">
        <f>IF($A176="","",Master_Data!Q177)</f>
        <v/>
      </c>
      <c r="F176" s="19">
        <f>IF($A176="","",IF(AND(D176="GAS",E176="OIL"),"GOC",IF(AND(D176="OIL",E176="WATER"),"OWC",IF(AND(D176="GAS",E176="WATER"),"GWC",IF(AND(D176="OIL",E176="OIL_WATER"),"OWC_TRANSITION",IF(AND(D176="OIL_WATER",E176="WATER"),"OWC_TRANSITION",IF(AND(D176="GAS",E176="GAS_WATER"),"GOC_TRANSITION",IF(AND(D176="GAS_WATER",E176="OIL"),"GOC_TRANSITION",IF(OR(D176="OIL_WATER",D176="GAS_WATER"),"TRANSITION_INTERVAL","")))))))))</f>
        <v/>
      </c>
      <c r="G176" s="20">
        <f>IF(OR(F176="",Master_Data!R176="",Master_Data!S176=""),"",IF(RIGHT(F176,10)="TRANSITION",AVERAGE(Master_Data!R176:Master_Data!S176),AVERAGE(Master_Data!S176,Master_Data!R177)))</f>
        <v/>
      </c>
      <c r="H176" s="20">
        <f>IF(G176="","",MAX(Settings!$B$4,Settings!$B$5*AVERAGE(IF(Master_Data!O176&lt;&gt;"",Master_Data!O176,Master_Data!H176),IF(Master_Data!O177&lt;&gt;"",Master_Data!O177,Master_Data!H177))))</f>
        <v/>
      </c>
      <c r="I176" s="20">
        <f>IF(G176="","",G176-H176)</f>
        <v/>
      </c>
      <c r="J176" s="20">
        <f>IF(G176="","",G176+H176)</f>
        <v/>
      </c>
      <c r="K176" s="20">
        <f>IF($A176="","",Master_Data!G176)</f>
        <v/>
      </c>
      <c r="L176" s="20">
        <f>IF($A176="","",Master_Data!G177)</f>
        <v/>
      </c>
      <c r="M176" s="20">
        <f>IF(AND(ISNUMBER(K176),ISNUMBER(L176)),L176-K176,"")</f>
        <v/>
      </c>
      <c r="N176" s="19">
        <f>IF(G176="","",IF(AND(ISNUMBER(K176),ISNUMBER(L176)),IF(OR(F176="GOC",F176="OWC",F176="GWC",F176="OWC_TRANSITION",F176="GOC_TRANSITION"),IF(L176&gt;=K176,"Supports","Conflicts"),"N/A"),"No Sw"))</f>
        <v/>
      </c>
      <c r="O176" s="20">
        <f>IF(G176="","",Settings!$B$6*IF(OR(F176="GOC",F176="OWC",F176="GWC"),1,0.7)+Settings!$B$7*IF(N176="Supports",1,IF(N176="Conflicts",0,0.5))+Settings!$B$8*IF(AND(Master_Data!R176&lt;&gt;"",Master_Data!S176&lt;&gt;"",Master_Data!R177&lt;&gt;"",Master_Data!S177&lt;&gt;""),1,0.5))</f>
        <v/>
      </c>
      <c r="P176" s="19">
        <f>IF(G176="","",IF(N176="Conflicts","SW_CONFLICT",IF(OR(F176="GOC",F176="OWC",F176="GWC"),"DIRECT_FLUID_TRANSITION","TRANSITION_INTERVAL")))</f>
        <v/>
      </c>
      <c r="Q176" s="19">
        <f>IF(G176="","",IF(N176="Conflicts","Investigate contact interpretation / saturation behaviour",IF(OR(F176="OWC",F176="GOC",F176="GWC"),"Candidate contact — validate with logs, pressure and dynamic evidence","Transition zone — do not force to a sharp contact")))</f>
        <v/>
      </c>
    </row>
    <row r="177">
      <c r="A177" s="19">
        <f>IF(AND(Master_Data!A177&lt;&gt;"",Master_Data!A177=Master_Data!A178),Master_Data!A177,"")</f>
        <v/>
      </c>
      <c r="B177" s="19">
        <f>IF($A177="","",Master_Data!B177)</f>
        <v/>
      </c>
      <c r="C177" s="19">
        <f>IF($A177="","",Master_Data!B178)</f>
        <v/>
      </c>
      <c r="D177" s="19">
        <f>IF($A177="","",Master_Data!Q177)</f>
        <v/>
      </c>
      <c r="E177" s="19">
        <f>IF($A177="","",Master_Data!Q178)</f>
        <v/>
      </c>
      <c r="F177" s="19">
        <f>IF($A177="","",IF(AND(D177="GAS",E177="OIL"),"GOC",IF(AND(D177="OIL",E177="WATER"),"OWC",IF(AND(D177="GAS",E177="WATER"),"GWC",IF(AND(D177="OIL",E177="OIL_WATER"),"OWC_TRANSITION",IF(AND(D177="OIL_WATER",E177="WATER"),"OWC_TRANSITION",IF(AND(D177="GAS",E177="GAS_WATER"),"GOC_TRANSITION",IF(AND(D177="GAS_WATER",E177="OIL"),"GOC_TRANSITION",IF(OR(D177="OIL_WATER",D177="GAS_WATER"),"TRANSITION_INTERVAL","")))))))))</f>
        <v/>
      </c>
      <c r="G177" s="20">
        <f>IF(OR(F177="",Master_Data!R177="",Master_Data!S177=""),"",IF(RIGHT(F177,10)="TRANSITION",AVERAGE(Master_Data!R177:Master_Data!S177),AVERAGE(Master_Data!S177,Master_Data!R178)))</f>
        <v/>
      </c>
      <c r="H177" s="20">
        <f>IF(G177="","",MAX(Settings!$B$4,Settings!$B$5*AVERAGE(IF(Master_Data!O177&lt;&gt;"",Master_Data!O177,Master_Data!H177),IF(Master_Data!O178&lt;&gt;"",Master_Data!O178,Master_Data!H178))))</f>
        <v/>
      </c>
      <c r="I177" s="20">
        <f>IF(G177="","",G177-H177)</f>
        <v/>
      </c>
      <c r="J177" s="20">
        <f>IF(G177="","",G177+H177)</f>
        <v/>
      </c>
      <c r="K177" s="20">
        <f>IF($A177="","",Master_Data!G177)</f>
        <v/>
      </c>
      <c r="L177" s="20">
        <f>IF($A177="","",Master_Data!G178)</f>
        <v/>
      </c>
      <c r="M177" s="20">
        <f>IF(AND(ISNUMBER(K177),ISNUMBER(L177)),L177-K177,"")</f>
        <v/>
      </c>
      <c r="N177" s="19">
        <f>IF(G177="","",IF(AND(ISNUMBER(K177),ISNUMBER(L177)),IF(OR(F177="GOC",F177="OWC",F177="GWC",F177="OWC_TRANSITION",F177="GOC_TRANSITION"),IF(L177&gt;=K177,"Supports","Conflicts"),"N/A"),"No Sw"))</f>
        <v/>
      </c>
      <c r="O177" s="20">
        <f>IF(G177="","",Settings!$B$6*IF(OR(F177="GOC",F177="OWC",F177="GWC"),1,0.7)+Settings!$B$7*IF(N177="Supports",1,IF(N177="Conflicts",0,0.5))+Settings!$B$8*IF(AND(Master_Data!R177&lt;&gt;"",Master_Data!S177&lt;&gt;"",Master_Data!R178&lt;&gt;"",Master_Data!S178&lt;&gt;""),1,0.5))</f>
        <v/>
      </c>
      <c r="P177" s="19">
        <f>IF(G177="","",IF(N177="Conflicts","SW_CONFLICT",IF(OR(F177="GOC",F177="OWC",F177="GWC"),"DIRECT_FLUID_TRANSITION","TRANSITION_INTERVAL")))</f>
        <v/>
      </c>
      <c r="Q177" s="19">
        <f>IF(G177="","",IF(N177="Conflicts","Investigate contact interpretation / saturation behaviour",IF(OR(F177="OWC",F177="GOC",F177="GWC"),"Candidate contact — validate with logs, pressure and dynamic evidence","Transition zone — do not force to a sharp contact")))</f>
        <v/>
      </c>
    </row>
    <row r="178">
      <c r="A178" s="19">
        <f>IF(AND(Master_Data!A178&lt;&gt;"",Master_Data!A178=Master_Data!A179),Master_Data!A178,"")</f>
        <v/>
      </c>
      <c r="B178" s="19">
        <f>IF($A178="","",Master_Data!B178)</f>
        <v/>
      </c>
      <c r="C178" s="19">
        <f>IF($A178="","",Master_Data!B179)</f>
        <v/>
      </c>
      <c r="D178" s="19">
        <f>IF($A178="","",Master_Data!Q178)</f>
        <v/>
      </c>
      <c r="E178" s="19">
        <f>IF($A178="","",Master_Data!Q179)</f>
        <v/>
      </c>
      <c r="F178" s="19">
        <f>IF($A178="","",IF(AND(D178="GAS",E178="OIL"),"GOC",IF(AND(D178="OIL",E178="WATER"),"OWC",IF(AND(D178="GAS",E178="WATER"),"GWC",IF(AND(D178="OIL",E178="OIL_WATER"),"OWC_TRANSITION",IF(AND(D178="OIL_WATER",E178="WATER"),"OWC_TRANSITION",IF(AND(D178="GAS",E178="GAS_WATER"),"GOC_TRANSITION",IF(AND(D178="GAS_WATER",E178="OIL"),"GOC_TRANSITION",IF(OR(D178="OIL_WATER",D178="GAS_WATER"),"TRANSITION_INTERVAL","")))))))))</f>
        <v/>
      </c>
      <c r="G178" s="20">
        <f>IF(OR(F178="",Master_Data!R178="",Master_Data!S178=""),"",IF(RIGHT(F178,10)="TRANSITION",AVERAGE(Master_Data!R178:Master_Data!S178),AVERAGE(Master_Data!S178,Master_Data!R179)))</f>
        <v/>
      </c>
      <c r="H178" s="20">
        <f>IF(G178="","",MAX(Settings!$B$4,Settings!$B$5*AVERAGE(IF(Master_Data!O178&lt;&gt;"",Master_Data!O178,Master_Data!H178),IF(Master_Data!O179&lt;&gt;"",Master_Data!O179,Master_Data!H179))))</f>
        <v/>
      </c>
      <c r="I178" s="20">
        <f>IF(G178="","",G178-H178)</f>
        <v/>
      </c>
      <c r="J178" s="20">
        <f>IF(G178="","",G178+H178)</f>
        <v/>
      </c>
      <c r="K178" s="20">
        <f>IF($A178="","",Master_Data!G178)</f>
        <v/>
      </c>
      <c r="L178" s="20">
        <f>IF($A178="","",Master_Data!G179)</f>
        <v/>
      </c>
      <c r="M178" s="20">
        <f>IF(AND(ISNUMBER(K178),ISNUMBER(L178)),L178-K178,"")</f>
        <v/>
      </c>
      <c r="N178" s="19">
        <f>IF(G178="","",IF(AND(ISNUMBER(K178),ISNUMBER(L178)),IF(OR(F178="GOC",F178="OWC",F178="GWC",F178="OWC_TRANSITION",F178="GOC_TRANSITION"),IF(L178&gt;=K178,"Supports","Conflicts"),"N/A"),"No Sw"))</f>
        <v/>
      </c>
      <c r="O178" s="20">
        <f>IF(G178="","",Settings!$B$6*IF(OR(F178="GOC",F178="OWC",F178="GWC"),1,0.7)+Settings!$B$7*IF(N178="Supports",1,IF(N178="Conflicts",0,0.5))+Settings!$B$8*IF(AND(Master_Data!R178&lt;&gt;"",Master_Data!S178&lt;&gt;"",Master_Data!R179&lt;&gt;"",Master_Data!S179&lt;&gt;""),1,0.5))</f>
        <v/>
      </c>
      <c r="P178" s="19">
        <f>IF(G178="","",IF(N178="Conflicts","SW_CONFLICT",IF(OR(F178="GOC",F178="OWC",F178="GWC"),"DIRECT_FLUID_TRANSITION","TRANSITION_INTERVAL")))</f>
        <v/>
      </c>
      <c r="Q178" s="19">
        <f>IF(G178="","",IF(N178="Conflicts","Investigate contact interpretation / saturation behaviour",IF(OR(F178="OWC",F178="GOC",F178="GWC"),"Candidate contact — validate with logs, pressure and dynamic evidence","Transition zone — do not force to a sharp contact")))</f>
        <v/>
      </c>
    </row>
    <row r="179">
      <c r="A179" s="19">
        <f>IF(AND(Master_Data!A179&lt;&gt;"",Master_Data!A179=Master_Data!A180),Master_Data!A179,"")</f>
        <v/>
      </c>
      <c r="B179" s="19">
        <f>IF($A179="","",Master_Data!B179)</f>
        <v/>
      </c>
      <c r="C179" s="19">
        <f>IF($A179="","",Master_Data!B180)</f>
        <v/>
      </c>
      <c r="D179" s="19">
        <f>IF($A179="","",Master_Data!Q179)</f>
        <v/>
      </c>
      <c r="E179" s="19">
        <f>IF($A179="","",Master_Data!Q180)</f>
        <v/>
      </c>
      <c r="F179" s="19">
        <f>IF($A179="","",IF(AND(D179="GAS",E179="OIL"),"GOC",IF(AND(D179="OIL",E179="WATER"),"OWC",IF(AND(D179="GAS",E179="WATER"),"GWC",IF(AND(D179="OIL",E179="OIL_WATER"),"OWC_TRANSITION",IF(AND(D179="OIL_WATER",E179="WATER"),"OWC_TRANSITION",IF(AND(D179="GAS",E179="GAS_WATER"),"GOC_TRANSITION",IF(AND(D179="GAS_WATER",E179="OIL"),"GOC_TRANSITION",IF(OR(D179="OIL_WATER",D179="GAS_WATER"),"TRANSITION_INTERVAL","")))))))))</f>
        <v/>
      </c>
      <c r="G179" s="20">
        <f>IF(OR(F179="",Master_Data!R179="",Master_Data!S179=""),"",IF(RIGHT(F179,10)="TRANSITION",AVERAGE(Master_Data!R179:Master_Data!S179),AVERAGE(Master_Data!S179,Master_Data!R180)))</f>
        <v/>
      </c>
      <c r="H179" s="20">
        <f>IF(G179="","",MAX(Settings!$B$4,Settings!$B$5*AVERAGE(IF(Master_Data!O179&lt;&gt;"",Master_Data!O179,Master_Data!H179),IF(Master_Data!O180&lt;&gt;"",Master_Data!O180,Master_Data!H180))))</f>
        <v/>
      </c>
      <c r="I179" s="20">
        <f>IF(G179="","",G179-H179)</f>
        <v/>
      </c>
      <c r="J179" s="20">
        <f>IF(G179="","",G179+H179)</f>
        <v/>
      </c>
      <c r="K179" s="20">
        <f>IF($A179="","",Master_Data!G179)</f>
        <v/>
      </c>
      <c r="L179" s="20">
        <f>IF($A179="","",Master_Data!G180)</f>
        <v/>
      </c>
      <c r="M179" s="20">
        <f>IF(AND(ISNUMBER(K179),ISNUMBER(L179)),L179-K179,"")</f>
        <v/>
      </c>
      <c r="N179" s="19">
        <f>IF(G179="","",IF(AND(ISNUMBER(K179),ISNUMBER(L179)),IF(OR(F179="GOC",F179="OWC",F179="GWC",F179="OWC_TRANSITION",F179="GOC_TRANSITION"),IF(L179&gt;=K179,"Supports","Conflicts"),"N/A"),"No Sw"))</f>
        <v/>
      </c>
      <c r="O179" s="20">
        <f>IF(G179="","",Settings!$B$6*IF(OR(F179="GOC",F179="OWC",F179="GWC"),1,0.7)+Settings!$B$7*IF(N179="Supports",1,IF(N179="Conflicts",0,0.5))+Settings!$B$8*IF(AND(Master_Data!R179&lt;&gt;"",Master_Data!S179&lt;&gt;"",Master_Data!R180&lt;&gt;"",Master_Data!S180&lt;&gt;""),1,0.5))</f>
        <v/>
      </c>
      <c r="P179" s="19">
        <f>IF(G179="","",IF(N179="Conflicts","SW_CONFLICT",IF(OR(F179="GOC",F179="OWC",F179="GWC"),"DIRECT_FLUID_TRANSITION","TRANSITION_INTERVAL")))</f>
        <v/>
      </c>
      <c r="Q179" s="19">
        <f>IF(G179="","",IF(N179="Conflicts","Investigate contact interpretation / saturation behaviour",IF(OR(F179="OWC",F179="GOC",F179="GWC"),"Candidate contact — validate with logs, pressure and dynamic evidence","Transition zone — do not force to a sharp contact")))</f>
        <v/>
      </c>
    </row>
    <row r="180">
      <c r="A180" s="19">
        <f>IF(AND(Master_Data!A180&lt;&gt;"",Master_Data!A180=Master_Data!A181),Master_Data!A180,"")</f>
        <v/>
      </c>
      <c r="B180" s="19">
        <f>IF($A180="","",Master_Data!B180)</f>
        <v/>
      </c>
      <c r="C180" s="19">
        <f>IF($A180="","",Master_Data!B181)</f>
        <v/>
      </c>
      <c r="D180" s="19">
        <f>IF($A180="","",Master_Data!Q180)</f>
        <v/>
      </c>
      <c r="E180" s="19">
        <f>IF($A180="","",Master_Data!Q181)</f>
        <v/>
      </c>
      <c r="F180" s="19">
        <f>IF($A180="","",IF(AND(D180="GAS",E180="OIL"),"GOC",IF(AND(D180="OIL",E180="WATER"),"OWC",IF(AND(D180="GAS",E180="WATER"),"GWC",IF(AND(D180="OIL",E180="OIL_WATER"),"OWC_TRANSITION",IF(AND(D180="OIL_WATER",E180="WATER"),"OWC_TRANSITION",IF(AND(D180="GAS",E180="GAS_WATER"),"GOC_TRANSITION",IF(AND(D180="GAS_WATER",E180="OIL"),"GOC_TRANSITION",IF(OR(D180="OIL_WATER",D180="GAS_WATER"),"TRANSITION_INTERVAL","")))))))))</f>
        <v/>
      </c>
      <c r="G180" s="20">
        <f>IF(OR(F180="",Master_Data!R180="",Master_Data!S180=""),"",IF(RIGHT(F180,10)="TRANSITION",AVERAGE(Master_Data!R180:Master_Data!S180),AVERAGE(Master_Data!S180,Master_Data!R181)))</f>
        <v/>
      </c>
      <c r="H180" s="20">
        <f>IF(G180="","",MAX(Settings!$B$4,Settings!$B$5*AVERAGE(IF(Master_Data!O180&lt;&gt;"",Master_Data!O180,Master_Data!H180),IF(Master_Data!O181&lt;&gt;"",Master_Data!O181,Master_Data!H181))))</f>
        <v/>
      </c>
      <c r="I180" s="20">
        <f>IF(G180="","",G180-H180)</f>
        <v/>
      </c>
      <c r="J180" s="20">
        <f>IF(G180="","",G180+H180)</f>
        <v/>
      </c>
      <c r="K180" s="20">
        <f>IF($A180="","",Master_Data!G180)</f>
        <v/>
      </c>
      <c r="L180" s="20">
        <f>IF($A180="","",Master_Data!G181)</f>
        <v/>
      </c>
      <c r="M180" s="20">
        <f>IF(AND(ISNUMBER(K180),ISNUMBER(L180)),L180-K180,"")</f>
        <v/>
      </c>
      <c r="N180" s="19">
        <f>IF(G180="","",IF(AND(ISNUMBER(K180),ISNUMBER(L180)),IF(OR(F180="GOC",F180="OWC",F180="GWC",F180="OWC_TRANSITION",F180="GOC_TRANSITION"),IF(L180&gt;=K180,"Supports","Conflicts"),"N/A"),"No Sw"))</f>
        <v/>
      </c>
      <c r="O180" s="20">
        <f>IF(G180="","",Settings!$B$6*IF(OR(F180="GOC",F180="OWC",F180="GWC"),1,0.7)+Settings!$B$7*IF(N180="Supports",1,IF(N180="Conflicts",0,0.5))+Settings!$B$8*IF(AND(Master_Data!R180&lt;&gt;"",Master_Data!S180&lt;&gt;"",Master_Data!R181&lt;&gt;"",Master_Data!S181&lt;&gt;""),1,0.5))</f>
        <v/>
      </c>
      <c r="P180" s="19">
        <f>IF(G180="","",IF(N180="Conflicts","SW_CONFLICT",IF(OR(F180="GOC",F180="OWC",F180="GWC"),"DIRECT_FLUID_TRANSITION","TRANSITION_INTERVAL")))</f>
        <v/>
      </c>
      <c r="Q180" s="19">
        <f>IF(G180="","",IF(N180="Conflicts","Investigate contact interpretation / saturation behaviour",IF(OR(F180="OWC",F180="GOC",F180="GWC"),"Candidate contact — validate with logs, pressure and dynamic evidence","Transition zone — do not force to a sharp contact")))</f>
        <v/>
      </c>
    </row>
    <row r="181">
      <c r="A181" s="19">
        <f>IF(AND(Master_Data!A181&lt;&gt;"",Master_Data!A181=Master_Data!A182),Master_Data!A181,"")</f>
        <v/>
      </c>
      <c r="B181" s="19">
        <f>IF($A181="","",Master_Data!B181)</f>
        <v/>
      </c>
      <c r="C181" s="19">
        <f>IF($A181="","",Master_Data!B182)</f>
        <v/>
      </c>
      <c r="D181" s="19">
        <f>IF($A181="","",Master_Data!Q181)</f>
        <v/>
      </c>
      <c r="E181" s="19">
        <f>IF($A181="","",Master_Data!Q182)</f>
        <v/>
      </c>
      <c r="F181" s="19">
        <f>IF($A181="","",IF(AND(D181="GAS",E181="OIL"),"GOC",IF(AND(D181="OIL",E181="WATER"),"OWC",IF(AND(D181="GAS",E181="WATER"),"GWC",IF(AND(D181="OIL",E181="OIL_WATER"),"OWC_TRANSITION",IF(AND(D181="OIL_WATER",E181="WATER"),"OWC_TRANSITION",IF(AND(D181="GAS",E181="GAS_WATER"),"GOC_TRANSITION",IF(AND(D181="GAS_WATER",E181="OIL"),"GOC_TRANSITION",IF(OR(D181="OIL_WATER",D181="GAS_WATER"),"TRANSITION_INTERVAL","")))))))))</f>
        <v/>
      </c>
      <c r="G181" s="20">
        <f>IF(OR(F181="",Master_Data!R181="",Master_Data!S181=""),"",IF(RIGHT(F181,10)="TRANSITION",AVERAGE(Master_Data!R181:Master_Data!S181),AVERAGE(Master_Data!S181,Master_Data!R182)))</f>
        <v/>
      </c>
      <c r="H181" s="20">
        <f>IF(G181="","",MAX(Settings!$B$4,Settings!$B$5*AVERAGE(IF(Master_Data!O181&lt;&gt;"",Master_Data!O181,Master_Data!H181),IF(Master_Data!O182&lt;&gt;"",Master_Data!O182,Master_Data!H182))))</f>
        <v/>
      </c>
      <c r="I181" s="20">
        <f>IF(G181="","",G181-H181)</f>
        <v/>
      </c>
      <c r="J181" s="20">
        <f>IF(G181="","",G181+H181)</f>
        <v/>
      </c>
      <c r="K181" s="20">
        <f>IF($A181="","",Master_Data!G181)</f>
        <v/>
      </c>
      <c r="L181" s="20">
        <f>IF($A181="","",Master_Data!G182)</f>
        <v/>
      </c>
      <c r="M181" s="20">
        <f>IF(AND(ISNUMBER(K181),ISNUMBER(L181)),L181-K181,"")</f>
        <v/>
      </c>
      <c r="N181" s="19">
        <f>IF(G181="","",IF(AND(ISNUMBER(K181),ISNUMBER(L181)),IF(OR(F181="GOC",F181="OWC",F181="GWC",F181="OWC_TRANSITION",F181="GOC_TRANSITION"),IF(L181&gt;=K181,"Supports","Conflicts"),"N/A"),"No Sw"))</f>
        <v/>
      </c>
      <c r="O181" s="20">
        <f>IF(G181="","",Settings!$B$6*IF(OR(F181="GOC",F181="OWC",F181="GWC"),1,0.7)+Settings!$B$7*IF(N181="Supports",1,IF(N181="Conflicts",0,0.5))+Settings!$B$8*IF(AND(Master_Data!R181&lt;&gt;"",Master_Data!S181&lt;&gt;"",Master_Data!R182&lt;&gt;"",Master_Data!S182&lt;&gt;""),1,0.5))</f>
        <v/>
      </c>
      <c r="P181" s="19">
        <f>IF(G181="","",IF(N181="Conflicts","SW_CONFLICT",IF(OR(F181="GOC",F181="OWC",F181="GWC"),"DIRECT_FLUID_TRANSITION","TRANSITION_INTERVAL")))</f>
        <v/>
      </c>
      <c r="Q181" s="19">
        <f>IF(G181="","",IF(N181="Conflicts","Investigate contact interpretation / saturation behaviour",IF(OR(F181="OWC",F181="GOC",F181="GWC"),"Candidate contact — validate with logs, pressure and dynamic evidence","Transition zone — do not force to a sharp contact")))</f>
        <v/>
      </c>
    </row>
    <row r="182">
      <c r="A182" s="19">
        <f>IF(AND(Master_Data!A182&lt;&gt;"",Master_Data!A182=Master_Data!A183),Master_Data!A182,"")</f>
        <v/>
      </c>
      <c r="B182" s="19">
        <f>IF($A182="","",Master_Data!B182)</f>
        <v/>
      </c>
      <c r="C182" s="19">
        <f>IF($A182="","",Master_Data!B183)</f>
        <v/>
      </c>
      <c r="D182" s="19">
        <f>IF($A182="","",Master_Data!Q182)</f>
        <v/>
      </c>
      <c r="E182" s="19">
        <f>IF($A182="","",Master_Data!Q183)</f>
        <v/>
      </c>
      <c r="F182" s="19">
        <f>IF($A182="","",IF(AND(D182="GAS",E182="OIL"),"GOC",IF(AND(D182="OIL",E182="WATER"),"OWC",IF(AND(D182="GAS",E182="WATER"),"GWC",IF(AND(D182="OIL",E182="OIL_WATER"),"OWC_TRANSITION",IF(AND(D182="OIL_WATER",E182="WATER"),"OWC_TRANSITION",IF(AND(D182="GAS",E182="GAS_WATER"),"GOC_TRANSITION",IF(AND(D182="GAS_WATER",E182="OIL"),"GOC_TRANSITION",IF(OR(D182="OIL_WATER",D182="GAS_WATER"),"TRANSITION_INTERVAL","")))))))))</f>
        <v/>
      </c>
      <c r="G182" s="20">
        <f>IF(OR(F182="",Master_Data!R182="",Master_Data!S182=""),"",IF(RIGHT(F182,10)="TRANSITION",AVERAGE(Master_Data!R182:Master_Data!S182),AVERAGE(Master_Data!S182,Master_Data!R183)))</f>
        <v/>
      </c>
      <c r="H182" s="20">
        <f>IF(G182="","",MAX(Settings!$B$4,Settings!$B$5*AVERAGE(IF(Master_Data!O182&lt;&gt;"",Master_Data!O182,Master_Data!H182),IF(Master_Data!O183&lt;&gt;"",Master_Data!O183,Master_Data!H183))))</f>
        <v/>
      </c>
      <c r="I182" s="20">
        <f>IF(G182="","",G182-H182)</f>
        <v/>
      </c>
      <c r="J182" s="20">
        <f>IF(G182="","",G182+H182)</f>
        <v/>
      </c>
      <c r="K182" s="20">
        <f>IF($A182="","",Master_Data!G182)</f>
        <v/>
      </c>
      <c r="L182" s="20">
        <f>IF($A182="","",Master_Data!G183)</f>
        <v/>
      </c>
      <c r="M182" s="20">
        <f>IF(AND(ISNUMBER(K182),ISNUMBER(L182)),L182-K182,"")</f>
        <v/>
      </c>
      <c r="N182" s="19">
        <f>IF(G182="","",IF(AND(ISNUMBER(K182),ISNUMBER(L182)),IF(OR(F182="GOC",F182="OWC",F182="GWC",F182="OWC_TRANSITION",F182="GOC_TRANSITION"),IF(L182&gt;=K182,"Supports","Conflicts"),"N/A"),"No Sw"))</f>
        <v/>
      </c>
      <c r="O182" s="20">
        <f>IF(G182="","",Settings!$B$6*IF(OR(F182="GOC",F182="OWC",F182="GWC"),1,0.7)+Settings!$B$7*IF(N182="Supports",1,IF(N182="Conflicts",0,0.5))+Settings!$B$8*IF(AND(Master_Data!R182&lt;&gt;"",Master_Data!S182&lt;&gt;"",Master_Data!R183&lt;&gt;"",Master_Data!S183&lt;&gt;""),1,0.5))</f>
        <v/>
      </c>
      <c r="P182" s="19">
        <f>IF(G182="","",IF(N182="Conflicts","SW_CONFLICT",IF(OR(F182="GOC",F182="OWC",F182="GWC"),"DIRECT_FLUID_TRANSITION","TRANSITION_INTERVAL")))</f>
        <v/>
      </c>
      <c r="Q182" s="19">
        <f>IF(G182="","",IF(N182="Conflicts","Investigate contact interpretation / saturation behaviour",IF(OR(F182="OWC",F182="GOC",F182="GWC"),"Candidate contact — validate with logs, pressure and dynamic evidence","Transition zone — do not force to a sharp contact")))</f>
        <v/>
      </c>
    </row>
    <row r="183">
      <c r="A183" s="19">
        <f>IF(AND(Master_Data!A183&lt;&gt;"",Master_Data!A183=Master_Data!A184),Master_Data!A183,"")</f>
        <v/>
      </c>
      <c r="B183" s="19">
        <f>IF($A183="","",Master_Data!B183)</f>
        <v/>
      </c>
      <c r="C183" s="19">
        <f>IF($A183="","",Master_Data!B184)</f>
        <v/>
      </c>
      <c r="D183" s="19">
        <f>IF($A183="","",Master_Data!Q183)</f>
        <v/>
      </c>
      <c r="E183" s="19">
        <f>IF($A183="","",Master_Data!Q184)</f>
        <v/>
      </c>
      <c r="F183" s="19">
        <f>IF($A183="","",IF(AND(D183="GAS",E183="OIL"),"GOC",IF(AND(D183="OIL",E183="WATER"),"OWC",IF(AND(D183="GAS",E183="WATER"),"GWC",IF(AND(D183="OIL",E183="OIL_WATER"),"OWC_TRANSITION",IF(AND(D183="OIL_WATER",E183="WATER"),"OWC_TRANSITION",IF(AND(D183="GAS",E183="GAS_WATER"),"GOC_TRANSITION",IF(AND(D183="GAS_WATER",E183="OIL"),"GOC_TRANSITION",IF(OR(D183="OIL_WATER",D183="GAS_WATER"),"TRANSITION_INTERVAL","")))))))))</f>
        <v/>
      </c>
      <c r="G183" s="20">
        <f>IF(OR(F183="",Master_Data!R183="",Master_Data!S183=""),"",IF(RIGHT(F183,10)="TRANSITION",AVERAGE(Master_Data!R183:Master_Data!S183),AVERAGE(Master_Data!S183,Master_Data!R184)))</f>
        <v/>
      </c>
      <c r="H183" s="20">
        <f>IF(G183="","",MAX(Settings!$B$4,Settings!$B$5*AVERAGE(IF(Master_Data!O183&lt;&gt;"",Master_Data!O183,Master_Data!H183),IF(Master_Data!O184&lt;&gt;"",Master_Data!O184,Master_Data!H184))))</f>
        <v/>
      </c>
      <c r="I183" s="20">
        <f>IF(G183="","",G183-H183)</f>
        <v/>
      </c>
      <c r="J183" s="20">
        <f>IF(G183="","",G183+H183)</f>
        <v/>
      </c>
      <c r="K183" s="20">
        <f>IF($A183="","",Master_Data!G183)</f>
        <v/>
      </c>
      <c r="L183" s="20">
        <f>IF($A183="","",Master_Data!G184)</f>
        <v/>
      </c>
      <c r="M183" s="20">
        <f>IF(AND(ISNUMBER(K183),ISNUMBER(L183)),L183-K183,"")</f>
        <v/>
      </c>
      <c r="N183" s="19">
        <f>IF(G183="","",IF(AND(ISNUMBER(K183),ISNUMBER(L183)),IF(OR(F183="GOC",F183="OWC",F183="GWC",F183="OWC_TRANSITION",F183="GOC_TRANSITION"),IF(L183&gt;=K183,"Supports","Conflicts"),"N/A"),"No Sw"))</f>
        <v/>
      </c>
      <c r="O183" s="20">
        <f>IF(G183="","",Settings!$B$6*IF(OR(F183="GOC",F183="OWC",F183="GWC"),1,0.7)+Settings!$B$7*IF(N183="Supports",1,IF(N183="Conflicts",0,0.5))+Settings!$B$8*IF(AND(Master_Data!R183&lt;&gt;"",Master_Data!S183&lt;&gt;"",Master_Data!R184&lt;&gt;"",Master_Data!S184&lt;&gt;""),1,0.5))</f>
        <v/>
      </c>
      <c r="P183" s="19">
        <f>IF(G183="","",IF(N183="Conflicts","SW_CONFLICT",IF(OR(F183="GOC",F183="OWC",F183="GWC"),"DIRECT_FLUID_TRANSITION","TRANSITION_INTERVAL")))</f>
        <v/>
      </c>
      <c r="Q183" s="19">
        <f>IF(G183="","",IF(N183="Conflicts","Investigate contact interpretation / saturation behaviour",IF(OR(F183="OWC",F183="GOC",F183="GWC"),"Candidate contact — validate with logs, pressure and dynamic evidence","Transition zone — do not force to a sharp contact")))</f>
        <v/>
      </c>
    </row>
    <row r="184">
      <c r="A184" s="19">
        <f>IF(AND(Master_Data!A184&lt;&gt;"",Master_Data!A184=Master_Data!A185),Master_Data!A184,"")</f>
        <v/>
      </c>
      <c r="B184" s="19">
        <f>IF($A184="","",Master_Data!B184)</f>
        <v/>
      </c>
      <c r="C184" s="19">
        <f>IF($A184="","",Master_Data!B185)</f>
        <v/>
      </c>
      <c r="D184" s="19">
        <f>IF($A184="","",Master_Data!Q184)</f>
        <v/>
      </c>
      <c r="E184" s="19">
        <f>IF($A184="","",Master_Data!Q185)</f>
        <v/>
      </c>
      <c r="F184" s="19">
        <f>IF($A184="","",IF(AND(D184="GAS",E184="OIL"),"GOC",IF(AND(D184="OIL",E184="WATER"),"OWC",IF(AND(D184="GAS",E184="WATER"),"GWC",IF(AND(D184="OIL",E184="OIL_WATER"),"OWC_TRANSITION",IF(AND(D184="OIL_WATER",E184="WATER"),"OWC_TRANSITION",IF(AND(D184="GAS",E184="GAS_WATER"),"GOC_TRANSITION",IF(AND(D184="GAS_WATER",E184="OIL"),"GOC_TRANSITION",IF(OR(D184="OIL_WATER",D184="GAS_WATER"),"TRANSITION_INTERVAL","")))))))))</f>
        <v/>
      </c>
      <c r="G184" s="20">
        <f>IF(OR(F184="",Master_Data!R184="",Master_Data!S184=""),"",IF(RIGHT(F184,10)="TRANSITION",AVERAGE(Master_Data!R184:Master_Data!S184),AVERAGE(Master_Data!S184,Master_Data!R185)))</f>
        <v/>
      </c>
      <c r="H184" s="20">
        <f>IF(G184="","",MAX(Settings!$B$4,Settings!$B$5*AVERAGE(IF(Master_Data!O184&lt;&gt;"",Master_Data!O184,Master_Data!H184),IF(Master_Data!O185&lt;&gt;"",Master_Data!O185,Master_Data!H185))))</f>
        <v/>
      </c>
      <c r="I184" s="20">
        <f>IF(G184="","",G184-H184)</f>
        <v/>
      </c>
      <c r="J184" s="20">
        <f>IF(G184="","",G184+H184)</f>
        <v/>
      </c>
      <c r="K184" s="20">
        <f>IF($A184="","",Master_Data!G184)</f>
        <v/>
      </c>
      <c r="L184" s="20">
        <f>IF($A184="","",Master_Data!G185)</f>
        <v/>
      </c>
      <c r="M184" s="20">
        <f>IF(AND(ISNUMBER(K184),ISNUMBER(L184)),L184-K184,"")</f>
        <v/>
      </c>
      <c r="N184" s="19">
        <f>IF(G184="","",IF(AND(ISNUMBER(K184),ISNUMBER(L184)),IF(OR(F184="GOC",F184="OWC",F184="GWC",F184="OWC_TRANSITION",F184="GOC_TRANSITION"),IF(L184&gt;=K184,"Supports","Conflicts"),"N/A"),"No Sw"))</f>
        <v/>
      </c>
      <c r="O184" s="20">
        <f>IF(G184="","",Settings!$B$6*IF(OR(F184="GOC",F184="OWC",F184="GWC"),1,0.7)+Settings!$B$7*IF(N184="Supports",1,IF(N184="Conflicts",0,0.5))+Settings!$B$8*IF(AND(Master_Data!R184&lt;&gt;"",Master_Data!S184&lt;&gt;"",Master_Data!R185&lt;&gt;"",Master_Data!S185&lt;&gt;""),1,0.5))</f>
        <v/>
      </c>
      <c r="P184" s="19">
        <f>IF(G184="","",IF(N184="Conflicts","SW_CONFLICT",IF(OR(F184="GOC",F184="OWC",F184="GWC"),"DIRECT_FLUID_TRANSITION","TRANSITION_INTERVAL")))</f>
        <v/>
      </c>
      <c r="Q184" s="19">
        <f>IF(G184="","",IF(N184="Conflicts","Investigate contact interpretation / saturation behaviour",IF(OR(F184="OWC",F184="GOC",F184="GWC"),"Candidate contact — validate with logs, pressure and dynamic evidence","Transition zone — do not force to a sharp contact")))</f>
        <v/>
      </c>
    </row>
    <row r="185">
      <c r="A185" s="19">
        <f>IF(AND(Master_Data!A185&lt;&gt;"",Master_Data!A185=Master_Data!A186),Master_Data!A185,"")</f>
        <v/>
      </c>
      <c r="B185" s="19">
        <f>IF($A185="","",Master_Data!B185)</f>
        <v/>
      </c>
      <c r="C185" s="19">
        <f>IF($A185="","",Master_Data!B186)</f>
        <v/>
      </c>
      <c r="D185" s="19">
        <f>IF($A185="","",Master_Data!Q185)</f>
        <v/>
      </c>
      <c r="E185" s="19">
        <f>IF($A185="","",Master_Data!Q186)</f>
        <v/>
      </c>
      <c r="F185" s="19">
        <f>IF($A185="","",IF(AND(D185="GAS",E185="OIL"),"GOC",IF(AND(D185="OIL",E185="WATER"),"OWC",IF(AND(D185="GAS",E185="WATER"),"GWC",IF(AND(D185="OIL",E185="OIL_WATER"),"OWC_TRANSITION",IF(AND(D185="OIL_WATER",E185="WATER"),"OWC_TRANSITION",IF(AND(D185="GAS",E185="GAS_WATER"),"GOC_TRANSITION",IF(AND(D185="GAS_WATER",E185="OIL"),"GOC_TRANSITION",IF(OR(D185="OIL_WATER",D185="GAS_WATER"),"TRANSITION_INTERVAL","")))))))))</f>
        <v/>
      </c>
      <c r="G185" s="20">
        <f>IF(OR(F185="",Master_Data!R185="",Master_Data!S185=""),"",IF(RIGHT(F185,10)="TRANSITION",AVERAGE(Master_Data!R185:Master_Data!S185),AVERAGE(Master_Data!S185,Master_Data!R186)))</f>
        <v/>
      </c>
      <c r="H185" s="20">
        <f>IF(G185="","",MAX(Settings!$B$4,Settings!$B$5*AVERAGE(IF(Master_Data!O185&lt;&gt;"",Master_Data!O185,Master_Data!H185),IF(Master_Data!O186&lt;&gt;"",Master_Data!O186,Master_Data!H186))))</f>
        <v/>
      </c>
      <c r="I185" s="20">
        <f>IF(G185="","",G185-H185)</f>
        <v/>
      </c>
      <c r="J185" s="20">
        <f>IF(G185="","",G185+H185)</f>
        <v/>
      </c>
      <c r="K185" s="20">
        <f>IF($A185="","",Master_Data!G185)</f>
        <v/>
      </c>
      <c r="L185" s="20">
        <f>IF($A185="","",Master_Data!G186)</f>
        <v/>
      </c>
      <c r="M185" s="20">
        <f>IF(AND(ISNUMBER(K185),ISNUMBER(L185)),L185-K185,"")</f>
        <v/>
      </c>
      <c r="N185" s="19">
        <f>IF(G185="","",IF(AND(ISNUMBER(K185),ISNUMBER(L185)),IF(OR(F185="GOC",F185="OWC",F185="GWC",F185="OWC_TRANSITION",F185="GOC_TRANSITION"),IF(L185&gt;=K185,"Supports","Conflicts"),"N/A"),"No Sw"))</f>
        <v/>
      </c>
      <c r="O185" s="20">
        <f>IF(G185="","",Settings!$B$6*IF(OR(F185="GOC",F185="OWC",F185="GWC"),1,0.7)+Settings!$B$7*IF(N185="Supports",1,IF(N185="Conflicts",0,0.5))+Settings!$B$8*IF(AND(Master_Data!R185&lt;&gt;"",Master_Data!S185&lt;&gt;"",Master_Data!R186&lt;&gt;"",Master_Data!S186&lt;&gt;""),1,0.5))</f>
        <v/>
      </c>
      <c r="P185" s="19">
        <f>IF(G185="","",IF(N185="Conflicts","SW_CONFLICT",IF(OR(F185="GOC",F185="OWC",F185="GWC"),"DIRECT_FLUID_TRANSITION","TRANSITION_INTERVAL")))</f>
        <v/>
      </c>
      <c r="Q185" s="19">
        <f>IF(G185="","",IF(N185="Conflicts","Investigate contact interpretation / saturation behaviour",IF(OR(F185="OWC",F185="GOC",F185="GWC"),"Candidate contact — validate with logs, pressure and dynamic evidence","Transition zone — do not force to a sharp contact")))</f>
        <v/>
      </c>
    </row>
    <row r="186">
      <c r="A186" s="19">
        <f>IF(AND(Master_Data!A186&lt;&gt;"",Master_Data!A186=Master_Data!A187),Master_Data!A186,"")</f>
        <v/>
      </c>
      <c r="B186" s="19">
        <f>IF($A186="","",Master_Data!B186)</f>
        <v/>
      </c>
      <c r="C186" s="19">
        <f>IF($A186="","",Master_Data!B187)</f>
        <v/>
      </c>
      <c r="D186" s="19">
        <f>IF($A186="","",Master_Data!Q186)</f>
        <v/>
      </c>
      <c r="E186" s="19">
        <f>IF($A186="","",Master_Data!Q187)</f>
        <v/>
      </c>
      <c r="F186" s="19">
        <f>IF($A186="","",IF(AND(D186="GAS",E186="OIL"),"GOC",IF(AND(D186="OIL",E186="WATER"),"OWC",IF(AND(D186="GAS",E186="WATER"),"GWC",IF(AND(D186="OIL",E186="OIL_WATER"),"OWC_TRANSITION",IF(AND(D186="OIL_WATER",E186="WATER"),"OWC_TRANSITION",IF(AND(D186="GAS",E186="GAS_WATER"),"GOC_TRANSITION",IF(AND(D186="GAS_WATER",E186="OIL"),"GOC_TRANSITION",IF(OR(D186="OIL_WATER",D186="GAS_WATER"),"TRANSITION_INTERVAL","")))))))))</f>
        <v/>
      </c>
      <c r="G186" s="20">
        <f>IF(OR(F186="",Master_Data!R186="",Master_Data!S186=""),"",IF(RIGHT(F186,10)="TRANSITION",AVERAGE(Master_Data!R186:Master_Data!S186),AVERAGE(Master_Data!S186,Master_Data!R187)))</f>
        <v/>
      </c>
      <c r="H186" s="20">
        <f>IF(G186="","",MAX(Settings!$B$4,Settings!$B$5*AVERAGE(IF(Master_Data!O186&lt;&gt;"",Master_Data!O186,Master_Data!H186),IF(Master_Data!O187&lt;&gt;"",Master_Data!O187,Master_Data!H187))))</f>
        <v/>
      </c>
      <c r="I186" s="20">
        <f>IF(G186="","",G186-H186)</f>
        <v/>
      </c>
      <c r="J186" s="20">
        <f>IF(G186="","",G186+H186)</f>
        <v/>
      </c>
      <c r="K186" s="20">
        <f>IF($A186="","",Master_Data!G186)</f>
        <v/>
      </c>
      <c r="L186" s="20">
        <f>IF($A186="","",Master_Data!G187)</f>
        <v/>
      </c>
      <c r="M186" s="20">
        <f>IF(AND(ISNUMBER(K186),ISNUMBER(L186)),L186-K186,"")</f>
        <v/>
      </c>
      <c r="N186" s="19">
        <f>IF(G186="","",IF(AND(ISNUMBER(K186),ISNUMBER(L186)),IF(OR(F186="GOC",F186="OWC",F186="GWC",F186="OWC_TRANSITION",F186="GOC_TRANSITION"),IF(L186&gt;=K186,"Supports","Conflicts"),"N/A"),"No Sw"))</f>
        <v/>
      </c>
      <c r="O186" s="20">
        <f>IF(G186="","",Settings!$B$6*IF(OR(F186="GOC",F186="OWC",F186="GWC"),1,0.7)+Settings!$B$7*IF(N186="Supports",1,IF(N186="Conflicts",0,0.5))+Settings!$B$8*IF(AND(Master_Data!R186&lt;&gt;"",Master_Data!S186&lt;&gt;"",Master_Data!R187&lt;&gt;"",Master_Data!S187&lt;&gt;""),1,0.5))</f>
        <v/>
      </c>
      <c r="P186" s="19">
        <f>IF(G186="","",IF(N186="Conflicts","SW_CONFLICT",IF(OR(F186="GOC",F186="OWC",F186="GWC"),"DIRECT_FLUID_TRANSITION","TRANSITION_INTERVAL")))</f>
        <v/>
      </c>
      <c r="Q186" s="19">
        <f>IF(G186="","",IF(N186="Conflicts","Investigate contact interpretation / saturation behaviour",IF(OR(F186="OWC",F186="GOC",F186="GWC"),"Candidate contact — validate with logs, pressure and dynamic evidence","Transition zone — do not force to a sharp contact")))</f>
        <v/>
      </c>
    </row>
    <row r="187">
      <c r="A187" s="19">
        <f>IF(AND(Master_Data!A187&lt;&gt;"",Master_Data!A187=Master_Data!A188),Master_Data!A187,"")</f>
        <v/>
      </c>
      <c r="B187" s="19">
        <f>IF($A187="","",Master_Data!B187)</f>
        <v/>
      </c>
      <c r="C187" s="19">
        <f>IF($A187="","",Master_Data!B188)</f>
        <v/>
      </c>
      <c r="D187" s="19">
        <f>IF($A187="","",Master_Data!Q187)</f>
        <v/>
      </c>
      <c r="E187" s="19">
        <f>IF($A187="","",Master_Data!Q188)</f>
        <v/>
      </c>
      <c r="F187" s="19">
        <f>IF($A187="","",IF(AND(D187="GAS",E187="OIL"),"GOC",IF(AND(D187="OIL",E187="WATER"),"OWC",IF(AND(D187="GAS",E187="WATER"),"GWC",IF(AND(D187="OIL",E187="OIL_WATER"),"OWC_TRANSITION",IF(AND(D187="OIL_WATER",E187="WATER"),"OWC_TRANSITION",IF(AND(D187="GAS",E187="GAS_WATER"),"GOC_TRANSITION",IF(AND(D187="GAS_WATER",E187="OIL"),"GOC_TRANSITION",IF(OR(D187="OIL_WATER",D187="GAS_WATER"),"TRANSITION_INTERVAL","")))))))))</f>
        <v/>
      </c>
      <c r="G187" s="20">
        <f>IF(OR(F187="",Master_Data!R187="",Master_Data!S187=""),"",IF(RIGHT(F187,10)="TRANSITION",AVERAGE(Master_Data!R187:Master_Data!S187),AVERAGE(Master_Data!S187,Master_Data!R188)))</f>
        <v/>
      </c>
      <c r="H187" s="20">
        <f>IF(G187="","",MAX(Settings!$B$4,Settings!$B$5*AVERAGE(IF(Master_Data!O187&lt;&gt;"",Master_Data!O187,Master_Data!H187),IF(Master_Data!O188&lt;&gt;"",Master_Data!O188,Master_Data!H188))))</f>
        <v/>
      </c>
      <c r="I187" s="20">
        <f>IF(G187="","",G187-H187)</f>
        <v/>
      </c>
      <c r="J187" s="20">
        <f>IF(G187="","",G187+H187)</f>
        <v/>
      </c>
      <c r="K187" s="20">
        <f>IF($A187="","",Master_Data!G187)</f>
        <v/>
      </c>
      <c r="L187" s="20">
        <f>IF($A187="","",Master_Data!G188)</f>
        <v/>
      </c>
      <c r="M187" s="20">
        <f>IF(AND(ISNUMBER(K187),ISNUMBER(L187)),L187-K187,"")</f>
        <v/>
      </c>
      <c r="N187" s="19">
        <f>IF(G187="","",IF(AND(ISNUMBER(K187),ISNUMBER(L187)),IF(OR(F187="GOC",F187="OWC",F187="GWC",F187="OWC_TRANSITION",F187="GOC_TRANSITION"),IF(L187&gt;=K187,"Supports","Conflicts"),"N/A"),"No Sw"))</f>
        <v/>
      </c>
      <c r="O187" s="20">
        <f>IF(G187="","",Settings!$B$6*IF(OR(F187="GOC",F187="OWC",F187="GWC"),1,0.7)+Settings!$B$7*IF(N187="Supports",1,IF(N187="Conflicts",0,0.5))+Settings!$B$8*IF(AND(Master_Data!R187&lt;&gt;"",Master_Data!S187&lt;&gt;"",Master_Data!R188&lt;&gt;"",Master_Data!S188&lt;&gt;""),1,0.5))</f>
        <v/>
      </c>
      <c r="P187" s="19">
        <f>IF(G187="","",IF(N187="Conflicts","SW_CONFLICT",IF(OR(F187="GOC",F187="OWC",F187="GWC"),"DIRECT_FLUID_TRANSITION","TRANSITION_INTERVAL")))</f>
        <v/>
      </c>
      <c r="Q187" s="19">
        <f>IF(G187="","",IF(N187="Conflicts","Investigate contact interpretation / saturation behaviour",IF(OR(F187="OWC",F187="GOC",F187="GWC"),"Candidate contact — validate with logs, pressure and dynamic evidence","Transition zone — do not force to a sharp contact")))</f>
        <v/>
      </c>
    </row>
    <row r="188">
      <c r="A188" s="19">
        <f>IF(AND(Master_Data!A188&lt;&gt;"",Master_Data!A188=Master_Data!A189),Master_Data!A188,"")</f>
        <v/>
      </c>
      <c r="B188" s="19">
        <f>IF($A188="","",Master_Data!B188)</f>
        <v/>
      </c>
      <c r="C188" s="19">
        <f>IF($A188="","",Master_Data!B189)</f>
        <v/>
      </c>
      <c r="D188" s="19">
        <f>IF($A188="","",Master_Data!Q188)</f>
        <v/>
      </c>
      <c r="E188" s="19">
        <f>IF($A188="","",Master_Data!Q189)</f>
        <v/>
      </c>
      <c r="F188" s="19">
        <f>IF($A188="","",IF(AND(D188="GAS",E188="OIL"),"GOC",IF(AND(D188="OIL",E188="WATER"),"OWC",IF(AND(D188="GAS",E188="WATER"),"GWC",IF(AND(D188="OIL",E188="OIL_WATER"),"OWC_TRANSITION",IF(AND(D188="OIL_WATER",E188="WATER"),"OWC_TRANSITION",IF(AND(D188="GAS",E188="GAS_WATER"),"GOC_TRANSITION",IF(AND(D188="GAS_WATER",E188="OIL"),"GOC_TRANSITION",IF(OR(D188="OIL_WATER",D188="GAS_WATER"),"TRANSITION_INTERVAL","")))))))))</f>
        <v/>
      </c>
      <c r="G188" s="20">
        <f>IF(OR(F188="",Master_Data!R188="",Master_Data!S188=""),"",IF(RIGHT(F188,10)="TRANSITION",AVERAGE(Master_Data!R188:Master_Data!S188),AVERAGE(Master_Data!S188,Master_Data!R189)))</f>
        <v/>
      </c>
      <c r="H188" s="20">
        <f>IF(G188="","",MAX(Settings!$B$4,Settings!$B$5*AVERAGE(IF(Master_Data!O188&lt;&gt;"",Master_Data!O188,Master_Data!H188),IF(Master_Data!O189&lt;&gt;"",Master_Data!O189,Master_Data!H189))))</f>
        <v/>
      </c>
      <c r="I188" s="20">
        <f>IF(G188="","",G188-H188)</f>
        <v/>
      </c>
      <c r="J188" s="20">
        <f>IF(G188="","",G188+H188)</f>
        <v/>
      </c>
      <c r="K188" s="20">
        <f>IF($A188="","",Master_Data!G188)</f>
        <v/>
      </c>
      <c r="L188" s="20">
        <f>IF($A188="","",Master_Data!G189)</f>
        <v/>
      </c>
      <c r="M188" s="20">
        <f>IF(AND(ISNUMBER(K188),ISNUMBER(L188)),L188-K188,"")</f>
        <v/>
      </c>
      <c r="N188" s="19">
        <f>IF(G188="","",IF(AND(ISNUMBER(K188),ISNUMBER(L188)),IF(OR(F188="GOC",F188="OWC",F188="GWC",F188="OWC_TRANSITION",F188="GOC_TRANSITION"),IF(L188&gt;=K188,"Supports","Conflicts"),"N/A"),"No Sw"))</f>
        <v/>
      </c>
      <c r="O188" s="20">
        <f>IF(G188="","",Settings!$B$6*IF(OR(F188="GOC",F188="OWC",F188="GWC"),1,0.7)+Settings!$B$7*IF(N188="Supports",1,IF(N188="Conflicts",0,0.5))+Settings!$B$8*IF(AND(Master_Data!R188&lt;&gt;"",Master_Data!S188&lt;&gt;"",Master_Data!R189&lt;&gt;"",Master_Data!S189&lt;&gt;""),1,0.5))</f>
        <v/>
      </c>
      <c r="P188" s="19">
        <f>IF(G188="","",IF(N188="Conflicts","SW_CONFLICT",IF(OR(F188="GOC",F188="OWC",F188="GWC"),"DIRECT_FLUID_TRANSITION","TRANSITION_INTERVAL")))</f>
        <v/>
      </c>
      <c r="Q188" s="19">
        <f>IF(G188="","",IF(N188="Conflicts","Investigate contact interpretation / saturation behaviour",IF(OR(F188="OWC",F188="GOC",F188="GWC"),"Candidate contact — validate with logs, pressure and dynamic evidence","Transition zone — do not force to a sharp contact")))</f>
        <v/>
      </c>
    </row>
    <row r="189">
      <c r="A189" s="19">
        <f>IF(AND(Master_Data!A189&lt;&gt;"",Master_Data!A189=Master_Data!A190),Master_Data!A189,"")</f>
        <v/>
      </c>
      <c r="B189" s="19">
        <f>IF($A189="","",Master_Data!B189)</f>
        <v/>
      </c>
      <c r="C189" s="19">
        <f>IF($A189="","",Master_Data!B190)</f>
        <v/>
      </c>
      <c r="D189" s="19">
        <f>IF($A189="","",Master_Data!Q189)</f>
        <v/>
      </c>
      <c r="E189" s="19">
        <f>IF($A189="","",Master_Data!Q190)</f>
        <v/>
      </c>
      <c r="F189" s="19">
        <f>IF($A189="","",IF(AND(D189="GAS",E189="OIL"),"GOC",IF(AND(D189="OIL",E189="WATER"),"OWC",IF(AND(D189="GAS",E189="WATER"),"GWC",IF(AND(D189="OIL",E189="OIL_WATER"),"OWC_TRANSITION",IF(AND(D189="OIL_WATER",E189="WATER"),"OWC_TRANSITION",IF(AND(D189="GAS",E189="GAS_WATER"),"GOC_TRANSITION",IF(AND(D189="GAS_WATER",E189="OIL"),"GOC_TRANSITION",IF(OR(D189="OIL_WATER",D189="GAS_WATER"),"TRANSITION_INTERVAL","")))))))))</f>
        <v/>
      </c>
      <c r="G189" s="20">
        <f>IF(OR(F189="",Master_Data!R189="",Master_Data!S189=""),"",IF(RIGHT(F189,10)="TRANSITION",AVERAGE(Master_Data!R189:Master_Data!S189),AVERAGE(Master_Data!S189,Master_Data!R190)))</f>
        <v/>
      </c>
      <c r="H189" s="20">
        <f>IF(G189="","",MAX(Settings!$B$4,Settings!$B$5*AVERAGE(IF(Master_Data!O189&lt;&gt;"",Master_Data!O189,Master_Data!H189),IF(Master_Data!O190&lt;&gt;"",Master_Data!O190,Master_Data!H190))))</f>
        <v/>
      </c>
      <c r="I189" s="20">
        <f>IF(G189="","",G189-H189)</f>
        <v/>
      </c>
      <c r="J189" s="20">
        <f>IF(G189="","",G189+H189)</f>
        <v/>
      </c>
      <c r="K189" s="20">
        <f>IF($A189="","",Master_Data!G189)</f>
        <v/>
      </c>
      <c r="L189" s="20">
        <f>IF($A189="","",Master_Data!G190)</f>
        <v/>
      </c>
      <c r="M189" s="20">
        <f>IF(AND(ISNUMBER(K189),ISNUMBER(L189)),L189-K189,"")</f>
        <v/>
      </c>
      <c r="N189" s="19">
        <f>IF(G189="","",IF(AND(ISNUMBER(K189),ISNUMBER(L189)),IF(OR(F189="GOC",F189="OWC",F189="GWC",F189="OWC_TRANSITION",F189="GOC_TRANSITION"),IF(L189&gt;=K189,"Supports","Conflicts"),"N/A"),"No Sw"))</f>
        <v/>
      </c>
      <c r="O189" s="20">
        <f>IF(G189="","",Settings!$B$6*IF(OR(F189="GOC",F189="OWC",F189="GWC"),1,0.7)+Settings!$B$7*IF(N189="Supports",1,IF(N189="Conflicts",0,0.5))+Settings!$B$8*IF(AND(Master_Data!R189&lt;&gt;"",Master_Data!S189&lt;&gt;"",Master_Data!R190&lt;&gt;"",Master_Data!S190&lt;&gt;""),1,0.5))</f>
        <v/>
      </c>
      <c r="P189" s="19">
        <f>IF(G189="","",IF(N189="Conflicts","SW_CONFLICT",IF(OR(F189="GOC",F189="OWC",F189="GWC"),"DIRECT_FLUID_TRANSITION","TRANSITION_INTERVAL")))</f>
        <v/>
      </c>
      <c r="Q189" s="19">
        <f>IF(G189="","",IF(N189="Conflicts","Investigate contact interpretation / saturation behaviour",IF(OR(F189="OWC",F189="GOC",F189="GWC"),"Candidate contact — validate with logs, pressure and dynamic evidence","Transition zone — do not force to a sharp contact")))</f>
        <v/>
      </c>
    </row>
    <row r="190">
      <c r="A190" s="19">
        <f>IF(AND(Master_Data!A190&lt;&gt;"",Master_Data!A190=Master_Data!A191),Master_Data!A190,"")</f>
        <v/>
      </c>
      <c r="B190" s="19">
        <f>IF($A190="","",Master_Data!B190)</f>
        <v/>
      </c>
      <c r="C190" s="19">
        <f>IF($A190="","",Master_Data!B191)</f>
        <v/>
      </c>
      <c r="D190" s="19">
        <f>IF($A190="","",Master_Data!Q190)</f>
        <v/>
      </c>
      <c r="E190" s="19">
        <f>IF($A190="","",Master_Data!Q191)</f>
        <v/>
      </c>
      <c r="F190" s="19">
        <f>IF($A190="","",IF(AND(D190="GAS",E190="OIL"),"GOC",IF(AND(D190="OIL",E190="WATER"),"OWC",IF(AND(D190="GAS",E190="WATER"),"GWC",IF(AND(D190="OIL",E190="OIL_WATER"),"OWC_TRANSITION",IF(AND(D190="OIL_WATER",E190="WATER"),"OWC_TRANSITION",IF(AND(D190="GAS",E190="GAS_WATER"),"GOC_TRANSITION",IF(AND(D190="GAS_WATER",E190="OIL"),"GOC_TRANSITION",IF(OR(D190="OIL_WATER",D190="GAS_WATER"),"TRANSITION_INTERVAL","")))))))))</f>
        <v/>
      </c>
      <c r="G190" s="20">
        <f>IF(OR(F190="",Master_Data!R190="",Master_Data!S190=""),"",IF(RIGHT(F190,10)="TRANSITION",AVERAGE(Master_Data!R190:Master_Data!S190),AVERAGE(Master_Data!S190,Master_Data!R191)))</f>
        <v/>
      </c>
      <c r="H190" s="20">
        <f>IF(G190="","",MAX(Settings!$B$4,Settings!$B$5*AVERAGE(IF(Master_Data!O190&lt;&gt;"",Master_Data!O190,Master_Data!H190),IF(Master_Data!O191&lt;&gt;"",Master_Data!O191,Master_Data!H191))))</f>
        <v/>
      </c>
      <c r="I190" s="20">
        <f>IF(G190="","",G190-H190)</f>
        <v/>
      </c>
      <c r="J190" s="20">
        <f>IF(G190="","",G190+H190)</f>
        <v/>
      </c>
      <c r="K190" s="20">
        <f>IF($A190="","",Master_Data!G190)</f>
        <v/>
      </c>
      <c r="L190" s="20">
        <f>IF($A190="","",Master_Data!G191)</f>
        <v/>
      </c>
      <c r="M190" s="20">
        <f>IF(AND(ISNUMBER(K190),ISNUMBER(L190)),L190-K190,"")</f>
        <v/>
      </c>
      <c r="N190" s="19">
        <f>IF(G190="","",IF(AND(ISNUMBER(K190),ISNUMBER(L190)),IF(OR(F190="GOC",F190="OWC",F190="GWC",F190="OWC_TRANSITION",F190="GOC_TRANSITION"),IF(L190&gt;=K190,"Supports","Conflicts"),"N/A"),"No Sw"))</f>
        <v/>
      </c>
      <c r="O190" s="20">
        <f>IF(G190="","",Settings!$B$6*IF(OR(F190="GOC",F190="OWC",F190="GWC"),1,0.7)+Settings!$B$7*IF(N190="Supports",1,IF(N190="Conflicts",0,0.5))+Settings!$B$8*IF(AND(Master_Data!R190&lt;&gt;"",Master_Data!S190&lt;&gt;"",Master_Data!R191&lt;&gt;"",Master_Data!S191&lt;&gt;""),1,0.5))</f>
        <v/>
      </c>
      <c r="P190" s="19">
        <f>IF(G190="","",IF(N190="Conflicts","SW_CONFLICT",IF(OR(F190="GOC",F190="OWC",F190="GWC"),"DIRECT_FLUID_TRANSITION","TRANSITION_INTERVAL")))</f>
        <v/>
      </c>
      <c r="Q190" s="19">
        <f>IF(G190="","",IF(N190="Conflicts","Investigate contact interpretation / saturation behaviour",IF(OR(F190="OWC",F190="GOC",F190="GWC"),"Candidate contact — validate with logs, pressure and dynamic evidence","Transition zone — do not force to a sharp contact")))</f>
        <v/>
      </c>
    </row>
    <row r="191">
      <c r="A191" s="19">
        <f>IF(AND(Master_Data!A191&lt;&gt;"",Master_Data!A191=Master_Data!A192),Master_Data!A191,"")</f>
        <v/>
      </c>
      <c r="B191" s="19">
        <f>IF($A191="","",Master_Data!B191)</f>
        <v/>
      </c>
      <c r="C191" s="19">
        <f>IF($A191="","",Master_Data!B192)</f>
        <v/>
      </c>
      <c r="D191" s="19">
        <f>IF($A191="","",Master_Data!Q191)</f>
        <v/>
      </c>
      <c r="E191" s="19">
        <f>IF($A191="","",Master_Data!Q192)</f>
        <v/>
      </c>
      <c r="F191" s="19">
        <f>IF($A191="","",IF(AND(D191="GAS",E191="OIL"),"GOC",IF(AND(D191="OIL",E191="WATER"),"OWC",IF(AND(D191="GAS",E191="WATER"),"GWC",IF(AND(D191="OIL",E191="OIL_WATER"),"OWC_TRANSITION",IF(AND(D191="OIL_WATER",E191="WATER"),"OWC_TRANSITION",IF(AND(D191="GAS",E191="GAS_WATER"),"GOC_TRANSITION",IF(AND(D191="GAS_WATER",E191="OIL"),"GOC_TRANSITION",IF(OR(D191="OIL_WATER",D191="GAS_WATER"),"TRANSITION_INTERVAL","")))))))))</f>
        <v/>
      </c>
      <c r="G191" s="20">
        <f>IF(OR(F191="",Master_Data!R191="",Master_Data!S191=""),"",IF(RIGHT(F191,10)="TRANSITION",AVERAGE(Master_Data!R191:Master_Data!S191),AVERAGE(Master_Data!S191,Master_Data!R192)))</f>
        <v/>
      </c>
      <c r="H191" s="20">
        <f>IF(G191="","",MAX(Settings!$B$4,Settings!$B$5*AVERAGE(IF(Master_Data!O191&lt;&gt;"",Master_Data!O191,Master_Data!H191),IF(Master_Data!O192&lt;&gt;"",Master_Data!O192,Master_Data!H192))))</f>
        <v/>
      </c>
      <c r="I191" s="20">
        <f>IF(G191="","",G191-H191)</f>
        <v/>
      </c>
      <c r="J191" s="20">
        <f>IF(G191="","",G191+H191)</f>
        <v/>
      </c>
      <c r="K191" s="20">
        <f>IF($A191="","",Master_Data!G191)</f>
        <v/>
      </c>
      <c r="L191" s="20">
        <f>IF($A191="","",Master_Data!G192)</f>
        <v/>
      </c>
      <c r="M191" s="20">
        <f>IF(AND(ISNUMBER(K191),ISNUMBER(L191)),L191-K191,"")</f>
        <v/>
      </c>
      <c r="N191" s="19">
        <f>IF(G191="","",IF(AND(ISNUMBER(K191),ISNUMBER(L191)),IF(OR(F191="GOC",F191="OWC",F191="GWC",F191="OWC_TRANSITION",F191="GOC_TRANSITION"),IF(L191&gt;=K191,"Supports","Conflicts"),"N/A"),"No Sw"))</f>
        <v/>
      </c>
      <c r="O191" s="20">
        <f>IF(G191="","",Settings!$B$6*IF(OR(F191="GOC",F191="OWC",F191="GWC"),1,0.7)+Settings!$B$7*IF(N191="Supports",1,IF(N191="Conflicts",0,0.5))+Settings!$B$8*IF(AND(Master_Data!R191&lt;&gt;"",Master_Data!S191&lt;&gt;"",Master_Data!R192&lt;&gt;"",Master_Data!S192&lt;&gt;""),1,0.5))</f>
        <v/>
      </c>
      <c r="P191" s="19">
        <f>IF(G191="","",IF(N191="Conflicts","SW_CONFLICT",IF(OR(F191="GOC",F191="OWC",F191="GWC"),"DIRECT_FLUID_TRANSITION","TRANSITION_INTERVAL")))</f>
        <v/>
      </c>
      <c r="Q191" s="19">
        <f>IF(G191="","",IF(N191="Conflicts","Investigate contact interpretation / saturation behaviour",IF(OR(F191="OWC",F191="GOC",F191="GWC"),"Candidate contact — validate with logs, pressure and dynamic evidence","Transition zone — do not force to a sharp contact")))</f>
        <v/>
      </c>
    </row>
    <row r="192">
      <c r="A192" s="19">
        <f>IF(AND(Master_Data!A192&lt;&gt;"",Master_Data!A192=Master_Data!A193),Master_Data!A192,"")</f>
        <v/>
      </c>
      <c r="B192" s="19">
        <f>IF($A192="","",Master_Data!B192)</f>
        <v/>
      </c>
      <c r="C192" s="19">
        <f>IF($A192="","",Master_Data!B193)</f>
        <v/>
      </c>
      <c r="D192" s="19">
        <f>IF($A192="","",Master_Data!Q192)</f>
        <v/>
      </c>
      <c r="E192" s="19">
        <f>IF($A192="","",Master_Data!Q193)</f>
        <v/>
      </c>
      <c r="F192" s="19">
        <f>IF($A192="","",IF(AND(D192="GAS",E192="OIL"),"GOC",IF(AND(D192="OIL",E192="WATER"),"OWC",IF(AND(D192="GAS",E192="WATER"),"GWC",IF(AND(D192="OIL",E192="OIL_WATER"),"OWC_TRANSITION",IF(AND(D192="OIL_WATER",E192="WATER"),"OWC_TRANSITION",IF(AND(D192="GAS",E192="GAS_WATER"),"GOC_TRANSITION",IF(AND(D192="GAS_WATER",E192="OIL"),"GOC_TRANSITION",IF(OR(D192="OIL_WATER",D192="GAS_WATER"),"TRANSITION_INTERVAL","")))))))))</f>
        <v/>
      </c>
      <c r="G192" s="20">
        <f>IF(OR(F192="",Master_Data!R192="",Master_Data!S192=""),"",IF(RIGHT(F192,10)="TRANSITION",AVERAGE(Master_Data!R192:Master_Data!S192),AVERAGE(Master_Data!S192,Master_Data!R193)))</f>
        <v/>
      </c>
      <c r="H192" s="20">
        <f>IF(G192="","",MAX(Settings!$B$4,Settings!$B$5*AVERAGE(IF(Master_Data!O192&lt;&gt;"",Master_Data!O192,Master_Data!H192),IF(Master_Data!O193&lt;&gt;"",Master_Data!O193,Master_Data!H193))))</f>
        <v/>
      </c>
      <c r="I192" s="20">
        <f>IF(G192="","",G192-H192)</f>
        <v/>
      </c>
      <c r="J192" s="20">
        <f>IF(G192="","",G192+H192)</f>
        <v/>
      </c>
      <c r="K192" s="20">
        <f>IF($A192="","",Master_Data!G192)</f>
        <v/>
      </c>
      <c r="L192" s="20">
        <f>IF($A192="","",Master_Data!G193)</f>
        <v/>
      </c>
      <c r="M192" s="20">
        <f>IF(AND(ISNUMBER(K192),ISNUMBER(L192)),L192-K192,"")</f>
        <v/>
      </c>
      <c r="N192" s="19">
        <f>IF(G192="","",IF(AND(ISNUMBER(K192),ISNUMBER(L192)),IF(OR(F192="GOC",F192="OWC",F192="GWC",F192="OWC_TRANSITION",F192="GOC_TRANSITION"),IF(L192&gt;=K192,"Supports","Conflicts"),"N/A"),"No Sw"))</f>
        <v/>
      </c>
      <c r="O192" s="20">
        <f>IF(G192="","",Settings!$B$6*IF(OR(F192="GOC",F192="OWC",F192="GWC"),1,0.7)+Settings!$B$7*IF(N192="Supports",1,IF(N192="Conflicts",0,0.5))+Settings!$B$8*IF(AND(Master_Data!R192&lt;&gt;"",Master_Data!S192&lt;&gt;"",Master_Data!R193&lt;&gt;"",Master_Data!S193&lt;&gt;""),1,0.5))</f>
        <v/>
      </c>
      <c r="P192" s="19">
        <f>IF(G192="","",IF(N192="Conflicts","SW_CONFLICT",IF(OR(F192="GOC",F192="OWC",F192="GWC"),"DIRECT_FLUID_TRANSITION","TRANSITION_INTERVAL")))</f>
        <v/>
      </c>
      <c r="Q192" s="19">
        <f>IF(G192="","",IF(N192="Conflicts","Investigate contact interpretation / saturation behaviour",IF(OR(F192="OWC",F192="GOC",F192="GWC"),"Candidate contact — validate with logs, pressure and dynamic evidence","Transition zone — do not force to a sharp contact")))</f>
        <v/>
      </c>
    </row>
    <row r="193">
      <c r="A193" s="19">
        <f>IF(AND(Master_Data!A193&lt;&gt;"",Master_Data!A193=Master_Data!A194),Master_Data!A193,"")</f>
        <v/>
      </c>
      <c r="B193" s="19">
        <f>IF($A193="","",Master_Data!B193)</f>
        <v/>
      </c>
      <c r="C193" s="19">
        <f>IF($A193="","",Master_Data!B194)</f>
        <v/>
      </c>
      <c r="D193" s="19">
        <f>IF($A193="","",Master_Data!Q193)</f>
        <v/>
      </c>
      <c r="E193" s="19">
        <f>IF($A193="","",Master_Data!Q194)</f>
        <v/>
      </c>
      <c r="F193" s="19">
        <f>IF($A193="","",IF(AND(D193="GAS",E193="OIL"),"GOC",IF(AND(D193="OIL",E193="WATER"),"OWC",IF(AND(D193="GAS",E193="WATER"),"GWC",IF(AND(D193="OIL",E193="OIL_WATER"),"OWC_TRANSITION",IF(AND(D193="OIL_WATER",E193="WATER"),"OWC_TRANSITION",IF(AND(D193="GAS",E193="GAS_WATER"),"GOC_TRANSITION",IF(AND(D193="GAS_WATER",E193="OIL"),"GOC_TRANSITION",IF(OR(D193="OIL_WATER",D193="GAS_WATER"),"TRANSITION_INTERVAL","")))))))))</f>
        <v/>
      </c>
      <c r="G193" s="20">
        <f>IF(OR(F193="",Master_Data!R193="",Master_Data!S193=""),"",IF(RIGHT(F193,10)="TRANSITION",AVERAGE(Master_Data!R193:Master_Data!S193),AVERAGE(Master_Data!S193,Master_Data!R194)))</f>
        <v/>
      </c>
      <c r="H193" s="20">
        <f>IF(G193="","",MAX(Settings!$B$4,Settings!$B$5*AVERAGE(IF(Master_Data!O193&lt;&gt;"",Master_Data!O193,Master_Data!H193),IF(Master_Data!O194&lt;&gt;"",Master_Data!O194,Master_Data!H194))))</f>
        <v/>
      </c>
      <c r="I193" s="20">
        <f>IF(G193="","",G193-H193)</f>
        <v/>
      </c>
      <c r="J193" s="20">
        <f>IF(G193="","",G193+H193)</f>
        <v/>
      </c>
      <c r="K193" s="20">
        <f>IF($A193="","",Master_Data!G193)</f>
        <v/>
      </c>
      <c r="L193" s="20">
        <f>IF($A193="","",Master_Data!G194)</f>
        <v/>
      </c>
      <c r="M193" s="20">
        <f>IF(AND(ISNUMBER(K193),ISNUMBER(L193)),L193-K193,"")</f>
        <v/>
      </c>
      <c r="N193" s="19">
        <f>IF(G193="","",IF(AND(ISNUMBER(K193),ISNUMBER(L193)),IF(OR(F193="GOC",F193="OWC",F193="GWC",F193="OWC_TRANSITION",F193="GOC_TRANSITION"),IF(L193&gt;=K193,"Supports","Conflicts"),"N/A"),"No Sw"))</f>
        <v/>
      </c>
      <c r="O193" s="20">
        <f>IF(G193="","",Settings!$B$6*IF(OR(F193="GOC",F193="OWC",F193="GWC"),1,0.7)+Settings!$B$7*IF(N193="Supports",1,IF(N193="Conflicts",0,0.5))+Settings!$B$8*IF(AND(Master_Data!R193&lt;&gt;"",Master_Data!S193&lt;&gt;"",Master_Data!R194&lt;&gt;"",Master_Data!S194&lt;&gt;""),1,0.5))</f>
        <v/>
      </c>
      <c r="P193" s="19">
        <f>IF(G193="","",IF(N193="Conflicts","SW_CONFLICT",IF(OR(F193="GOC",F193="OWC",F193="GWC"),"DIRECT_FLUID_TRANSITION","TRANSITION_INTERVAL")))</f>
        <v/>
      </c>
      <c r="Q193" s="19">
        <f>IF(G193="","",IF(N193="Conflicts","Investigate contact interpretation / saturation behaviour",IF(OR(F193="OWC",F193="GOC",F193="GWC"),"Candidate contact — validate with logs, pressure and dynamic evidence","Transition zone — do not force to a sharp contact")))</f>
        <v/>
      </c>
    </row>
    <row r="194">
      <c r="A194" s="19">
        <f>IF(AND(Master_Data!A194&lt;&gt;"",Master_Data!A194=Master_Data!A195),Master_Data!A194,"")</f>
        <v/>
      </c>
      <c r="B194" s="19">
        <f>IF($A194="","",Master_Data!B194)</f>
        <v/>
      </c>
      <c r="C194" s="19">
        <f>IF($A194="","",Master_Data!B195)</f>
        <v/>
      </c>
      <c r="D194" s="19">
        <f>IF($A194="","",Master_Data!Q194)</f>
        <v/>
      </c>
      <c r="E194" s="19">
        <f>IF($A194="","",Master_Data!Q195)</f>
        <v/>
      </c>
      <c r="F194" s="19">
        <f>IF($A194="","",IF(AND(D194="GAS",E194="OIL"),"GOC",IF(AND(D194="OIL",E194="WATER"),"OWC",IF(AND(D194="GAS",E194="WATER"),"GWC",IF(AND(D194="OIL",E194="OIL_WATER"),"OWC_TRANSITION",IF(AND(D194="OIL_WATER",E194="WATER"),"OWC_TRANSITION",IF(AND(D194="GAS",E194="GAS_WATER"),"GOC_TRANSITION",IF(AND(D194="GAS_WATER",E194="OIL"),"GOC_TRANSITION",IF(OR(D194="OIL_WATER",D194="GAS_WATER"),"TRANSITION_INTERVAL","")))))))))</f>
        <v/>
      </c>
      <c r="G194" s="20">
        <f>IF(OR(F194="",Master_Data!R194="",Master_Data!S194=""),"",IF(RIGHT(F194,10)="TRANSITION",AVERAGE(Master_Data!R194:Master_Data!S194),AVERAGE(Master_Data!S194,Master_Data!R195)))</f>
        <v/>
      </c>
      <c r="H194" s="20">
        <f>IF(G194="","",MAX(Settings!$B$4,Settings!$B$5*AVERAGE(IF(Master_Data!O194&lt;&gt;"",Master_Data!O194,Master_Data!H194),IF(Master_Data!O195&lt;&gt;"",Master_Data!O195,Master_Data!H195))))</f>
        <v/>
      </c>
      <c r="I194" s="20">
        <f>IF(G194="","",G194-H194)</f>
        <v/>
      </c>
      <c r="J194" s="20">
        <f>IF(G194="","",G194+H194)</f>
        <v/>
      </c>
      <c r="K194" s="20">
        <f>IF($A194="","",Master_Data!G194)</f>
        <v/>
      </c>
      <c r="L194" s="20">
        <f>IF($A194="","",Master_Data!G195)</f>
        <v/>
      </c>
      <c r="M194" s="20">
        <f>IF(AND(ISNUMBER(K194),ISNUMBER(L194)),L194-K194,"")</f>
        <v/>
      </c>
      <c r="N194" s="19">
        <f>IF(G194="","",IF(AND(ISNUMBER(K194),ISNUMBER(L194)),IF(OR(F194="GOC",F194="OWC",F194="GWC",F194="OWC_TRANSITION",F194="GOC_TRANSITION"),IF(L194&gt;=K194,"Supports","Conflicts"),"N/A"),"No Sw"))</f>
        <v/>
      </c>
      <c r="O194" s="20">
        <f>IF(G194="","",Settings!$B$6*IF(OR(F194="GOC",F194="OWC",F194="GWC"),1,0.7)+Settings!$B$7*IF(N194="Supports",1,IF(N194="Conflicts",0,0.5))+Settings!$B$8*IF(AND(Master_Data!R194&lt;&gt;"",Master_Data!S194&lt;&gt;"",Master_Data!R195&lt;&gt;"",Master_Data!S195&lt;&gt;""),1,0.5))</f>
        <v/>
      </c>
      <c r="P194" s="19">
        <f>IF(G194="","",IF(N194="Conflicts","SW_CONFLICT",IF(OR(F194="GOC",F194="OWC",F194="GWC"),"DIRECT_FLUID_TRANSITION","TRANSITION_INTERVAL")))</f>
        <v/>
      </c>
      <c r="Q194" s="19">
        <f>IF(G194="","",IF(N194="Conflicts","Investigate contact interpretation / saturation behaviour",IF(OR(F194="OWC",F194="GOC",F194="GWC"),"Candidate contact — validate with logs, pressure and dynamic evidence","Transition zone — do not force to a sharp contact")))</f>
        <v/>
      </c>
    </row>
    <row r="195">
      <c r="A195" s="19">
        <f>IF(AND(Master_Data!A195&lt;&gt;"",Master_Data!A195=Master_Data!A196),Master_Data!A195,"")</f>
        <v/>
      </c>
      <c r="B195" s="19">
        <f>IF($A195="","",Master_Data!B195)</f>
        <v/>
      </c>
      <c r="C195" s="19">
        <f>IF($A195="","",Master_Data!B196)</f>
        <v/>
      </c>
      <c r="D195" s="19">
        <f>IF($A195="","",Master_Data!Q195)</f>
        <v/>
      </c>
      <c r="E195" s="19">
        <f>IF($A195="","",Master_Data!Q196)</f>
        <v/>
      </c>
      <c r="F195" s="19">
        <f>IF($A195="","",IF(AND(D195="GAS",E195="OIL"),"GOC",IF(AND(D195="OIL",E195="WATER"),"OWC",IF(AND(D195="GAS",E195="WATER"),"GWC",IF(AND(D195="OIL",E195="OIL_WATER"),"OWC_TRANSITION",IF(AND(D195="OIL_WATER",E195="WATER"),"OWC_TRANSITION",IF(AND(D195="GAS",E195="GAS_WATER"),"GOC_TRANSITION",IF(AND(D195="GAS_WATER",E195="OIL"),"GOC_TRANSITION",IF(OR(D195="OIL_WATER",D195="GAS_WATER"),"TRANSITION_INTERVAL","")))))))))</f>
        <v/>
      </c>
      <c r="G195" s="20">
        <f>IF(OR(F195="",Master_Data!R195="",Master_Data!S195=""),"",IF(RIGHT(F195,10)="TRANSITION",AVERAGE(Master_Data!R195:Master_Data!S195),AVERAGE(Master_Data!S195,Master_Data!R196)))</f>
        <v/>
      </c>
      <c r="H195" s="20">
        <f>IF(G195="","",MAX(Settings!$B$4,Settings!$B$5*AVERAGE(IF(Master_Data!O195&lt;&gt;"",Master_Data!O195,Master_Data!H195),IF(Master_Data!O196&lt;&gt;"",Master_Data!O196,Master_Data!H196))))</f>
        <v/>
      </c>
      <c r="I195" s="20">
        <f>IF(G195="","",G195-H195)</f>
        <v/>
      </c>
      <c r="J195" s="20">
        <f>IF(G195="","",G195+H195)</f>
        <v/>
      </c>
      <c r="K195" s="20">
        <f>IF($A195="","",Master_Data!G195)</f>
        <v/>
      </c>
      <c r="L195" s="20">
        <f>IF($A195="","",Master_Data!G196)</f>
        <v/>
      </c>
      <c r="M195" s="20">
        <f>IF(AND(ISNUMBER(K195),ISNUMBER(L195)),L195-K195,"")</f>
        <v/>
      </c>
      <c r="N195" s="19">
        <f>IF(G195="","",IF(AND(ISNUMBER(K195),ISNUMBER(L195)),IF(OR(F195="GOC",F195="OWC",F195="GWC",F195="OWC_TRANSITION",F195="GOC_TRANSITION"),IF(L195&gt;=K195,"Supports","Conflicts"),"N/A"),"No Sw"))</f>
        <v/>
      </c>
      <c r="O195" s="20">
        <f>IF(G195="","",Settings!$B$6*IF(OR(F195="GOC",F195="OWC",F195="GWC"),1,0.7)+Settings!$B$7*IF(N195="Supports",1,IF(N195="Conflicts",0,0.5))+Settings!$B$8*IF(AND(Master_Data!R195&lt;&gt;"",Master_Data!S195&lt;&gt;"",Master_Data!R196&lt;&gt;"",Master_Data!S196&lt;&gt;""),1,0.5))</f>
        <v/>
      </c>
      <c r="P195" s="19">
        <f>IF(G195="","",IF(N195="Conflicts","SW_CONFLICT",IF(OR(F195="GOC",F195="OWC",F195="GWC"),"DIRECT_FLUID_TRANSITION","TRANSITION_INTERVAL")))</f>
        <v/>
      </c>
      <c r="Q195" s="19">
        <f>IF(G195="","",IF(N195="Conflicts","Investigate contact interpretation / saturation behaviour",IF(OR(F195="OWC",F195="GOC",F195="GWC"),"Candidate contact — validate with logs, pressure and dynamic evidence","Transition zone — do not force to a sharp contact")))</f>
        <v/>
      </c>
    </row>
    <row r="196">
      <c r="A196" s="19">
        <f>IF(AND(Master_Data!A196&lt;&gt;"",Master_Data!A196=Master_Data!A197),Master_Data!A196,"")</f>
        <v/>
      </c>
      <c r="B196" s="19">
        <f>IF($A196="","",Master_Data!B196)</f>
        <v/>
      </c>
      <c r="C196" s="19">
        <f>IF($A196="","",Master_Data!B197)</f>
        <v/>
      </c>
      <c r="D196" s="19">
        <f>IF($A196="","",Master_Data!Q196)</f>
        <v/>
      </c>
      <c r="E196" s="19">
        <f>IF($A196="","",Master_Data!Q197)</f>
        <v/>
      </c>
      <c r="F196" s="19">
        <f>IF($A196="","",IF(AND(D196="GAS",E196="OIL"),"GOC",IF(AND(D196="OIL",E196="WATER"),"OWC",IF(AND(D196="GAS",E196="WATER"),"GWC",IF(AND(D196="OIL",E196="OIL_WATER"),"OWC_TRANSITION",IF(AND(D196="OIL_WATER",E196="WATER"),"OWC_TRANSITION",IF(AND(D196="GAS",E196="GAS_WATER"),"GOC_TRANSITION",IF(AND(D196="GAS_WATER",E196="OIL"),"GOC_TRANSITION",IF(OR(D196="OIL_WATER",D196="GAS_WATER"),"TRANSITION_INTERVAL","")))))))))</f>
        <v/>
      </c>
      <c r="G196" s="20">
        <f>IF(OR(F196="",Master_Data!R196="",Master_Data!S196=""),"",IF(RIGHT(F196,10)="TRANSITION",AVERAGE(Master_Data!R196:Master_Data!S196),AVERAGE(Master_Data!S196,Master_Data!R197)))</f>
        <v/>
      </c>
      <c r="H196" s="20">
        <f>IF(G196="","",MAX(Settings!$B$4,Settings!$B$5*AVERAGE(IF(Master_Data!O196&lt;&gt;"",Master_Data!O196,Master_Data!H196),IF(Master_Data!O197&lt;&gt;"",Master_Data!O197,Master_Data!H197))))</f>
        <v/>
      </c>
      <c r="I196" s="20">
        <f>IF(G196="","",G196-H196)</f>
        <v/>
      </c>
      <c r="J196" s="20">
        <f>IF(G196="","",G196+H196)</f>
        <v/>
      </c>
      <c r="K196" s="20">
        <f>IF($A196="","",Master_Data!G196)</f>
        <v/>
      </c>
      <c r="L196" s="20">
        <f>IF($A196="","",Master_Data!G197)</f>
        <v/>
      </c>
      <c r="M196" s="20">
        <f>IF(AND(ISNUMBER(K196),ISNUMBER(L196)),L196-K196,"")</f>
        <v/>
      </c>
      <c r="N196" s="19">
        <f>IF(G196="","",IF(AND(ISNUMBER(K196),ISNUMBER(L196)),IF(OR(F196="GOC",F196="OWC",F196="GWC",F196="OWC_TRANSITION",F196="GOC_TRANSITION"),IF(L196&gt;=K196,"Supports","Conflicts"),"N/A"),"No Sw"))</f>
        <v/>
      </c>
      <c r="O196" s="20">
        <f>IF(G196="","",Settings!$B$6*IF(OR(F196="GOC",F196="OWC",F196="GWC"),1,0.7)+Settings!$B$7*IF(N196="Supports",1,IF(N196="Conflicts",0,0.5))+Settings!$B$8*IF(AND(Master_Data!R196&lt;&gt;"",Master_Data!S196&lt;&gt;"",Master_Data!R197&lt;&gt;"",Master_Data!S197&lt;&gt;""),1,0.5))</f>
        <v/>
      </c>
      <c r="P196" s="19">
        <f>IF(G196="","",IF(N196="Conflicts","SW_CONFLICT",IF(OR(F196="GOC",F196="OWC",F196="GWC"),"DIRECT_FLUID_TRANSITION","TRANSITION_INTERVAL")))</f>
        <v/>
      </c>
      <c r="Q196" s="19">
        <f>IF(G196="","",IF(N196="Conflicts","Investigate contact interpretation / saturation behaviour",IF(OR(F196="OWC",F196="GOC",F196="GWC"),"Candidate contact — validate with logs, pressure and dynamic evidence","Transition zone — do not force to a sharp contact")))</f>
        <v/>
      </c>
    </row>
    <row r="197">
      <c r="A197" s="19">
        <f>IF(AND(Master_Data!A197&lt;&gt;"",Master_Data!A197=Master_Data!A198),Master_Data!A197,"")</f>
        <v/>
      </c>
      <c r="B197" s="19">
        <f>IF($A197="","",Master_Data!B197)</f>
        <v/>
      </c>
      <c r="C197" s="19">
        <f>IF($A197="","",Master_Data!B198)</f>
        <v/>
      </c>
      <c r="D197" s="19">
        <f>IF($A197="","",Master_Data!Q197)</f>
        <v/>
      </c>
      <c r="E197" s="19">
        <f>IF($A197="","",Master_Data!Q198)</f>
        <v/>
      </c>
      <c r="F197" s="19">
        <f>IF($A197="","",IF(AND(D197="GAS",E197="OIL"),"GOC",IF(AND(D197="OIL",E197="WATER"),"OWC",IF(AND(D197="GAS",E197="WATER"),"GWC",IF(AND(D197="OIL",E197="OIL_WATER"),"OWC_TRANSITION",IF(AND(D197="OIL_WATER",E197="WATER"),"OWC_TRANSITION",IF(AND(D197="GAS",E197="GAS_WATER"),"GOC_TRANSITION",IF(AND(D197="GAS_WATER",E197="OIL"),"GOC_TRANSITION",IF(OR(D197="OIL_WATER",D197="GAS_WATER"),"TRANSITION_INTERVAL","")))))))))</f>
        <v/>
      </c>
      <c r="G197" s="20">
        <f>IF(OR(F197="",Master_Data!R197="",Master_Data!S197=""),"",IF(RIGHT(F197,10)="TRANSITION",AVERAGE(Master_Data!R197:Master_Data!S197),AVERAGE(Master_Data!S197,Master_Data!R198)))</f>
        <v/>
      </c>
      <c r="H197" s="20">
        <f>IF(G197="","",MAX(Settings!$B$4,Settings!$B$5*AVERAGE(IF(Master_Data!O197&lt;&gt;"",Master_Data!O197,Master_Data!H197),IF(Master_Data!O198&lt;&gt;"",Master_Data!O198,Master_Data!H198))))</f>
        <v/>
      </c>
      <c r="I197" s="20">
        <f>IF(G197="","",G197-H197)</f>
        <v/>
      </c>
      <c r="J197" s="20">
        <f>IF(G197="","",G197+H197)</f>
        <v/>
      </c>
      <c r="K197" s="20">
        <f>IF($A197="","",Master_Data!G197)</f>
        <v/>
      </c>
      <c r="L197" s="20">
        <f>IF($A197="","",Master_Data!G198)</f>
        <v/>
      </c>
      <c r="M197" s="20">
        <f>IF(AND(ISNUMBER(K197),ISNUMBER(L197)),L197-K197,"")</f>
        <v/>
      </c>
      <c r="N197" s="19">
        <f>IF(G197="","",IF(AND(ISNUMBER(K197),ISNUMBER(L197)),IF(OR(F197="GOC",F197="OWC",F197="GWC",F197="OWC_TRANSITION",F197="GOC_TRANSITION"),IF(L197&gt;=K197,"Supports","Conflicts"),"N/A"),"No Sw"))</f>
        <v/>
      </c>
      <c r="O197" s="20">
        <f>IF(G197="","",Settings!$B$6*IF(OR(F197="GOC",F197="OWC",F197="GWC"),1,0.7)+Settings!$B$7*IF(N197="Supports",1,IF(N197="Conflicts",0,0.5))+Settings!$B$8*IF(AND(Master_Data!R197&lt;&gt;"",Master_Data!S197&lt;&gt;"",Master_Data!R198&lt;&gt;"",Master_Data!S198&lt;&gt;""),1,0.5))</f>
        <v/>
      </c>
      <c r="P197" s="19">
        <f>IF(G197="","",IF(N197="Conflicts","SW_CONFLICT",IF(OR(F197="GOC",F197="OWC",F197="GWC"),"DIRECT_FLUID_TRANSITION","TRANSITION_INTERVAL")))</f>
        <v/>
      </c>
      <c r="Q197" s="19">
        <f>IF(G197="","",IF(N197="Conflicts","Investigate contact interpretation / saturation behaviour",IF(OR(F197="OWC",F197="GOC",F197="GWC"),"Candidate contact — validate with logs, pressure and dynamic evidence","Transition zone — do not force to a sharp contact")))</f>
        <v/>
      </c>
    </row>
    <row r="198">
      <c r="A198" s="19">
        <f>IF(AND(Master_Data!A198&lt;&gt;"",Master_Data!A198=Master_Data!A199),Master_Data!A198,"")</f>
        <v/>
      </c>
      <c r="B198" s="19">
        <f>IF($A198="","",Master_Data!B198)</f>
        <v/>
      </c>
      <c r="C198" s="19">
        <f>IF($A198="","",Master_Data!B199)</f>
        <v/>
      </c>
      <c r="D198" s="19">
        <f>IF($A198="","",Master_Data!Q198)</f>
        <v/>
      </c>
      <c r="E198" s="19">
        <f>IF($A198="","",Master_Data!Q199)</f>
        <v/>
      </c>
      <c r="F198" s="19">
        <f>IF($A198="","",IF(AND(D198="GAS",E198="OIL"),"GOC",IF(AND(D198="OIL",E198="WATER"),"OWC",IF(AND(D198="GAS",E198="WATER"),"GWC",IF(AND(D198="OIL",E198="OIL_WATER"),"OWC_TRANSITION",IF(AND(D198="OIL_WATER",E198="WATER"),"OWC_TRANSITION",IF(AND(D198="GAS",E198="GAS_WATER"),"GOC_TRANSITION",IF(AND(D198="GAS_WATER",E198="OIL"),"GOC_TRANSITION",IF(OR(D198="OIL_WATER",D198="GAS_WATER"),"TRANSITION_INTERVAL","")))))))))</f>
        <v/>
      </c>
      <c r="G198" s="20">
        <f>IF(OR(F198="",Master_Data!R198="",Master_Data!S198=""),"",IF(RIGHT(F198,10)="TRANSITION",AVERAGE(Master_Data!R198:Master_Data!S198),AVERAGE(Master_Data!S198,Master_Data!R199)))</f>
        <v/>
      </c>
      <c r="H198" s="20">
        <f>IF(G198="","",MAX(Settings!$B$4,Settings!$B$5*AVERAGE(IF(Master_Data!O198&lt;&gt;"",Master_Data!O198,Master_Data!H198),IF(Master_Data!O199&lt;&gt;"",Master_Data!O199,Master_Data!H199))))</f>
        <v/>
      </c>
      <c r="I198" s="20">
        <f>IF(G198="","",G198-H198)</f>
        <v/>
      </c>
      <c r="J198" s="20">
        <f>IF(G198="","",G198+H198)</f>
        <v/>
      </c>
      <c r="K198" s="20">
        <f>IF($A198="","",Master_Data!G198)</f>
        <v/>
      </c>
      <c r="L198" s="20">
        <f>IF($A198="","",Master_Data!G199)</f>
        <v/>
      </c>
      <c r="M198" s="20">
        <f>IF(AND(ISNUMBER(K198),ISNUMBER(L198)),L198-K198,"")</f>
        <v/>
      </c>
      <c r="N198" s="19">
        <f>IF(G198="","",IF(AND(ISNUMBER(K198),ISNUMBER(L198)),IF(OR(F198="GOC",F198="OWC",F198="GWC",F198="OWC_TRANSITION",F198="GOC_TRANSITION"),IF(L198&gt;=K198,"Supports","Conflicts"),"N/A"),"No Sw"))</f>
        <v/>
      </c>
      <c r="O198" s="20">
        <f>IF(G198="","",Settings!$B$6*IF(OR(F198="GOC",F198="OWC",F198="GWC"),1,0.7)+Settings!$B$7*IF(N198="Supports",1,IF(N198="Conflicts",0,0.5))+Settings!$B$8*IF(AND(Master_Data!R198&lt;&gt;"",Master_Data!S198&lt;&gt;"",Master_Data!R199&lt;&gt;"",Master_Data!S199&lt;&gt;""),1,0.5))</f>
        <v/>
      </c>
      <c r="P198" s="19">
        <f>IF(G198="","",IF(N198="Conflicts","SW_CONFLICT",IF(OR(F198="GOC",F198="OWC",F198="GWC"),"DIRECT_FLUID_TRANSITION","TRANSITION_INTERVAL")))</f>
        <v/>
      </c>
      <c r="Q198" s="19">
        <f>IF(G198="","",IF(N198="Conflicts","Investigate contact interpretation / saturation behaviour",IF(OR(F198="OWC",F198="GOC",F198="GWC"),"Candidate contact — validate with logs, pressure and dynamic evidence","Transition zone — do not force to a sharp contact")))</f>
        <v/>
      </c>
    </row>
    <row r="199">
      <c r="A199" s="19">
        <f>IF(AND(Master_Data!A199&lt;&gt;"",Master_Data!A199=Master_Data!A200),Master_Data!A199,"")</f>
        <v/>
      </c>
      <c r="B199" s="19">
        <f>IF($A199="","",Master_Data!B199)</f>
        <v/>
      </c>
      <c r="C199" s="19">
        <f>IF($A199="","",Master_Data!B200)</f>
        <v/>
      </c>
      <c r="D199" s="19">
        <f>IF($A199="","",Master_Data!Q199)</f>
        <v/>
      </c>
      <c r="E199" s="19">
        <f>IF($A199="","",Master_Data!Q200)</f>
        <v/>
      </c>
      <c r="F199" s="19">
        <f>IF($A199="","",IF(AND(D199="GAS",E199="OIL"),"GOC",IF(AND(D199="OIL",E199="WATER"),"OWC",IF(AND(D199="GAS",E199="WATER"),"GWC",IF(AND(D199="OIL",E199="OIL_WATER"),"OWC_TRANSITION",IF(AND(D199="OIL_WATER",E199="WATER"),"OWC_TRANSITION",IF(AND(D199="GAS",E199="GAS_WATER"),"GOC_TRANSITION",IF(AND(D199="GAS_WATER",E199="OIL"),"GOC_TRANSITION",IF(OR(D199="OIL_WATER",D199="GAS_WATER"),"TRANSITION_INTERVAL","")))))))))</f>
        <v/>
      </c>
      <c r="G199" s="20">
        <f>IF(OR(F199="",Master_Data!R199="",Master_Data!S199=""),"",IF(RIGHT(F199,10)="TRANSITION",AVERAGE(Master_Data!R199:Master_Data!S199),AVERAGE(Master_Data!S199,Master_Data!R200)))</f>
        <v/>
      </c>
      <c r="H199" s="20">
        <f>IF(G199="","",MAX(Settings!$B$4,Settings!$B$5*AVERAGE(IF(Master_Data!O199&lt;&gt;"",Master_Data!O199,Master_Data!H199),IF(Master_Data!O200&lt;&gt;"",Master_Data!O200,Master_Data!H200))))</f>
        <v/>
      </c>
      <c r="I199" s="20">
        <f>IF(G199="","",G199-H199)</f>
        <v/>
      </c>
      <c r="J199" s="20">
        <f>IF(G199="","",G199+H199)</f>
        <v/>
      </c>
      <c r="K199" s="20">
        <f>IF($A199="","",Master_Data!G199)</f>
        <v/>
      </c>
      <c r="L199" s="20">
        <f>IF($A199="","",Master_Data!G200)</f>
        <v/>
      </c>
      <c r="M199" s="20">
        <f>IF(AND(ISNUMBER(K199),ISNUMBER(L199)),L199-K199,"")</f>
        <v/>
      </c>
      <c r="N199" s="19">
        <f>IF(G199="","",IF(AND(ISNUMBER(K199),ISNUMBER(L199)),IF(OR(F199="GOC",F199="OWC",F199="GWC",F199="OWC_TRANSITION",F199="GOC_TRANSITION"),IF(L199&gt;=K199,"Supports","Conflicts"),"N/A"),"No Sw"))</f>
        <v/>
      </c>
      <c r="O199" s="20">
        <f>IF(G199="","",Settings!$B$6*IF(OR(F199="GOC",F199="OWC",F199="GWC"),1,0.7)+Settings!$B$7*IF(N199="Supports",1,IF(N199="Conflicts",0,0.5))+Settings!$B$8*IF(AND(Master_Data!R199&lt;&gt;"",Master_Data!S199&lt;&gt;"",Master_Data!R200&lt;&gt;"",Master_Data!S200&lt;&gt;""),1,0.5))</f>
        <v/>
      </c>
      <c r="P199" s="19">
        <f>IF(G199="","",IF(N199="Conflicts","SW_CONFLICT",IF(OR(F199="GOC",F199="OWC",F199="GWC"),"DIRECT_FLUID_TRANSITION","TRANSITION_INTERVAL")))</f>
        <v/>
      </c>
      <c r="Q199" s="19">
        <f>IF(G199="","",IF(N199="Conflicts","Investigate contact interpretation / saturation behaviour",IF(OR(F199="OWC",F199="GOC",F199="GWC"),"Candidate contact — validate with logs, pressure and dynamic evidence","Transition zone — do not force to a sharp contact")))</f>
        <v/>
      </c>
    </row>
    <row r="200">
      <c r="A200" s="19">
        <f>IF(AND(Master_Data!A200&lt;&gt;"",Master_Data!A200=Master_Data!A201),Master_Data!A200,"")</f>
        <v/>
      </c>
      <c r="B200" s="19">
        <f>IF($A200="","",Master_Data!B200)</f>
        <v/>
      </c>
      <c r="C200" s="19">
        <f>IF($A200="","",Master_Data!B201)</f>
        <v/>
      </c>
      <c r="D200" s="19">
        <f>IF($A200="","",Master_Data!Q200)</f>
        <v/>
      </c>
      <c r="E200" s="19">
        <f>IF($A200="","",Master_Data!Q201)</f>
        <v/>
      </c>
      <c r="F200" s="19">
        <f>IF($A200="","",IF(AND(D200="GAS",E200="OIL"),"GOC",IF(AND(D200="OIL",E200="WATER"),"OWC",IF(AND(D200="GAS",E200="WATER"),"GWC",IF(AND(D200="OIL",E200="OIL_WATER"),"OWC_TRANSITION",IF(AND(D200="OIL_WATER",E200="WATER"),"OWC_TRANSITION",IF(AND(D200="GAS",E200="GAS_WATER"),"GOC_TRANSITION",IF(AND(D200="GAS_WATER",E200="OIL"),"GOC_TRANSITION",IF(OR(D200="OIL_WATER",D200="GAS_WATER"),"TRANSITION_INTERVAL","")))))))))</f>
        <v/>
      </c>
      <c r="G200" s="20">
        <f>IF(OR(F200="",Master_Data!R200="",Master_Data!S200=""),"",IF(RIGHT(F200,10)="TRANSITION",AVERAGE(Master_Data!R200:Master_Data!S200),AVERAGE(Master_Data!S200,Master_Data!R201)))</f>
        <v/>
      </c>
      <c r="H200" s="20">
        <f>IF(G200="","",MAX(Settings!$B$4,Settings!$B$5*AVERAGE(IF(Master_Data!O200&lt;&gt;"",Master_Data!O200,Master_Data!H200),IF(Master_Data!O201&lt;&gt;"",Master_Data!O201,Master_Data!H201))))</f>
        <v/>
      </c>
      <c r="I200" s="20">
        <f>IF(G200="","",G200-H200)</f>
        <v/>
      </c>
      <c r="J200" s="20">
        <f>IF(G200="","",G200+H200)</f>
        <v/>
      </c>
      <c r="K200" s="20">
        <f>IF($A200="","",Master_Data!G200)</f>
        <v/>
      </c>
      <c r="L200" s="20">
        <f>IF($A200="","",Master_Data!G201)</f>
        <v/>
      </c>
      <c r="M200" s="20">
        <f>IF(AND(ISNUMBER(K200),ISNUMBER(L200)),L200-K200,"")</f>
        <v/>
      </c>
      <c r="N200" s="19">
        <f>IF(G200="","",IF(AND(ISNUMBER(K200),ISNUMBER(L200)),IF(OR(F200="GOC",F200="OWC",F200="GWC",F200="OWC_TRANSITION",F200="GOC_TRANSITION"),IF(L200&gt;=K200,"Supports","Conflicts"),"N/A"),"No Sw"))</f>
        <v/>
      </c>
      <c r="O200" s="20">
        <f>IF(G200="","",Settings!$B$6*IF(OR(F200="GOC",F200="OWC",F200="GWC"),1,0.7)+Settings!$B$7*IF(N200="Supports",1,IF(N200="Conflicts",0,0.5))+Settings!$B$8*IF(AND(Master_Data!R200&lt;&gt;"",Master_Data!S200&lt;&gt;"",Master_Data!R201&lt;&gt;"",Master_Data!S201&lt;&gt;""),1,0.5))</f>
        <v/>
      </c>
      <c r="P200" s="19">
        <f>IF(G200="","",IF(N200="Conflicts","SW_CONFLICT",IF(OR(F200="GOC",F200="OWC",F200="GWC"),"DIRECT_FLUID_TRANSITION","TRANSITION_INTERVAL")))</f>
        <v/>
      </c>
      <c r="Q200" s="19">
        <f>IF(G200="","",IF(N200="Conflicts","Investigate contact interpretation / saturation behaviour",IF(OR(F200="OWC",F200="GOC",F200="GWC"),"Candidate contact — validate with logs, pressure and dynamic evidence","Transition zone — do not force to a sharp contact")))</f>
        <v/>
      </c>
    </row>
    <row r="201">
      <c r="A201" s="19">
        <f>IF(AND(Master_Data!A201&lt;&gt;"",Master_Data!A201=Master_Data!A202),Master_Data!A201,"")</f>
        <v/>
      </c>
      <c r="B201" s="19">
        <f>IF($A201="","",Master_Data!B201)</f>
        <v/>
      </c>
      <c r="C201" s="19">
        <f>IF($A201="","",Master_Data!B202)</f>
        <v/>
      </c>
      <c r="D201" s="19">
        <f>IF($A201="","",Master_Data!Q201)</f>
        <v/>
      </c>
      <c r="E201" s="19">
        <f>IF($A201="","",Master_Data!Q202)</f>
        <v/>
      </c>
      <c r="F201" s="19">
        <f>IF($A201="","",IF(AND(D201="GAS",E201="OIL"),"GOC",IF(AND(D201="OIL",E201="WATER"),"OWC",IF(AND(D201="GAS",E201="WATER"),"GWC",IF(AND(D201="OIL",E201="OIL_WATER"),"OWC_TRANSITION",IF(AND(D201="OIL_WATER",E201="WATER"),"OWC_TRANSITION",IF(AND(D201="GAS",E201="GAS_WATER"),"GOC_TRANSITION",IF(AND(D201="GAS_WATER",E201="OIL"),"GOC_TRANSITION",IF(OR(D201="OIL_WATER",D201="GAS_WATER"),"TRANSITION_INTERVAL","")))))))))</f>
        <v/>
      </c>
      <c r="G201" s="20">
        <f>IF(OR(F201="",Master_Data!R201="",Master_Data!S201=""),"",IF(RIGHT(F201,10)="TRANSITION",AVERAGE(Master_Data!R201:Master_Data!S201),AVERAGE(Master_Data!S201,Master_Data!R202)))</f>
        <v/>
      </c>
      <c r="H201" s="20">
        <f>IF(G201="","",MAX(Settings!$B$4,Settings!$B$5*AVERAGE(IF(Master_Data!O201&lt;&gt;"",Master_Data!O201,Master_Data!H201),IF(Master_Data!O202&lt;&gt;"",Master_Data!O202,Master_Data!H202))))</f>
        <v/>
      </c>
      <c r="I201" s="20">
        <f>IF(G201="","",G201-H201)</f>
        <v/>
      </c>
      <c r="J201" s="20">
        <f>IF(G201="","",G201+H201)</f>
        <v/>
      </c>
      <c r="K201" s="20">
        <f>IF($A201="","",Master_Data!G201)</f>
        <v/>
      </c>
      <c r="L201" s="20">
        <f>IF($A201="","",Master_Data!G202)</f>
        <v/>
      </c>
      <c r="M201" s="20">
        <f>IF(AND(ISNUMBER(K201),ISNUMBER(L201)),L201-K201,"")</f>
        <v/>
      </c>
      <c r="N201" s="19">
        <f>IF(G201="","",IF(AND(ISNUMBER(K201),ISNUMBER(L201)),IF(OR(F201="GOC",F201="OWC",F201="GWC",F201="OWC_TRANSITION",F201="GOC_TRANSITION"),IF(L201&gt;=K201,"Supports","Conflicts"),"N/A"),"No Sw"))</f>
        <v/>
      </c>
      <c r="O201" s="20">
        <f>IF(G201="","",Settings!$B$6*IF(OR(F201="GOC",F201="OWC",F201="GWC"),1,0.7)+Settings!$B$7*IF(N201="Supports",1,IF(N201="Conflicts",0,0.5))+Settings!$B$8*IF(AND(Master_Data!R201&lt;&gt;"",Master_Data!S201&lt;&gt;"",Master_Data!R202&lt;&gt;"",Master_Data!S202&lt;&gt;""),1,0.5))</f>
        <v/>
      </c>
      <c r="P201" s="19">
        <f>IF(G201="","",IF(N201="Conflicts","SW_CONFLICT",IF(OR(F201="GOC",F201="OWC",F201="GWC"),"DIRECT_FLUID_TRANSITION","TRANSITION_INTERVAL")))</f>
        <v/>
      </c>
      <c r="Q201" s="19">
        <f>IF(G201="","",IF(N201="Conflicts","Investigate contact interpretation / saturation behaviour",IF(OR(F201="OWC",F201="GOC",F201="GWC"),"Candidate contact — validate with logs, pressure and dynamic evidence","Transition zone — do not force to a sharp contact")))</f>
        <v/>
      </c>
    </row>
    <row r="202">
      <c r="A202" s="19">
        <f>IF(AND(Master_Data!A202&lt;&gt;"",Master_Data!A202=Master_Data!A203),Master_Data!A202,"")</f>
        <v/>
      </c>
      <c r="B202" s="19">
        <f>IF($A202="","",Master_Data!B202)</f>
        <v/>
      </c>
      <c r="C202" s="19">
        <f>IF($A202="","",Master_Data!B203)</f>
        <v/>
      </c>
      <c r="D202" s="19">
        <f>IF($A202="","",Master_Data!Q202)</f>
        <v/>
      </c>
      <c r="E202" s="19">
        <f>IF($A202="","",Master_Data!Q203)</f>
        <v/>
      </c>
      <c r="F202" s="19">
        <f>IF($A202="","",IF(AND(D202="GAS",E202="OIL"),"GOC",IF(AND(D202="OIL",E202="WATER"),"OWC",IF(AND(D202="GAS",E202="WATER"),"GWC",IF(AND(D202="OIL",E202="OIL_WATER"),"OWC_TRANSITION",IF(AND(D202="OIL_WATER",E202="WATER"),"OWC_TRANSITION",IF(AND(D202="GAS",E202="GAS_WATER"),"GOC_TRANSITION",IF(AND(D202="GAS_WATER",E202="OIL"),"GOC_TRANSITION",IF(OR(D202="OIL_WATER",D202="GAS_WATER"),"TRANSITION_INTERVAL","")))))))))</f>
        <v/>
      </c>
      <c r="G202" s="20">
        <f>IF(OR(F202="",Master_Data!R202="",Master_Data!S202=""),"",IF(RIGHT(F202,10)="TRANSITION",AVERAGE(Master_Data!R202:Master_Data!S202),AVERAGE(Master_Data!S202,Master_Data!R203)))</f>
        <v/>
      </c>
      <c r="H202" s="20">
        <f>IF(G202="","",MAX(Settings!$B$4,Settings!$B$5*AVERAGE(IF(Master_Data!O202&lt;&gt;"",Master_Data!O202,Master_Data!H202),IF(Master_Data!O203&lt;&gt;"",Master_Data!O203,Master_Data!H203))))</f>
        <v/>
      </c>
      <c r="I202" s="20">
        <f>IF(G202="","",G202-H202)</f>
        <v/>
      </c>
      <c r="J202" s="20">
        <f>IF(G202="","",G202+H202)</f>
        <v/>
      </c>
      <c r="K202" s="20">
        <f>IF($A202="","",Master_Data!G202)</f>
        <v/>
      </c>
      <c r="L202" s="20">
        <f>IF($A202="","",Master_Data!G203)</f>
        <v/>
      </c>
      <c r="M202" s="20">
        <f>IF(AND(ISNUMBER(K202),ISNUMBER(L202)),L202-K202,"")</f>
        <v/>
      </c>
      <c r="N202" s="19">
        <f>IF(G202="","",IF(AND(ISNUMBER(K202),ISNUMBER(L202)),IF(OR(F202="GOC",F202="OWC",F202="GWC",F202="OWC_TRANSITION",F202="GOC_TRANSITION"),IF(L202&gt;=K202,"Supports","Conflicts"),"N/A"),"No Sw"))</f>
        <v/>
      </c>
      <c r="O202" s="20">
        <f>IF(G202="","",Settings!$B$6*IF(OR(F202="GOC",F202="OWC",F202="GWC"),1,0.7)+Settings!$B$7*IF(N202="Supports",1,IF(N202="Conflicts",0,0.5))+Settings!$B$8*IF(AND(Master_Data!R202&lt;&gt;"",Master_Data!S202&lt;&gt;"",Master_Data!R203&lt;&gt;"",Master_Data!S203&lt;&gt;""),1,0.5))</f>
        <v/>
      </c>
      <c r="P202" s="19">
        <f>IF(G202="","",IF(N202="Conflicts","SW_CONFLICT",IF(OR(F202="GOC",F202="OWC",F202="GWC"),"DIRECT_FLUID_TRANSITION","TRANSITION_INTERVAL")))</f>
        <v/>
      </c>
      <c r="Q202" s="19">
        <f>IF(G202="","",IF(N202="Conflicts","Investigate contact interpretation / saturation behaviour",IF(OR(F202="OWC",F202="GOC",F202="GWC"),"Candidate contact — validate with logs, pressure and dynamic evidence","Transition zone — do not force to a sharp contact")))</f>
        <v/>
      </c>
    </row>
    <row r="203">
      <c r="A203" s="19">
        <f>IF(AND(Master_Data!A203&lt;&gt;"",Master_Data!A203=Master_Data!A204),Master_Data!A203,"")</f>
        <v/>
      </c>
      <c r="B203" s="19">
        <f>IF($A203="","",Master_Data!B203)</f>
        <v/>
      </c>
      <c r="C203" s="19">
        <f>IF($A203="","",Master_Data!B204)</f>
        <v/>
      </c>
      <c r="D203" s="19">
        <f>IF($A203="","",Master_Data!Q203)</f>
        <v/>
      </c>
      <c r="E203" s="19">
        <f>IF($A203="","",Master_Data!Q204)</f>
        <v/>
      </c>
      <c r="F203" s="19">
        <f>IF($A203="","",IF(AND(D203="GAS",E203="OIL"),"GOC",IF(AND(D203="OIL",E203="WATER"),"OWC",IF(AND(D203="GAS",E203="WATER"),"GWC",IF(AND(D203="OIL",E203="OIL_WATER"),"OWC_TRANSITION",IF(AND(D203="OIL_WATER",E203="WATER"),"OWC_TRANSITION",IF(AND(D203="GAS",E203="GAS_WATER"),"GOC_TRANSITION",IF(AND(D203="GAS_WATER",E203="OIL"),"GOC_TRANSITION",IF(OR(D203="OIL_WATER",D203="GAS_WATER"),"TRANSITION_INTERVAL","")))))))))</f>
        <v/>
      </c>
      <c r="G203" s="20">
        <f>IF(OR(F203="",Master_Data!R203="",Master_Data!S203=""),"",IF(RIGHT(F203,10)="TRANSITION",AVERAGE(Master_Data!R203:Master_Data!S203),AVERAGE(Master_Data!S203,Master_Data!R204)))</f>
        <v/>
      </c>
      <c r="H203" s="20">
        <f>IF(G203="","",MAX(Settings!$B$4,Settings!$B$5*AVERAGE(IF(Master_Data!O203&lt;&gt;"",Master_Data!O203,Master_Data!H203),IF(Master_Data!O204&lt;&gt;"",Master_Data!O204,Master_Data!H204))))</f>
        <v/>
      </c>
      <c r="I203" s="20">
        <f>IF(G203="","",G203-H203)</f>
        <v/>
      </c>
      <c r="J203" s="20">
        <f>IF(G203="","",G203+H203)</f>
        <v/>
      </c>
      <c r="K203" s="20">
        <f>IF($A203="","",Master_Data!G203)</f>
        <v/>
      </c>
      <c r="L203" s="20">
        <f>IF($A203="","",Master_Data!G204)</f>
        <v/>
      </c>
      <c r="M203" s="20">
        <f>IF(AND(ISNUMBER(K203),ISNUMBER(L203)),L203-K203,"")</f>
        <v/>
      </c>
      <c r="N203" s="19">
        <f>IF(G203="","",IF(AND(ISNUMBER(K203),ISNUMBER(L203)),IF(OR(F203="GOC",F203="OWC",F203="GWC",F203="OWC_TRANSITION",F203="GOC_TRANSITION"),IF(L203&gt;=K203,"Supports","Conflicts"),"N/A"),"No Sw"))</f>
        <v/>
      </c>
      <c r="O203" s="20">
        <f>IF(G203="","",Settings!$B$6*IF(OR(F203="GOC",F203="OWC",F203="GWC"),1,0.7)+Settings!$B$7*IF(N203="Supports",1,IF(N203="Conflicts",0,0.5))+Settings!$B$8*IF(AND(Master_Data!R203&lt;&gt;"",Master_Data!S203&lt;&gt;"",Master_Data!R204&lt;&gt;"",Master_Data!S204&lt;&gt;""),1,0.5))</f>
        <v/>
      </c>
      <c r="P203" s="19">
        <f>IF(G203="","",IF(N203="Conflicts","SW_CONFLICT",IF(OR(F203="GOC",F203="OWC",F203="GWC"),"DIRECT_FLUID_TRANSITION","TRANSITION_INTERVAL")))</f>
        <v/>
      </c>
      <c r="Q203" s="19">
        <f>IF(G203="","",IF(N203="Conflicts","Investigate contact interpretation / saturation behaviour",IF(OR(F203="OWC",F203="GOC",F203="GWC"),"Candidate contact — validate with logs, pressure and dynamic evidence","Transition zone — do not force to a sharp contact")))</f>
        <v/>
      </c>
    </row>
    <row r="204">
      <c r="A204" s="19">
        <f>IF(AND(Master_Data!A204&lt;&gt;"",Master_Data!A204=Master_Data!A205),Master_Data!A204,"")</f>
        <v/>
      </c>
      <c r="B204" s="19">
        <f>IF($A204="","",Master_Data!B204)</f>
        <v/>
      </c>
      <c r="C204" s="19">
        <f>IF($A204="","",Master_Data!B205)</f>
        <v/>
      </c>
      <c r="D204" s="19">
        <f>IF($A204="","",Master_Data!Q204)</f>
        <v/>
      </c>
      <c r="E204" s="19">
        <f>IF($A204="","",Master_Data!Q205)</f>
        <v/>
      </c>
      <c r="F204" s="19">
        <f>IF($A204="","",IF(AND(D204="GAS",E204="OIL"),"GOC",IF(AND(D204="OIL",E204="WATER"),"OWC",IF(AND(D204="GAS",E204="WATER"),"GWC",IF(AND(D204="OIL",E204="OIL_WATER"),"OWC_TRANSITION",IF(AND(D204="OIL_WATER",E204="WATER"),"OWC_TRANSITION",IF(AND(D204="GAS",E204="GAS_WATER"),"GOC_TRANSITION",IF(AND(D204="GAS_WATER",E204="OIL"),"GOC_TRANSITION",IF(OR(D204="OIL_WATER",D204="GAS_WATER"),"TRANSITION_INTERVAL","")))))))))</f>
        <v/>
      </c>
      <c r="G204" s="20">
        <f>IF(OR(F204="",Master_Data!R204="",Master_Data!S204=""),"",IF(RIGHT(F204,10)="TRANSITION",AVERAGE(Master_Data!R204:Master_Data!S204),AVERAGE(Master_Data!S204,Master_Data!R205)))</f>
        <v/>
      </c>
      <c r="H204" s="20">
        <f>IF(G204="","",MAX(Settings!$B$4,Settings!$B$5*AVERAGE(IF(Master_Data!O204&lt;&gt;"",Master_Data!O204,Master_Data!H204),IF(Master_Data!O205&lt;&gt;"",Master_Data!O205,Master_Data!H205))))</f>
        <v/>
      </c>
      <c r="I204" s="20">
        <f>IF(G204="","",G204-H204)</f>
        <v/>
      </c>
      <c r="J204" s="20">
        <f>IF(G204="","",G204+H204)</f>
        <v/>
      </c>
      <c r="K204" s="20">
        <f>IF($A204="","",Master_Data!G204)</f>
        <v/>
      </c>
      <c r="L204" s="20">
        <f>IF($A204="","",Master_Data!G205)</f>
        <v/>
      </c>
      <c r="M204" s="20">
        <f>IF(AND(ISNUMBER(K204),ISNUMBER(L204)),L204-K204,"")</f>
        <v/>
      </c>
      <c r="N204" s="19">
        <f>IF(G204="","",IF(AND(ISNUMBER(K204),ISNUMBER(L204)),IF(OR(F204="GOC",F204="OWC",F204="GWC",F204="OWC_TRANSITION",F204="GOC_TRANSITION"),IF(L204&gt;=K204,"Supports","Conflicts"),"N/A"),"No Sw"))</f>
        <v/>
      </c>
      <c r="O204" s="20">
        <f>IF(G204="","",Settings!$B$6*IF(OR(F204="GOC",F204="OWC",F204="GWC"),1,0.7)+Settings!$B$7*IF(N204="Supports",1,IF(N204="Conflicts",0,0.5))+Settings!$B$8*IF(AND(Master_Data!R204&lt;&gt;"",Master_Data!S204&lt;&gt;"",Master_Data!R205&lt;&gt;"",Master_Data!S205&lt;&gt;""),1,0.5))</f>
        <v/>
      </c>
      <c r="P204" s="19">
        <f>IF(G204="","",IF(N204="Conflicts","SW_CONFLICT",IF(OR(F204="GOC",F204="OWC",F204="GWC"),"DIRECT_FLUID_TRANSITION","TRANSITION_INTERVAL")))</f>
        <v/>
      </c>
      <c r="Q204" s="19">
        <f>IF(G204="","",IF(N204="Conflicts","Investigate contact interpretation / saturation behaviour",IF(OR(F204="OWC",F204="GOC",F204="GWC"),"Candidate contact — validate with logs, pressure and dynamic evidence","Transition zone — do not force to a sharp contact")))</f>
        <v/>
      </c>
    </row>
    <row r="205">
      <c r="A205" s="19">
        <f>IF(AND(Master_Data!A205&lt;&gt;"",Master_Data!A205=Master_Data!A206),Master_Data!A205,"")</f>
        <v/>
      </c>
      <c r="B205" s="19">
        <f>IF($A205="","",Master_Data!B205)</f>
        <v/>
      </c>
      <c r="C205" s="19">
        <f>IF($A205="","",Master_Data!B206)</f>
        <v/>
      </c>
      <c r="D205" s="19">
        <f>IF($A205="","",Master_Data!Q205)</f>
        <v/>
      </c>
      <c r="E205" s="19">
        <f>IF($A205="","",Master_Data!Q206)</f>
        <v/>
      </c>
      <c r="F205" s="19">
        <f>IF($A205="","",IF(AND(D205="GAS",E205="OIL"),"GOC",IF(AND(D205="OIL",E205="WATER"),"OWC",IF(AND(D205="GAS",E205="WATER"),"GWC",IF(AND(D205="OIL",E205="OIL_WATER"),"OWC_TRANSITION",IF(AND(D205="OIL_WATER",E205="WATER"),"OWC_TRANSITION",IF(AND(D205="GAS",E205="GAS_WATER"),"GOC_TRANSITION",IF(AND(D205="GAS_WATER",E205="OIL"),"GOC_TRANSITION",IF(OR(D205="OIL_WATER",D205="GAS_WATER"),"TRANSITION_INTERVAL","")))))))))</f>
        <v/>
      </c>
      <c r="G205" s="20">
        <f>IF(OR(F205="",Master_Data!R205="",Master_Data!S205=""),"",IF(RIGHT(F205,10)="TRANSITION",AVERAGE(Master_Data!R205:Master_Data!S205),AVERAGE(Master_Data!S205,Master_Data!R206)))</f>
        <v/>
      </c>
      <c r="H205" s="20">
        <f>IF(G205="","",MAX(Settings!$B$4,Settings!$B$5*AVERAGE(IF(Master_Data!O205&lt;&gt;"",Master_Data!O205,Master_Data!H205),IF(Master_Data!O206&lt;&gt;"",Master_Data!O206,Master_Data!H206))))</f>
        <v/>
      </c>
      <c r="I205" s="20">
        <f>IF(G205="","",G205-H205)</f>
        <v/>
      </c>
      <c r="J205" s="20">
        <f>IF(G205="","",G205+H205)</f>
        <v/>
      </c>
      <c r="K205" s="20">
        <f>IF($A205="","",Master_Data!G205)</f>
        <v/>
      </c>
      <c r="L205" s="20">
        <f>IF($A205="","",Master_Data!G206)</f>
        <v/>
      </c>
      <c r="M205" s="20">
        <f>IF(AND(ISNUMBER(K205),ISNUMBER(L205)),L205-K205,"")</f>
        <v/>
      </c>
      <c r="N205" s="19">
        <f>IF(G205="","",IF(AND(ISNUMBER(K205),ISNUMBER(L205)),IF(OR(F205="GOC",F205="OWC",F205="GWC",F205="OWC_TRANSITION",F205="GOC_TRANSITION"),IF(L205&gt;=K205,"Supports","Conflicts"),"N/A"),"No Sw"))</f>
        <v/>
      </c>
      <c r="O205" s="20">
        <f>IF(G205="","",Settings!$B$6*IF(OR(F205="GOC",F205="OWC",F205="GWC"),1,0.7)+Settings!$B$7*IF(N205="Supports",1,IF(N205="Conflicts",0,0.5))+Settings!$B$8*IF(AND(Master_Data!R205&lt;&gt;"",Master_Data!S205&lt;&gt;"",Master_Data!R206&lt;&gt;"",Master_Data!S206&lt;&gt;""),1,0.5))</f>
        <v/>
      </c>
      <c r="P205" s="19">
        <f>IF(G205="","",IF(N205="Conflicts","SW_CONFLICT",IF(OR(F205="GOC",F205="OWC",F205="GWC"),"DIRECT_FLUID_TRANSITION","TRANSITION_INTERVAL")))</f>
        <v/>
      </c>
      <c r="Q205" s="19">
        <f>IF(G205="","",IF(N205="Conflicts","Investigate contact interpretation / saturation behaviour",IF(OR(F205="OWC",F205="GOC",F205="GWC"),"Candidate contact — validate with logs, pressure and dynamic evidence","Transition zone — do not force to a sharp contact")))</f>
        <v/>
      </c>
    </row>
    <row r="206">
      <c r="A206" s="19">
        <f>IF(AND(Master_Data!A206&lt;&gt;"",Master_Data!A206=Master_Data!A207),Master_Data!A206,"")</f>
        <v/>
      </c>
      <c r="B206" s="19">
        <f>IF($A206="","",Master_Data!B206)</f>
        <v/>
      </c>
      <c r="C206" s="19">
        <f>IF($A206="","",Master_Data!B207)</f>
        <v/>
      </c>
      <c r="D206" s="19">
        <f>IF($A206="","",Master_Data!Q206)</f>
        <v/>
      </c>
      <c r="E206" s="19">
        <f>IF($A206="","",Master_Data!Q207)</f>
        <v/>
      </c>
      <c r="F206" s="19">
        <f>IF($A206="","",IF(AND(D206="GAS",E206="OIL"),"GOC",IF(AND(D206="OIL",E206="WATER"),"OWC",IF(AND(D206="GAS",E206="WATER"),"GWC",IF(AND(D206="OIL",E206="OIL_WATER"),"OWC_TRANSITION",IF(AND(D206="OIL_WATER",E206="WATER"),"OWC_TRANSITION",IF(AND(D206="GAS",E206="GAS_WATER"),"GOC_TRANSITION",IF(AND(D206="GAS_WATER",E206="OIL"),"GOC_TRANSITION",IF(OR(D206="OIL_WATER",D206="GAS_WATER"),"TRANSITION_INTERVAL","")))))))))</f>
        <v/>
      </c>
      <c r="G206" s="20">
        <f>IF(OR(F206="",Master_Data!R206="",Master_Data!S206=""),"",IF(RIGHT(F206,10)="TRANSITION",AVERAGE(Master_Data!R206:Master_Data!S206),AVERAGE(Master_Data!S206,Master_Data!R207)))</f>
        <v/>
      </c>
      <c r="H206" s="20">
        <f>IF(G206="","",MAX(Settings!$B$4,Settings!$B$5*AVERAGE(IF(Master_Data!O206&lt;&gt;"",Master_Data!O206,Master_Data!H206),IF(Master_Data!O207&lt;&gt;"",Master_Data!O207,Master_Data!H207))))</f>
        <v/>
      </c>
      <c r="I206" s="20">
        <f>IF(G206="","",G206-H206)</f>
        <v/>
      </c>
      <c r="J206" s="20">
        <f>IF(G206="","",G206+H206)</f>
        <v/>
      </c>
      <c r="K206" s="20">
        <f>IF($A206="","",Master_Data!G206)</f>
        <v/>
      </c>
      <c r="L206" s="20">
        <f>IF($A206="","",Master_Data!G207)</f>
        <v/>
      </c>
      <c r="M206" s="20">
        <f>IF(AND(ISNUMBER(K206),ISNUMBER(L206)),L206-K206,"")</f>
        <v/>
      </c>
      <c r="N206" s="19">
        <f>IF(G206="","",IF(AND(ISNUMBER(K206),ISNUMBER(L206)),IF(OR(F206="GOC",F206="OWC",F206="GWC",F206="OWC_TRANSITION",F206="GOC_TRANSITION"),IF(L206&gt;=K206,"Supports","Conflicts"),"N/A"),"No Sw"))</f>
        <v/>
      </c>
      <c r="O206" s="20">
        <f>IF(G206="","",Settings!$B$6*IF(OR(F206="GOC",F206="OWC",F206="GWC"),1,0.7)+Settings!$B$7*IF(N206="Supports",1,IF(N206="Conflicts",0,0.5))+Settings!$B$8*IF(AND(Master_Data!R206&lt;&gt;"",Master_Data!S206&lt;&gt;"",Master_Data!R207&lt;&gt;"",Master_Data!S207&lt;&gt;""),1,0.5))</f>
        <v/>
      </c>
      <c r="P206" s="19">
        <f>IF(G206="","",IF(N206="Conflicts","SW_CONFLICT",IF(OR(F206="GOC",F206="OWC",F206="GWC"),"DIRECT_FLUID_TRANSITION","TRANSITION_INTERVAL")))</f>
        <v/>
      </c>
      <c r="Q206" s="19">
        <f>IF(G206="","",IF(N206="Conflicts","Investigate contact interpretation / saturation behaviour",IF(OR(F206="OWC",F206="GOC",F206="GWC"),"Candidate contact — validate with logs, pressure and dynamic evidence","Transition zone — do not force to a sharp contact")))</f>
        <v/>
      </c>
    </row>
    <row r="207">
      <c r="A207" s="19">
        <f>IF(AND(Master_Data!A207&lt;&gt;"",Master_Data!A207=Master_Data!A208),Master_Data!A207,"")</f>
        <v/>
      </c>
      <c r="B207" s="19">
        <f>IF($A207="","",Master_Data!B207)</f>
        <v/>
      </c>
      <c r="C207" s="19">
        <f>IF($A207="","",Master_Data!B208)</f>
        <v/>
      </c>
      <c r="D207" s="19">
        <f>IF($A207="","",Master_Data!Q207)</f>
        <v/>
      </c>
      <c r="E207" s="19">
        <f>IF($A207="","",Master_Data!Q208)</f>
        <v/>
      </c>
      <c r="F207" s="19">
        <f>IF($A207="","",IF(AND(D207="GAS",E207="OIL"),"GOC",IF(AND(D207="OIL",E207="WATER"),"OWC",IF(AND(D207="GAS",E207="WATER"),"GWC",IF(AND(D207="OIL",E207="OIL_WATER"),"OWC_TRANSITION",IF(AND(D207="OIL_WATER",E207="WATER"),"OWC_TRANSITION",IF(AND(D207="GAS",E207="GAS_WATER"),"GOC_TRANSITION",IF(AND(D207="GAS_WATER",E207="OIL"),"GOC_TRANSITION",IF(OR(D207="OIL_WATER",D207="GAS_WATER"),"TRANSITION_INTERVAL","")))))))))</f>
        <v/>
      </c>
      <c r="G207" s="20">
        <f>IF(OR(F207="",Master_Data!R207="",Master_Data!S207=""),"",IF(RIGHT(F207,10)="TRANSITION",AVERAGE(Master_Data!R207:Master_Data!S207),AVERAGE(Master_Data!S207,Master_Data!R208)))</f>
        <v/>
      </c>
      <c r="H207" s="20">
        <f>IF(G207="","",MAX(Settings!$B$4,Settings!$B$5*AVERAGE(IF(Master_Data!O207&lt;&gt;"",Master_Data!O207,Master_Data!H207),IF(Master_Data!O208&lt;&gt;"",Master_Data!O208,Master_Data!H208))))</f>
        <v/>
      </c>
      <c r="I207" s="20">
        <f>IF(G207="","",G207-H207)</f>
        <v/>
      </c>
      <c r="J207" s="20">
        <f>IF(G207="","",G207+H207)</f>
        <v/>
      </c>
      <c r="K207" s="20">
        <f>IF($A207="","",Master_Data!G207)</f>
        <v/>
      </c>
      <c r="L207" s="20">
        <f>IF($A207="","",Master_Data!G208)</f>
        <v/>
      </c>
      <c r="M207" s="20">
        <f>IF(AND(ISNUMBER(K207),ISNUMBER(L207)),L207-K207,"")</f>
        <v/>
      </c>
      <c r="N207" s="19">
        <f>IF(G207="","",IF(AND(ISNUMBER(K207),ISNUMBER(L207)),IF(OR(F207="GOC",F207="OWC",F207="GWC",F207="OWC_TRANSITION",F207="GOC_TRANSITION"),IF(L207&gt;=K207,"Supports","Conflicts"),"N/A"),"No Sw"))</f>
        <v/>
      </c>
      <c r="O207" s="20">
        <f>IF(G207="","",Settings!$B$6*IF(OR(F207="GOC",F207="OWC",F207="GWC"),1,0.7)+Settings!$B$7*IF(N207="Supports",1,IF(N207="Conflicts",0,0.5))+Settings!$B$8*IF(AND(Master_Data!R207&lt;&gt;"",Master_Data!S207&lt;&gt;"",Master_Data!R208&lt;&gt;"",Master_Data!S208&lt;&gt;""),1,0.5))</f>
        <v/>
      </c>
      <c r="P207" s="19">
        <f>IF(G207="","",IF(N207="Conflicts","SW_CONFLICT",IF(OR(F207="GOC",F207="OWC",F207="GWC"),"DIRECT_FLUID_TRANSITION","TRANSITION_INTERVAL")))</f>
        <v/>
      </c>
      <c r="Q207" s="19">
        <f>IF(G207="","",IF(N207="Conflicts","Investigate contact interpretation / saturation behaviour",IF(OR(F207="OWC",F207="GOC",F207="GWC"),"Candidate contact — validate with logs, pressure and dynamic evidence","Transition zone — do not force to a sharp contact")))</f>
        <v/>
      </c>
    </row>
    <row r="208">
      <c r="A208" s="19">
        <f>IF(AND(Master_Data!A208&lt;&gt;"",Master_Data!A208=Master_Data!A209),Master_Data!A208,"")</f>
        <v/>
      </c>
      <c r="B208" s="19">
        <f>IF($A208="","",Master_Data!B208)</f>
        <v/>
      </c>
      <c r="C208" s="19">
        <f>IF($A208="","",Master_Data!B209)</f>
        <v/>
      </c>
      <c r="D208" s="19">
        <f>IF($A208="","",Master_Data!Q208)</f>
        <v/>
      </c>
      <c r="E208" s="19">
        <f>IF($A208="","",Master_Data!Q209)</f>
        <v/>
      </c>
      <c r="F208" s="19">
        <f>IF($A208="","",IF(AND(D208="GAS",E208="OIL"),"GOC",IF(AND(D208="OIL",E208="WATER"),"OWC",IF(AND(D208="GAS",E208="WATER"),"GWC",IF(AND(D208="OIL",E208="OIL_WATER"),"OWC_TRANSITION",IF(AND(D208="OIL_WATER",E208="WATER"),"OWC_TRANSITION",IF(AND(D208="GAS",E208="GAS_WATER"),"GOC_TRANSITION",IF(AND(D208="GAS_WATER",E208="OIL"),"GOC_TRANSITION",IF(OR(D208="OIL_WATER",D208="GAS_WATER"),"TRANSITION_INTERVAL","")))))))))</f>
        <v/>
      </c>
      <c r="G208" s="20">
        <f>IF(OR(F208="",Master_Data!R208="",Master_Data!S208=""),"",IF(RIGHT(F208,10)="TRANSITION",AVERAGE(Master_Data!R208:Master_Data!S208),AVERAGE(Master_Data!S208,Master_Data!R209)))</f>
        <v/>
      </c>
      <c r="H208" s="20">
        <f>IF(G208="","",MAX(Settings!$B$4,Settings!$B$5*AVERAGE(IF(Master_Data!O208&lt;&gt;"",Master_Data!O208,Master_Data!H208),IF(Master_Data!O209&lt;&gt;"",Master_Data!O209,Master_Data!H209))))</f>
        <v/>
      </c>
      <c r="I208" s="20">
        <f>IF(G208="","",G208-H208)</f>
        <v/>
      </c>
      <c r="J208" s="20">
        <f>IF(G208="","",G208+H208)</f>
        <v/>
      </c>
      <c r="K208" s="20">
        <f>IF($A208="","",Master_Data!G208)</f>
        <v/>
      </c>
      <c r="L208" s="20">
        <f>IF($A208="","",Master_Data!G209)</f>
        <v/>
      </c>
      <c r="M208" s="20">
        <f>IF(AND(ISNUMBER(K208),ISNUMBER(L208)),L208-K208,"")</f>
        <v/>
      </c>
      <c r="N208" s="19">
        <f>IF(G208="","",IF(AND(ISNUMBER(K208),ISNUMBER(L208)),IF(OR(F208="GOC",F208="OWC",F208="GWC",F208="OWC_TRANSITION",F208="GOC_TRANSITION"),IF(L208&gt;=K208,"Supports","Conflicts"),"N/A"),"No Sw"))</f>
        <v/>
      </c>
      <c r="O208" s="20">
        <f>IF(G208="","",Settings!$B$6*IF(OR(F208="GOC",F208="OWC",F208="GWC"),1,0.7)+Settings!$B$7*IF(N208="Supports",1,IF(N208="Conflicts",0,0.5))+Settings!$B$8*IF(AND(Master_Data!R208&lt;&gt;"",Master_Data!S208&lt;&gt;"",Master_Data!R209&lt;&gt;"",Master_Data!S209&lt;&gt;""),1,0.5))</f>
        <v/>
      </c>
      <c r="P208" s="19">
        <f>IF(G208="","",IF(N208="Conflicts","SW_CONFLICT",IF(OR(F208="GOC",F208="OWC",F208="GWC"),"DIRECT_FLUID_TRANSITION","TRANSITION_INTERVAL")))</f>
        <v/>
      </c>
      <c r="Q208" s="19">
        <f>IF(G208="","",IF(N208="Conflicts","Investigate contact interpretation / saturation behaviour",IF(OR(F208="OWC",F208="GOC",F208="GWC"),"Candidate contact — validate with logs, pressure and dynamic evidence","Transition zone — do not force to a sharp contact")))</f>
        <v/>
      </c>
    </row>
    <row r="209">
      <c r="A209" s="19">
        <f>IF(AND(Master_Data!A209&lt;&gt;"",Master_Data!A209=Master_Data!A210),Master_Data!A209,"")</f>
        <v/>
      </c>
      <c r="B209" s="19">
        <f>IF($A209="","",Master_Data!B209)</f>
        <v/>
      </c>
      <c r="C209" s="19">
        <f>IF($A209="","",Master_Data!B210)</f>
        <v/>
      </c>
      <c r="D209" s="19">
        <f>IF($A209="","",Master_Data!Q209)</f>
        <v/>
      </c>
      <c r="E209" s="19">
        <f>IF($A209="","",Master_Data!Q210)</f>
        <v/>
      </c>
      <c r="F209" s="19">
        <f>IF($A209="","",IF(AND(D209="GAS",E209="OIL"),"GOC",IF(AND(D209="OIL",E209="WATER"),"OWC",IF(AND(D209="GAS",E209="WATER"),"GWC",IF(AND(D209="OIL",E209="OIL_WATER"),"OWC_TRANSITION",IF(AND(D209="OIL_WATER",E209="WATER"),"OWC_TRANSITION",IF(AND(D209="GAS",E209="GAS_WATER"),"GOC_TRANSITION",IF(AND(D209="GAS_WATER",E209="OIL"),"GOC_TRANSITION",IF(OR(D209="OIL_WATER",D209="GAS_WATER"),"TRANSITION_INTERVAL","")))))))))</f>
        <v/>
      </c>
      <c r="G209" s="20">
        <f>IF(OR(F209="",Master_Data!R209="",Master_Data!S209=""),"",IF(RIGHT(F209,10)="TRANSITION",AVERAGE(Master_Data!R209:Master_Data!S209),AVERAGE(Master_Data!S209,Master_Data!R210)))</f>
        <v/>
      </c>
      <c r="H209" s="20">
        <f>IF(G209="","",MAX(Settings!$B$4,Settings!$B$5*AVERAGE(IF(Master_Data!O209&lt;&gt;"",Master_Data!O209,Master_Data!H209),IF(Master_Data!O210&lt;&gt;"",Master_Data!O210,Master_Data!H210))))</f>
        <v/>
      </c>
      <c r="I209" s="20">
        <f>IF(G209="","",G209-H209)</f>
        <v/>
      </c>
      <c r="J209" s="20">
        <f>IF(G209="","",G209+H209)</f>
        <v/>
      </c>
      <c r="K209" s="20">
        <f>IF($A209="","",Master_Data!G209)</f>
        <v/>
      </c>
      <c r="L209" s="20">
        <f>IF($A209="","",Master_Data!G210)</f>
        <v/>
      </c>
      <c r="M209" s="20">
        <f>IF(AND(ISNUMBER(K209),ISNUMBER(L209)),L209-K209,"")</f>
        <v/>
      </c>
      <c r="N209" s="19">
        <f>IF(G209="","",IF(AND(ISNUMBER(K209),ISNUMBER(L209)),IF(OR(F209="GOC",F209="OWC",F209="GWC",F209="OWC_TRANSITION",F209="GOC_TRANSITION"),IF(L209&gt;=K209,"Supports","Conflicts"),"N/A"),"No Sw"))</f>
        <v/>
      </c>
      <c r="O209" s="20">
        <f>IF(G209="","",Settings!$B$6*IF(OR(F209="GOC",F209="OWC",F209="GWC"),1,0.7)+Settings!$B$7*IF(N209="Supports",1,IF(N209="Conflicts",0,0.5))+Settings!$B$8*IF(AND(Master_Data!R209&lt;&gt;"",Master_Data!S209&lt;&gt;"",Master_Data!R210&lt;&gt;"",Master_Data!S210&lt;&gt;""),1,0.5))</f>
        <v/>
      </c>
      <c r="P209" s="19">
        <f>IF(G209="","",IF(N209="Conflicts","SW_CONFLICT",IF(OR(F209="GOC",F209="OWC",F209="GWC"),"DIRECT_FLUID_TRANSITION","TRANSITION_INTERVAL")))</f>
        <v/>
      </c>
      <c r="Q209" s="19">
        <f>IF(G209="","",IF(N209="Conflicts","Investigate contact interpretation / saturation behaviour",IF(OR(F209="OWC",F209="GOC",F209="GWC"),"Candidate contact — validate with logs, pressure and dynamic evidence","Transition zone — do not force to a sharp contact")))</f>
        <v/>
      </c>
    </row>
    <row r="210">
      <c r="A210" s="19">
        <f>IF(AND(Master_Data!A210&lt;&gt;"",Master_Data!A210=Master_Data!A211),Master_Data!A210,"")</f>
        <v/>
      </c>
      <c r="B210" s="19">
        <f>IF($A210="","",Master_Data!B210)</f>
        <v/>
      </c>
      <c r="C210" s="19">
        <f>IF($A210="","",Master_Data!B211)</f>
        <v/>
      </c>
      <c r="D210" s="19">
        <f>IF($A210="","",Master_Data!Q210)</f>
        <v/>
      </c>
      <c r="E210" s="19">
        <f>IF($A210="","",Master_Data!Q211)</f>
        <v/>
      </c>
      <c r="F210" s="19">
        <f>IF($A210="","",IF(AND(D210="GAS",E210="OIL"),"GOC",IF(AND(D210="OIL",E210="WATER"),"OWC",IF(AND(D210="GAS",E210="WATER"),"GWC",IF(AND(D210="OIL",E210="OIL_WATER"),"OWC_TRANSITION",IF(AND(D210="OIL_WATER",E210="WATER"),"OWC_TRANSITION",IF(AND(D210="GAS",E210="GAS_WATER"),"GOC_TRANSITION",IF(AND(D210="GAS_WATER",E210="OIL"),"GOC_TRANSITION",IF(OR(D210="OIL_WATER",D210="GAS_WATER"),"TRANSITION_INTERVAL","")))))))))</f>
        <v/>
      </c>
      <c r="G210" s="20">
        <f>IF(OR(F210="",Master_Data!R210="",Master_Data!S210=""),"",IF(RIGHT(F210,10)="TRANSITION",AVERAGE(Master_Data!R210:Master_Data!S210),AVERAGE(Master_Data!S210,Master_Data!R211)))</f>
        <v/>
      </c>
      <c r="H210" s="20">
        <f>IF(G210="","",MAX(Settings!$B$4,Settings!$B$5*AVERAGE(IF(Master_Data!O210&lt;&gt;"",Master_Data!O210,Master_Data!H210),IF(Master_Data!O211&lt;&gt;"",Master_Data!O211,Master_Data!H211))))</f>
        <v/>
      </c>
      <c r="I210" s="20">
        <f>IF(G210="","",G210-H210)</f>
        <v/>
      </c>
      <c r="J210" s="20">
        <f>IF(G210="","",G210+H210)</f>
        <v/>
      </c>
      <c r="K210" s="20">
        <f>IF($A210="","",Master_Data!G210)</f>
        <v/>
      </c>
      <c r="L210" s="20">
        <f>IF($A210="","",Master_Data!G211)</f>
        <v/>
      </c>
      <c r="M210" s="20">
        <f>IF(AND(ISNUMBER(K210),ISNUMBER(L210)),L210-K210,"")</f>
        <v/>
      </c>
      <c r="N210" s="19">
        <f>IF(G210="","",IF(AND(ISNUMBER(K210),ISNUMBER(L210)),IF(OR(F210="GOC",F210="OWC",F210="GWC",F210="OWC_TRANSITION",F210="GOC_TRANSITION"),IF(L210&gt;=K210,"Supports","Conflicts"),"N/A"),"No Sw"))</f>
        <v/>
      </c>
      <c r="O210" s="20">
        <f>IF(G210="","",Settings!$B$6*IF(OR(F210="GOC",F210="OWC",F210="GWC"),1,0.7)+Settings!$B$7*IF(N210="Supports",1,IF(N210="Conflicts",0,0.5))+Settings!$B$8*IF(AND(Master_Data!R210&lt;&gt;"",Master_Data!S210&lt;&gt;"",Master_Data!R211&lt;&gt;"",Master_Data!S211&lt;&gt;""),1,0.5))</f>
        <v/>
      </c>
      <c r="P210" s="19">
        <f>IF(G210="","",IF(N210="Conflicts","SW_CONFLICT",IF(OR(F210="GOC",F210="OWC",F210="GWC"),"DIRECT_FLUID_TRANSITION","TRANSITION_INTERVAL")))</f>
        <v/>
      </c>
      <c r="Q210" s="19">
        <f>IF(G210="","",IF(N210="Conflicts","Investigate contact interpretation / saturation behaviour",IF(OR(F210="OWC",F210="GOC",F210="GWC"),"Candidate contact — validate with logs, pressure and dynamic evidence","Transition zone — do not force to a sharp contact")))</f>
        <v/>
      </c>
    </row>
    <row r="211">
      <c r="A211" s="19">
        <f>IF(AND(Master_Data!A211&lt;&gt;"",Master_Data!A211=Master_Data!A212),Master_Data!A211,"")</f>
        <v/>
      </c>
      <c r="B211" s="19">
        <f>IF($A211="","",Master_Data!B211)</f>
        <v/>
      </c>
      <c r="C211" s="19">
        <f>IF($A211="","",Master_Data!B212)</f>
        <v/>
      </c>
      <c r="D211" s="19">
        <f>IF($A211="","",Master_Data!Q211)</f>
        <v/>
      </c>
      <c r="E211" s="19">
        <f>IF($A211="","",Master_Data!Q212)</f>
        <v/>
      </c>
      <c r="F211" s="19">
        <f>IF($A211="","",IF(AND(D211="GAS",E211="OIL"),"GOC",IF(AND(D211="OIL",E211="WATER"),"OWC",IF(AND(D211="GAS",E211="WATER"),"GWC",IF(AND(D211="OIL",E211="OIL_WATER"),"OWC_TRANSITION",IF(AND(D211="OIL_WATER",E211="WATER"),"OWC_TRANSITION",IF(AND(D211="GAS",E211="GAS_WATER"),"GOC_TRANSITION",IF(AND(D211="GAS_WATER",E211="OIL"),"GOC_TRANSITION",IF(OR(D211="OIL_WATER",D211="GAS_WATER"),"TRANSITION_INTERVAL","")))))))))</f>
        <v/>
      </c>
      <c r="G211" s="20">
        <f>IF(OR(F211="",Master_Data!R211="",Master_Data!S211=""),"",IF(RIGHT(F211,10)="TRANSITION",AVERAGE(Master_Data!R211:Master_Data!S211),AVERAGE(Master_Data!S211,Master_Data!R212)))</f>
        <v/>
      </c>
      <c r="H211" s="20">
        <f>IF(G211="","",MAX(Settings!$B$4,Settings!$B$5*AVERAGE(IF(Master_Data!O211&lt;&gt;"",Master_Data!O211,Master_Data!H211),IF(Master_Data!O212&lt;&gt;"",Master_Data!O212,Master_Data!H212))))</f>
        <v/>
      </c>
      <c r="I211" s="20">
        <f>IF(G211="","",G211-H211)</f>
        <v/>
      </c>
      <c r="J211" s="20">
        <f>IF(G211="","",G211+H211)</f>
        <v/>
      </c>
      <c r="K211" s="20">
        <f>IF($A211="","",Master_Data!G211)</f>
        <v/>
      </c>
      <c r="L211" s="20">
        <f>IF($A211="","",Master_Data!G212)</f>
        <v/>
      </c>
      <c r="M211" s="20">
        <f>IF(AND(ISNUMBER(K211),ISNUMBER(L211)),L211-K211,"")</f>
        <v/>
      </c>
      <c r="N211" s="19">
        <f>IF(G211="","",IF(AND(ISNUMBER(K211),ISNUMBER(L211)),IF(OR(F211="GOC",F211="OWC",F211="GWC",F211="OWC_TRANSITION",F211="GOC_TRANSITION"),IF(L211&gt;=K211,"Supports","Conflicts"),"N/A"),"No Sw"))</f>
        <v/>
      </c>
      <c r="O211" s="20">
        <f>IF(G211="","",Settings!$B$6*IF(OR(F211="GOC",F211="OWC",F211="GWC"),1,0.7)+Settings!$B$7*IF(N211="Supports",1,IF(N211="Conflicts",0,0.5))+Settings!$B$8*IF(AND(Master_Data!R211&lt;&gt;"",Master_Data!S211&lt;&gt;"",Master_Data!R212&lt;&gt;"",Master_Data!S212&lt;&gt;""),1,0.5))</f>
        <v/>
      </c>
      <c r="P211" s="19">
        <f>IF(G211="","",IF(N211="Conflicts","SW_CONFLICT",IF(OR(F211="GOC",F211="OWC",F211="GWC"),"DIRECT_FLUID_TRANSITION","TRANSITION_INTERVAL")))</f>
        <v/>
      </c>
      <c r="Q211" s="19">
        <f>IF(G211="","",IF(N211="Conflicts","Investigate contact interpretation / saturation behaviour",IF(OR(F211="OWC",F211="GOC",F211="GWC"),"Candidate contact — validate with logs, pressure and dynamic evidence","Transition zone — do not force to a sharp contact")))</f>
        <v/>
      </c>
    </row>
    <row r="212">
      <c r="A212" s="19">
        <f>IF(AND(Master_Data!A212&lt;&gt;"",Master_Data!A212=Master_Data!A213),Master_Data!A212,"")</f>
        <v/>
      </c>
      <c r="B212" s="19">
        <f>IF($A212="","",Master_Data!B212)</f>
        <v/>
      </c>
      <c r="C212" s="19">
        <f>IF($A212="","",Master_Data!B213)</f>
        <v/>
      </c>
      <c r="D212" s="19">
        <f>IF($A212="","",Master_Data!Q212)</f>
        <v/>
      </c>
      <c r="E212" s="19">
        <f>IF($A212="","",Master_Data!Q213)</f>
        <v/>
      </c>
      <c r="F212" s="19">
        <f>IF($A212="","",IF(AND(D212="GAS",E212="OIL"),"GOC",IF(AND(D212="OIL",E212="WATER"),"OWC",IF(AND(D212="GAS",E212="WATER"),"GWC",IF(AND(D212="OIL",E212="OIL_WATER"),"OWC_TRANSITION",IF(AND(D212="OIL_WATER",E212="WATER"),"OWC_TRANSITION",IF(AND(D212="GAS",E212="GAS_WATER"),"GOC_TRANSITION",IF(AND(D212="GAS_WATER",E212="OIL"),"GOC_TRANSITION",IF(OR(D212="OIL_WATER",D212="GAS_WATER"),"TRANSITION_INTERVAL","")))))))))</f>
        <v/>
      </c>
      <c r="G212" s="20">
        <f>IF(OR(F212="",Master_Data!R212="",Master_Data!S212=""),"",IF(RIGHT(F212,10)="TRANSITION",AVERAGE(Master_Data!R212:Master_Data!S212),AVERAGE(Master_Data!S212,Master_Data!R213)))</f>
        <v/>
      </c>
      <c r="H212" s="20">
        <f>IF(G212="","",MAX(Settings!$B$4,Settings!$B$5*AVERAGE(IF(Master_Data!O212&lt;&gt;"",Master_Data!O212,Master_Data!H212),IF(Master_Data!O213&lt;&gt;"",Master_Data!O213,Master_Data!H213))))</f>
        <v/>
      </c>
      <c r="I212" s="20">
        <f>IF(G212="","",G212-H212)</f>
        <v/>
      </c>
      <c r="J212" s="20">
        <f>IF(G212="","",G212+H212)</f>
        <v/>
      </c>
      <c r="K212" s="20">
        <f>IF($A212="","",Master_Data!G212)</f>
        <v/>
      </c>
      <c r="L212" s="20">
        <f>IF($A212="","",Master_Data!G213)</f>
        <v/>
      </c>
      <c r="M212" s="20">
        <f>IF(AND(ISNUMBER(K212),ISNUMBER(L212)),L212-K212,"")</f>
        <v/>
      </c>
      <c r="N212" s="19">
        <f>IF(G212="","",IF(AND(ISNUMBER(K212),ISNUMBER(L212)),IF(OR(F212="GOC",F212="OWC",F212="GWC",F212="OWC_TRANSITION",F212="GOC_TRANSITION"),IF(L212&gt;=K212,"Supports","Conflicts"),"N/A"),"No Sw"))</f>
        <v/>
      </c>
      <c r="O212" s="20">
        <f>IF(G212="","",Settings!$B$6*IF(OR(F212="GOC",F212="OWC",F212="GWC"),1,0.7)+Settings!$B$7*IF(N212="Supports",1,IF(N212="Conflicts",0,0.5))+Settings!$B$8*IF(AND(Master_Data!R212&lt;&gt;"",Master_Data!S212&lt;&gt;"",Master_Data!R213&lt;&gt;"",Master_Data!S213&lt;&gt;""),1,0.5))</f>
        <v/>
      </c>
      <c r="P212" s="19">
        <f>IF(G212="","",IF(N212="Conflicts","SW_CONFLICT",IF(OR(F212="GOC",F212="OWC",F212="GWC"),"DIRECT_FLUID_TRANSITION","TRANSITION_INTERVAL")))</f>
        <v/>
      </c>
      <c r="Q212" s="19">
        <f>IF(G212="","",IF(N212="Conflicts","Investigate contact interpretation / saturation behaviour",IF(OR(F212="OWC",F212="GOC",F212="GWC"),"Candidate contact — validate with logs, pressure and dynamic evidence","Transition zone — do not force to a sharp contact")))</f>
        <v/>
      </c>
    </row>
    <row r="213">
      <c r="A213" s="19">
        <f>IF(AND(Master_Data!A213&lt;&gt;"",Master_Data!A213=Master_Data!A214),Master_Data!A213,"")</f>
        <v/>
      </c>
      <c r="B213" s="19">
        <f>IF($A213="","",Master_Data!B213)</f>
        <v/>
      </c>
      <c r="C213" s="19">
        <f>IF($A213="","",Master_Data!B214)</f>
        <v/>
      </c>
      <c r="D213" s="19">
        <f>IF($A213="","",Master_Data!Q213)</f>
        <v/>
      </c>
      <c r="E213" s="19">
        <f>IF($A213="","",Master_Data!Q214)</f>
        <v/>
      </c>
      <c r="F213" s="19">
        <f>IF($A213="","",IF(AND(D213="GAS",E213="OIL"),"GOC",IF(AND(D213="OIL",E213="WATER"),"OWC",IF(AND(D213="GAS",E213="WATER"),"GWC",IF(AND(D213="OIL",E213="OIL_WATER"),"OWC_TRANSITION",IF(AND(D213="OIL_WATER",E213="WATER"),"OWC_TRANSITION",IF(AND(D213="GAS",E213="GAS_WATER"),"GOC_TRANSITION",IF(AND(D213="GAS_WATER",E213="OIL"),"GOC_TRANSITION",IF(OR(D213="OIL_WATER",D213="GAS_WATER"),"TRANSITION_INTERVAL","")))))))))</f>
        <v/>
      </c>
      <c r="G213" s="20">
        <f>IF(OR(F213="",Master_Data!R213="",Master_Data!S213=""),"",IF(RIGHT(F213,10)="TRANSITION",AVERAGE(Master_Data!R213:Master_Data!S213),AVERAGE(Master_Data!S213,Master_Data!R214)))</f>
        <v/>
      </c>
      <c r="H213" s="20">
        <f>IF(G213="","",MAX(Settings!$B$4,Settings!$B$5*AVERAGE(IF(Master_Data!O213&lt;&gt;"",Master_Data!O213,Master_Data!H213),IF(Master_Data!O214&lt;&gt;"",Master_Data!O214,Master_Data!H214))))</f>
        <v/>
      </c>
      <c r="I213" s="20">
        <f>IF(G213="","",G213-H213)</f>
        <v/>
      </c>
      <c r="J213" s="20">
        <f>IF(G213="","",G213+H213)</f>
        <v/>
      </c>
      <c r="K213" s="20">
        <f>IF($A213="","",Master_Data!G213)</f>
        <v/>
      </c>
      <c r="L213" s="20">
        <f>IF($A213="","",Master_Data!G214)</f>
        <v/>
      </c>
      <c r="M213" s="20">
        <f>IF(AND(ISNUMBER(K213),ISNUMBER(L213)),L213-K213,"")</f>
        <v/>
      </c>
      <c r="N213" s="19">
        <f>IF(G213="","",IF(AND(ISNUMBER(K213),ISNUMBER(L213)),IF(OR(F213="GOC",F213="OWC",F213="GWC",F213="OWC_TRANSITION",F213="GOC_TRANSITION"),IF(L213&gt;=K213,"Supports","Conflicts"),"N/A"),"No Sw"))</f>
        <v/>
      </c>
      <c r="O213" s="20">
        <f>IF(G213="","",Settings!$B$6*IF(OR(F213="GOC",F213="OWC",F213="GWC"),1,0.7)+Settings!$B$7*IF(N213="Supports",1,IF(N213="Conflicts",0,0.5))+Settings!$B$8*IF(AND(Master_Data!R213&lt;&gt;"",Master_Data!S213&lt;&gt;"",Master_Data!R214&lt;&gt;"",Master_Data!S214&lt;&gt;""),1,0.5))</f>
        <v/>
      </c>
      <c r="P213" s="19">
        <f>IF(G213="","",IF(N213="Conflicts","SW_CONFLICT",IF(OR(F213="GOC",F213="OWC",F213="GWC"),"DIRECT_FLUID_TRANSITION","TRANSITION_INTERVAL")))</f>
        <v/>
      </c>
      <c r="Q213" s="19">
        <f>IF(G213="","",IF(N213="Conflicts","Investigate contact interpretation / saturation behaviour",IF(OR(F213="OWC",F213="GOC",F213="GWC"),"Candidate contact — validate with logs, pressure and dynamic evidence","Transition zone — do not force to a sharp contact")))</f>
        <v/>
      </c>
    </row>
    <row r="214">
      <c r="A214" s="19">
        <f>IF(AND(Master_Data!A214&lt;&gt;"",Master_Data!A214=Master_Data!A215),Master_Data!A214,"")</f>
        <v/>
      </c>
      <c r="B214" s="19">
        <f>IF($A214="","",Master_Data!B214)</f>
        <v/>
      </c>
      <c r="C214" s="19">
        <f>IF($A214="","",Master_Data!B215)</f>
        <v/>
      </c>
      <c r="D214" s="19">
        <f>IF($A214="","",Master_Data!Q214)</f>
        <v/>
      </c>
      <c r="E214" s="19">
        <f>IF($A214="","",Master_Data!Q215)</f>
        <v/>
      </c>
      <c r="F214" s="19">
        <f>IF($A214="","",IF(AND(D214="GAS",E214="OIL"),"GOC",IF(AND(D214="OIL",E214="WATER"),"OWC",IF(AND(D214="GAS",E214="WATER"),"GWC",IF(AND(D214="OIL",E214="OIL_WATER"),"OWC_TRANSITION",IF(AND(D214="OIL_WATER",E214="WATER"),"OWC_TRANSITION",IF(AND(D214="GAS",E214="GAS_WATER"),"GOC_TRANSITION",IF(AND(D214="GAS_WATER",E214="OIL"),"GOC_TRANSITION",IF(OR(D214="OIL_WATER",D214="GAS_WATER"),"TRANSITION_INTERVAL","")))))))))</f>
        <v/>
      </c>
      <c r="G214" s="20">
        <f>IF(OR(F214="",Master_Data!R214="",Master_Data!S214=""),"",IF(RIGHT(F214,10)="TRANSITION",AVERAGE(Master_Data!R214:Master_Data!S214),AVERAGE(Master_Data!S214,Master_Data!R215)))</f>
        <v/>
      </c>
      <c r="H214" s="20">
        <f>IF(G214="","",MAX(Settings!$B$4,Settings!$B$5*AVERAGE(IF(Master_Data!O214&lt;&gt;"",Master_Data!O214,Master_Data!H214),IF(Master_Data!O215&lt;&gt;"",Master_Data!O215,Master_Data!H215))))</f>
        <v/>
      </c>
      <c r="I214" s="20">
        <f>IF(G214="","",G214-H214)</f>
        <v/>
      </c>
      <c r="J214" s="20">
        <f>IF(G214="","",G214+H214)</f>
        <v/>
      </c>
      <c r="K214" s="20">
        <f>IF($A214="","",Master_Data!G214)</f>
        <v/>
      </c>
      <c r="L214" s="20">
        <f>IF($A214="","",Master_Data!G215)</f>
        <v/>
      </c>
      <c r="M214" s="20">
        <f>IF(AND(ISNUMBER(K214),ISNUMBER(L214)),L214-K214,"")</f>
        <v/>
      </c>
      <c r="N214" s="19">
        <f>IF(G214="","",IF(AND(ISNUMBER(K214),ISNUMBER(L214)),IF(OR(F214="GOC",F214="OWC",F214="GWC",F214="OWC_TRANSITION",F214="GOC_TRANSITION"),IF(L214&gt;=K214,"Supports","Conflicts"),"N/A"),"No Sw"))</f>
        <v/>
      </c>
      <c r="O214" s="20">
        <f>IF(G214="","",Settings!$B$6*IF(OR(F214="GOC",F214="OWC",F214="GWC"),1,0.7)+Settings!$B$7*IF(N214="Supports",1,IF(N214="Conflicts",0,0.5))+Settings!$B$8*IF(AND(Master_Data!R214&lt;&gt;"",Master_Data!S214&lt;&gt;"",Master_Data!R215&lt;&gt;"",Master_Data!S215&lt;&gt;""),1,0.5))</f>
        <v/>
      </c>
      <c r="P214" s="19">
        <f>IF(G214="","",IF(N214="Conflicts","SW_CONFLICT",IF(OR(F214="GOC",F214="OWC",F214="GWC"),"DIRECT_FLUID_TRANSITION","TRANSITION_INTERVAL")))</f>
        <v/>
      </c>
      <c r="Q214" s="19">
        <f>IF(G214="","",IF(N214="Conflicts","Investigate contact interpretation / saturation behaviour",IF(OR(F214="OWC",F214="GOC",F214="GWC"),"Candidate contact — validate with logs, pressure and dynamic evidence","Transition zone — do not force to a sharp contact")))</f>
        <v/>
      </c>
    </row>
    <row r="215">
      <c r="A215" s="19">
        <f>IF(AND(Master_Data!A215&lt;&gt;"",Master_Data!A215=Master_Data!A216),Master_Data!A215,"")</f>
        <v/>
      </c>
      <c r="B215" s="19">
        <f>IF($A215="","",Master_Data!B215)</f>
        <v/>
      </c>
      <c r="C215" s="19">
        <f>IF($A215="","",Master_Data!B216)</f>
        <v/>
      </c>
      <c r="D215" s="19">
        <f>IF($A215="","",Master_Data!Q215)</f>
        <v/>
      </c>
      <c r="E215" s="19">
        <f>IF($A215="","",Master_Data!Q216)</f>
        <v/>
      </c>
      <c r="F215" s="19">
        <f>IF($A215="","",IF(AND(D215="GAS",E215="OIL"),"GOC",IF(AND(D215="OIL",E215="WATER"),"OWC",IF(AND(D215="GAS",E215="WATER"),"GWC",IF(AND(D215="OIL",E215="OIL_WATER"),"OWC_TRANSITION",IF(AND(D215="OIL_WATER",E215="WATER"),"OWC_TRANSITION",IF(AND(D215="GAS",E215="GAS_WATER"),"GOC_TRANSITION",IF(AND(D215="GAS_WATER",E215="OIL"),"GOC_TRANSITION",IF(OR(D215="OIL_WATER",D215="GAS_WATER"),"TRANSITION_INTERVAL","")))))))))</f>
        <v/>
      </c>
      <c r="G215" s="20">
        <f>IF(OR(F215="",Master_Data!R215="",Master_Data!S215=""),"",IF(RIGHT(F215,10)="TRANSITION",AVERAGE(Master_Data!R215:Master_Data!S215),AVERAGE(Master_Data!S215,Master_Data!R216)))</f>
        <v/>
      </c>
      <c r="H215" s="20">
        <f>IF(G215="","",MAX(Settings!$B$4,Settings!$B$5*AVERAGE(IF(Master_Data!O215&lt;&gt;"",Master_Data!O215,Master_Data!H215),IF(Master_Data!O216&lt;&gt;"",Master_Data!O216,Master_Data!H216))))</f>
        <v/>
      </c>
      <c r="I215" s="20">
        <f>IF(G215="","",G215-H215)</f>
        <v/>
      </c>
      <c r="J215" s="20">
        <f>IF(G215="","",G215+H215)</f>
        <v/>
      </c>
      <c r="K215" s="20">
        <f>IF($A215="","",Master_Data!G215)</f>
        <v/>
      </c>
      <c r="L215" s="20">
        <f>IF($A215="","",Master_Data!G216)</f>
        <v/>
      </c>
      <c r="M215" s="20">
        <f>IF(AND(ISNUMBER(K215),ISNUMBER(L215)),L215-K215,"")</f>
        <v/>
      </c>
      <c r="N215" s="19">
        <f>IF(G215="","",IF(AND(ISNUMBER(K215),ISNUMBER(L215)),IF(OR(F215="GOC",F215="OWC",F215="GWC",F215="OWC_TRANSITION",F215="GOC_TRANSITION"),IF(L215&gt;=K215,"Supports","Conflicts"),"N/A"),"No Sw"))</f>
        <v/>
      </c>
      <c r="O215" s="20">
        <f>IF(G215="","",Settings!$B$6*IF(OR(F215="GOC",F215="OWC",F215="GWC"),1,0.7)+Settings!$B$7*IF(N215="Supports",1,IF(N215="Conflicts",0,0.5))+Settings!$B$8*IF(AND(Master_Data!R215&lt;&gt;"",Master_Data!S215&lt;&gt;"",Master_Data!R216&lt;&gt;"",Master_Data!S216&lt;&gt;""),1,0.5))</f>
        <v/>
      </c>
      <c r="P215" s="19">
        <f>IF(G215="","",IF(N215="Conflicts","SW_CONFLICT",IF(OR(F215="GOC",F215="OWC",F215="GWC"),"DIRECT_FLUID_TRANSITION","TRANSITION_INTERVAL")))</f>
        <v/>
      </c>
      <c r="Q215" s="19">
        <f>IF(G215="","",IF(N215="Conflicts","Investigate contact interpretation / saturation behaviour",IF(OR(F215="OWC",F215="GOC",F215="GWC"),"Candidate contact — validate with logs, pressure and dynamic evidence","Transition zone — do not force to a sharp contact")))</f>
        <v/>
      </c>
    </row>
    <row r="216">
      <c r="A216" s="19">
        <f>IF(AND(Master_Data!A216&lt;&gt;"",Master_Data!A216=Master_Data!A217),Master_Data!A216,"")</f>
        <v/>
      </c>
      <c r="B216" s="19">
        <f>IF($A216="","",Master_Data!B216)</f>
        <v/>
      </c>
      <c r="C216" s="19">
        <f>IF($A216="","",Master_Data!B217)</f>
        <v/>
      </c>
      <c r="D216" s="19">
        <f>IF($A216="","",Master_Data!Q216)</f>
        <v/>
      </c>
      <c r="E216" s="19">
        <f>IF($A216="","",Master_Data!Q217)</f>
        <v/>
      </c>
      <c r="F216" s="19">
        <f>IF($A216="","",IF(AND(D216="GAS",E216="OIL"),"GOC",IF(AND(D216="OIL",E216="WATER"),"OWC",IF(AND(D216="GAS",E216="WATER"),"GWC",IF(AND(D216="OIL",E216="OIL_WATER"),"OWC_TRANSITION",IF(AND(D216="OIL_WATER",E216="WATER"),"OWC_TRANSITION",IF(AND(D216="GAS",E216="GAS_WATER"),"GOC_TRANSITION",IF(AND(D216="GAS_WATER",E216="OIL"),"GOC_TRANSITION",IF(OR(D216="OIL_WATER",D216="GAS_WATER"),"TRANSITION_INTERVAL","")))))))))</f>
        <v/>
      </c>
      <c r="G216" s="20">
        <f>IF(OR(F216="",Master_Data!R216="",Master_Data!S216=""),"",IF(RIGHT(F216,10)="TRANSITION",AVERAGE(Master_Data!R216:Master_Data!S216),AVERAGE(Master_Data!S216,Master_Data!R217)))</f>
        <v/>
      </c>
      <c r="H216" s="20">
        <f>IF(G216="","",MAX(Settings!$B$4,Settings!$B$5*AVERAGE(IF(Master_Data!O216&lt;&gt;"",Master_Data!O216,Master_Data!H216),IF(Master_Data!O217&lt;&gt;"",Master_Data!O217,Master_Data!H217))))</f>
        <v/>
      </c>
      <c r="I216" s="20">
        <f>IF(G216="","",G216-H216)</f>
        <v/>
      </c>
      <c r="J216" s="20">
        <f>IF(G216="","",G216+H216)</f>
        <v/>
      </c>
      <c r="K216" s="20">
        <f>IF($A216="","",Master_Data!G216)</f>
        <v/>
      </c>
      <c r="L216" s="20">
        <f>IF($A216="","",Master_Data!G217)</f>
        <v/>
      </c>
      <c r="M216" s="20">
        <f>IF(AND(ISNUMBER(K216),ISNUMBER(L216)),L216-K216,"")</f>
        <v/>
      </c>
      <c r="N216" s="19">
        <f>IF(G216="","",IF(AND(ISNUMBER(K216),ISNUMBER(L216)),IF(OR(F216="GOC",F216="OWC",F216="GWC",F216="OWC_TRANSITION",F216="GOC_TRANSITION"),IF(L216&gt;=K216,"Supports","Conflicts"),"N/A"),"No Sw"))</f>
        <v/>
      </c>
      <c r="O216" s="20">
        <f>IF(G216="","",Settings!$B$6*IF(OR(F216="GOC",F216="OWC",F216="GWC"),1,0.7)+Settings!$B$7*IF(N216="Supports",1,IF(N216="Conflicts",0,0.5))+Settings!$B$8*IF(AND(Master_Data!R216&lt;&gt;"",Master_Data!S216&lt;&gt;"",Master_Data!R217&lt;&gt;"",Master_Data!S217&lt;&gt;""),1,0.5))</f>
        <v/>
      </c>
      <c r="P216" s="19">
        <f>IF(G216="","",IF(N216="Conflicts","SW_CONFLICT",IF(OR(F216="GOC",F216="OWC",F216="GWC"),"DIRECT_FLUID_TRANSITION","TRANSITION_INTERVAL")))</f>
        <v/>
      </c>
      <c r="Q216" s="19">
        <f>IF(G216="","",IF(N216="Conflicts","Investigate contact interpretation / saturation behaviour",IF(OR(F216="OWC",F216="GOC",F216="GWC"),"Candidate contact — validate with logs, pressure and dynamic evidence","Transition zone — do not force to a sharp contact")))</f>
        <v/>
      </c>
    </row>
    <row r="217">
      <c r="A217" s="19">
        <f>IF(AND(Master_Data!A217&lt;&gt;"",Master_Data!A217=Master_Data!A218),Master_Data!A217,"")</f>
        <v/>
      </c>
      <c r="B217" s="19">
        <f>IF($A217="","",Master_Data!B217)</f>
        <v/>
      </c>
      <c r="C217" s="19">
        <f>IF($A217="","",Master_Data!B218)</f>
        <v/>
      </c>
      <c r="D217" s="19">
        <f>IF($A217="","",Master_Data!Q217)</f>
        <v/>
      </c>
      <c r="E217" s="19">
        <f>IF($A217="","",Master_Data!Q218)</f>
        <v/>
      </c>
      <c r="F217" s="19">
        <f>IF($A217="","",IF(AND(D217="GAS",E217="OIL"),"GOC",IF(AND(D217="OIL",E217="WATER"),"OWC",IF(AND(D217="GAS",E217="WATER"),"GWC",IF(AND(D217="OIL",E217="OIL_WATER"),"OWC_TRANSITION",IF(AND(D217="OIL_WATER",E217="WATER"),"OWC_TRANSITION",IF(AND(D217="GAS",E217="GAS_WATER"),"GOC_TRANSITION",IF(AND(D217="GAS_WATER",E217="OIL"),"GOC_TRANSITION",IF(OR(D217="OIL_WATER",D217="GAS_WATER"),"TRANSITION_INTERVAL","")))))))))</f>
        <v/>
      </c>
      <c r="G217" s="20">
        <f>IF(OR(F217="",Master_Data!R217="",Master_Data!S217=""),"",IF(RIGHT(F217,10)="TRANSITION",AVERAGE(Master_Data!R217:Master_Data!S217),AVERAGE(Master_Data!S217,Master_Data!R218)))</f>
        <v/>
      </c>
      <c r="H217" s="20">
        <f>IF(G217="","",MAX(Settings!$B$4,Settings!$B$5*AVERAGE(IF(Master_Data!O217&lt;&gt;"",Master_Data!O217,Master_Data!H217),IF(Master_Data!O218&lt;&gt;"",Master_Data!O218,Master_Data!H218))))</f>
        <v/>
      </c>
      <c r="I217" s="20">
        <f>IF(G217="","",G217-H217)</f>
        <v/>
      </c>
      <c r="J217" s="20">
        <f>IF(G217="","",G217+H217)</f>
        <v/>
      </c>
      <c r="K217" s="20">
        <f>IF($A217="","",Master_Data!G217)</f>
        <v/>
      </c>
      <c r="L217" s="20">
        <f>IF($A217="","",Master_Data!G218)</f>
        <v/>
      </c>
      <c r="M217" s="20">
        <f>IF(AND(ISNUMBER(K217),ISNUMBER(L217)),L217-K217,"")</f>
        <v/>
      </c>
      <c r="N217" s="19">
        <f>IF(G217="","",IF(AND(ISNUMBER(K217),ISNUMBER(L217)),IF(OR(F217="GOC",F217="OWC",F217="GWC",F217="OWC_TRANSITION",F217="GOC_TRANSITION"),IF(L217&gt;=K217,"Supports","Conflicts"),"N/A"),"No Sw"))</f>
        <v/>
      </c>
      <c r="O217" s="20">
        <f>IF(G217="","",Settings!$B$6*IF(OR(F217="GOC",F217="OWC",F217="GWC"),1,0.7)+Settings!$B$7*IF(N217="Supports",1,IF(N217="Conflicts",0,0.5))+Settings!$B$8*IF(AND(Master_Data!R217&lt;&gt;"",Master_Data!S217&lt;&gt;"",Master_Data!R218&lt;&gt;"",Master_Data!S218&lt;&gt;""),1,0.5))</f>
        <v/>
      </c>
      <c r="P217" s="19">
        <f>IF(G217="","",IF(N217="Conflicts","SW_CONFLICT",IF(OR(F217="GOC",F217="OWC",F217="GWC"),"DIRECT_FLUID_TRANSITION","TRANSITION_INTERVAL")))</f>
        <v/>
      </c>
      <c r="Q217" s="19">
        <f>IF(G217="","",IF(N217="Conflicts","Investigate contact interpretation / saturation behaviour",IF(OR(F217="OWC",F217="GOC",F217="GWC"),"Candidate contact — validate with logs, pressure and dynamic evidence","Transition zone — do not force to a sharp contact")))</f>
        <v/>
      </c>
    </row>
    <row r="218">
      <c r="A218" s="19">
        <f>IF(AND(Master_Data!A218&lt;&gt;"",Master_Data!A218=Master_Data!A219),Master_Data!A218,"")</f>
        <v/>
      </c>
      <c r="B218" s="19">
        <f>IF($A218="","",Master_Data!B218)</f>
        <v/>
      </c>
      <c r="C218" s="19">
        <f>IF($A218="","",Master_Data!B219)</f>
        <v/>
      </c>
      <c r="D218" s="19">
        <f>IF($A218="","",Master_Data!Q218)</f>
        <v/>
      </c>
      <c r="E218" s="19">
        <f>IF($A218="","",Master_Data!Q219)</f>
        <v/>
      </c>
      <c r="F218" s="19">
        <f>IF($A218="","",IF(AND(D218="GAS",E218="OIL"),"GOC",IF(AND(D218="OIL",E218="WATER"),"OWC",IF(AND(D218="GAS",E218="WATER"),"GWC",IF(AND(D218="OIL",E218="OIL_WATER"),"OWC_TRANSITION",IF(AND(D218="OIL_WATER",E218="WATER"),"OWC_TRANSITION",IF(AND(D218="GAS",E218="GAS_WATER"),"GOC_TRANSITION",IF(AND(D218="GAS_WATER",E218="OIL"),"GOC_TRANSITION",IF(OR(D218="OIL_WATER",D218="GAS_WATER"),"TRANSITION_INTERVAL","")))))))))</f>
        <v/>
      </c>
      <c r="G218" s="20">
        <f>IF(OR(F218="",Master_Data!R218="",Master_Data!S218=""),"",IF(RIGHT(F218,10)="TRANSITION",AVERAGE(Master_Data!R218:Master_Data!S218),AVERAGE(Master_Data!S218,Master_Data!R219)))</f>
        <v/>
      </c>
      <c r="H218" s="20">
        <f>IF(G218="","",MAX(Settings!$B$4,Settings!$B$5*AVERAGE(IF(Master_Data!O218&lt;&gt;"",Master_Data!O218,Master_Data!H218),IF(Master_Data!O219&lt;&gt;"",Master_Data!O219,Master_Data!H219))))</f>
        <v/>
      </c>
      <c r="I218" s="20">
        <f>IF(G218="","",G218-H218)</f>
        <v/>
      </c>
      <c r="J218" s="20">
        <f>IF(G218="","",G218+H218)</f>
        <v/>
      </c>
      <c r="K218" s="20">
        <f>IF($A218="","",Master_Data!G218)</f>
        <v/>
      </c>
      <c r="L218" s="20">
        <f>IF($A218="","",Master_Data!G219)</f>
        <v/>
      </c>
      <c r="M218" s="20">
        <f>IF(AND(ISNUMBER(K218),ISNUMBER(L218)),L218-K218,"")</f>
        <v/>
      </c>
      <c r="N218" s="19">
        <f>IF(G218="","",IF(AND(ISNUMBER(K218),ISNUMBER(L218)),IF(OR(F218="GOC",F218="OWC",F218="GWC",F218="OWC_TRANSITION",F218="GOC_TRANSITION"),IF(L218&gt;=K218,"Supports","Conflicts"),"N/A"),"No Sw"))</f>
        <v/>
      </c>
      <c r="O218" s="20">
        <f>IF(G218="","",Settings!$B$6*IF(OR(F218="GOC",F218="OWC",F218="GWC"),1,0.7)+Settings!$B$7*IF(N218="Supports",1,IF(N218="Conflicts",0,0.5))+Settings!$B$8*IF(AND(Master_Data!R218&lt;&gt;"",Master_Data!S218&lt;&gt;"",Master_Data!R219&lt;&gt;"",Master_Data!S219&lt;&gt;""),1,0.5))</f>
        <v/>
      </c>
      <c r="P218" s="19">
        <f>IF(G218="","",IF(N218="Conflicts","SW_CONFLICT",IF(OR(F218="GOC",F218="OWC",F218="GWC"),"DIRECT_FLUID_TRANSITION","TRANSITION_INTERVAL")))</f>
        <v/>
      </c>
      <c r="Q218" s="19">
        <f>IF(G218="","",IF(N218="Conflicts","Investigate contact interpretation / saturation behaviour",IF(OR(F218="OWC",F218="GOC",F218="GWC"),"Candidate contact — validate with logs, pressure and dynamic evidence","Transition zone — do not force to a sharp contact")))</f>
        <v/>
      </c>
    </row>
    <row r="219">
      <c r="A219" s="19">
        <f>IF(AND(Master_Data!A219&lt;&gt;"",Master_Data!A219=Master_Data!A220),Master_Data!A219,"")</f>
        <v/>
      </c>
      <c r="B219" s="19">
        <f>IF($A219="","",Master_Data!B219)</f>
        <v/>
      </c>
      <c r="C219" s="19">
        <f>IF($A219="","",Master_Data!B220)</f>
        <v/>
      </c>
      <c r="D219" s="19">
        <f>IF($A219="","",Master_Data!Q219)</f>
        <v/>
      </c>
      <c r="E219" s="19">
        <f>IF($A219="","",Master_Data!Q220)</f>
        <v/>
      </c>
      <c r="F219" s="19">
        <f>IF($A219="","",IF(AND(D219="GAS",E219="OIL"),"GOC",IF(AND(D219="OIL",E219="WATER"),"OWC",IF(AND(D219="GAS",E219="WATER"),"GWC",IF(AND(D219="OIL",E219="OIL_WATER"),"OWC_TRANSITION",IF(AND(D219="OIL_WATER",E219="WATER"),"OWC_TRANSITION",IF(AND(D219="GAS",E219="GAS_WATER"),"GOC_TRANSITION",IF(AND(D219="GAS_WATER",E219="OIL"),"GOC_TRANSITION",IF(OR(D219="OIL_WATER",D219="GAS_WATER"),"TRANSITION_INTERVAL","")))))))))</f>
        <v/>
      </c>
      <c r="G219" s="20">
        <f>IF(OR(F219="",Master_Data!R219="",Master_Data!S219=""),"",IF(RIGHT(F219,10)="TRANSITION",AVERAGE(Master_Data!R219:Master_Data!S219),AVERAGE(Master_Data!S219,Master_Data!R220)))</f>
        <v/>
      </c>
      <c r="H219" s="20">
        <f>IF(G219="","",MAX(Settings!$B$4,Settings!$B$5*AVERAGE(IF(Master_Data!O219&lt;&gt;"",Master_Data!O219,Master_Data!H219),IF(Master_Data!O220&lt;&gt;"",Master_Data!O220,Master_Data!H220))))</f>
        <v/>
      </c>
      <c r="I219" s="20">
        <f>IF(G219="","",G219-H219)</f>
        <v/>
      </c>
      <c r="J219" s="20">
        <f>IF(G219="","",G219+H219)</f>
        <v/>
      </c>
      <c r="K219" s="20">
        <f>IF($A219="","",Master_Data!G219)</f>
        <v/>
      </c>
      <c r="L219" s="20">
        <f>IF($A219="","",Master_Data!G220)</f>
        <v/>
      </c>
      <c r="M219" s="20">
        <f>IF(AND(ISNUMBER(K219),ISNUMBER(L219)),L219-K219,"")</f>
        <v/>
      </c>
      <c r="N219" s="19">
        <f>IF(G219="","",IF(AND(ISNUMBER(K219),ISNUMBER(L219)),IF(OR(F219="GOC",F219="OWC",F219="GWC",F219="OWC_TRANSITION",F219="GOC_TRANSITION"),IF(L219&gt;=K219,"Supports","Conflicts"),"N/A"),"No Sw"))</f>
        <v/>
      </c>
      <c r="O219" s="20">
        <f>IF(G219="","",Settings!$B$6*IF(OR(F219="GOC",F219="OWC",F219="GWC"),1,0.7)+Settings!$B$7*IF(N219="Supports",1,IF(N219="Conflicts",0,0.5))+Settings!$B$8*IF(AND(Master_Data!R219&lt;&gt;"",Master_Data!S219&lt;&gt;"",Master_Data!R220&lt;&gt;"",Master_Data!S220&lt;&gt;""),1,0.5))</f>
        <v/>
      </c>
      <c r="P219" s="19">
        <f>IF(G219="","",IF(N219="Conflicts","SW_CONFLICT",IF(OR(F219="GOC",F219="OWC",F219="GWC"),"DIRECT_FLUID_TRANSITION","TRANSITION_INTERVAL")))</f>
        <v/>
      </c>
      <c r="Q219" s="19">
        <f>IF(G219="","",IF(N219="Conflicts","Investigate contact interpretation / saturation behaviour",IF(OR(F219="OWC",F219="GOC",F219="GWC"),"Candidate contact — validate with logs, pressure and dynamic evidence","Transition zone — do not force to a sharp contact")))</f>
        <v/>
      </c>
    </row>
    <row r="220">
      <c r="A220" s="19">
        <f>IF(AND(Master_Data!A220&lt;&gt;"",Master_Data!A220=Master_Data!A221),Master_Data!A220,"")</f>
        <v/>
      </c>
      <c r="B220" s="19">
        <f>IF($A220="","",Master_Data!B220)</f>
        <v/>
      </c>
      <c r="C220" s="19">
        <f>IF($A220="","",Master_Data!B221)</f>
        <v/>
      </c>
      <c r="D220" s="19">
        <f>IF($A220="","",Master_Data!Q220)</f>
        <v/>
      </c>
      <c r="E220" s="19">
        <f>IF($A220="","",Master_Data!Q221)</f>
        <v/>
      </c>
      <c r="F220" s="19">
        <f>IF($A220="","",IF(AND(D220="GAS",E220="OIL"),"GOC",IF(AND(D220="OIL",E220="WATER"),"OWC",IF(AND(D220="GAS",E220="WATER"),"GWC",IF(AND(D220="OIL",E220="OIL_WATER"),"OWC_TRANSITION",IF(AND(D220="OIL_WATER",E220="WATER"),"OWC_TRANSITION",IF(AND(D220="GAS",E220="GAS_WATER"),"GOC_TRANSITION",IF(AND(D220="GAS_WATER",E220="OIL"),"GOC_TRANSITION",IF(OR(D220="OIL_WATER",D220="GAS_WATER"),"TRANSITION_INTERVAL","")))))))))</f>
        <v/>
      </c>
      <c r="G220" s="20">
        <f>IF(OR(F220="",Master_Data!R220="",Master_Data!S220=""),"",IF(RIGHT(F220,10)="TRANSITION",AVERAGE(Master_Data!R220:Master_Data!S220),AVERAGE(Master_Data!S220,Master_Data!R221)))</f>
        <v/>
      </c>
      <c r="H220" s="20">
        <f>IF(G220="","",MAX(Settings!$B$4,Settings!$B$5*AVERAGE(IF(Master_Data!O220&lt;&gt;"",Master_Data!O220,Master_Data!H220),IF(Master_Data!O221&lt;&gt;"",Master_Data!O221,Master_Data!H221))))</f>
        <v/>
      </c>
      <c r="I220" s="20">
        <f>IF(G220="","",G220-H220)</f>
        <v/>
      </c>
      <c r="J220" s="20">
        <f>IF(G220="","",G220+H220)</f>
        <v/>
      </c>
      <c r="K220" s="20">
        <f>IF($A220="","",Master_Data!G220)</f>
        <v/>
      </c>
      <c r="L220" s="20">
        <f>IF($A220="","",Master_Data!G221)</f>
        <v/>
      </c>
      <c r="M220" s="20">
        <f>IF(AND(ISNUMBER(K220),ISNUMBER(L220)),L220-K220,"")</f>
        <v/>
      </c>
      <c r="N220" s="19">
        <f>IF(G220="","",IF(AND(ISNUMBER(K220),ISNUMBER(L220)),IF(OR(F220="GOC",F220="OWC",F220="GWC",F220="OWC_TRANSITION",F220="GOC_TRANSITION"),IF(L220&gt;=K220,"Supports","Conflicts"),"N/A"),"No Sw"))</f>
        <v/>
      </c>
      <c r="O220" s="20">
        <f>IF(G220="","",Settings!$B$6*IF(OR(F220="GOC",F220="OWC",F220="GWC"),1,0.7)+Settings!$B$7*IF(N220="Supports",1,IF(N220="Conflicts",0,0.5))+Settings!$B$8*IF(AND(Master_Data!R220&lt;&gt;"",Master_Data!S220&lt;&gt;"",Master_Data!R221&lt;&gt;"",Master_Data!S221&lt;&gt;""),1,0.5))</f>
        <v/>
      </c>
      <c r="P220" s="19">
        <f>IF(G220="","",IF(N220="Conflicts","SW_CONFLICT",IF(OR(F220="GOC",F220="OWC",F220="GWC"),"DIRECT_FLUID_TRANSITION","TRANSITION_INTERVAL")))</f>
        <v/>
      </c>
      <c r="Q220" s="19">
        <f>IF(G220="","",IF(N220="Conflicts","Investigate contact interpretation / saturation behaviour",IF(OR(F220="OWC",F220="GOC",F220="GWC"),"Candidate contact — validate with logs, pressure and dynamic evidence","Transition zone — do not force to a sharp contact")))</f>
        <v/>
      </c>
    </row>
    <row r="221">
      <c r="A221" s="19">
        <f>IF(AND(Master_Data!A221&lt;&gt;"",Master_Data!A221=Master_Data!A222),Master_Data!A221,"")</f>
        <v/>
      </c>
      <c r="B221" s="19">
        <f>IF($A221="","",Master_Data!B221)</f>
        <v/>
      </c>
      <c r="C221" s="19">
        <f>IF($A221="","",Master_Data!B222)</f>
        <v/>
      </c>
      <c r="D221" s="19">
        <f>IF($A221="","",Master_Data!Q221)</f>
        <v/>
      </c>
      <c r="E221" s="19">
        <f>IF($A221="","",Master_Data!Q222)</f>
        <v/>
      </c>
      <c r="F221" s="19">
        <f>IF($A221="","",IF(AND(D221="GAS",E221="OIL"),"GOC",IF(AND(D221="OIL",E221="WATER"),"OWC",IF(AND(D221="GAS",E221="WATER"),"GWC",IF(AND(D221="OIL",E221="OIL_WATER"),"OWC_TRANSITION",IF(AND(D221="OIL_WATER",E221="WATER"),"OWC_TRANSITION",IF(AND(D221="GAS",E221="GAS_WATER"),"GOC_TRANSITION",IF(AND(D221="GAS_WATER",E221="OIL"),"GOC_TRANSITION",IF(OR(D221="OIL_WATER",D221="GAS_WATER"),"TRANSITION_INTERVAL","")))))))))</f>
        <v/>
      </c>
      <c r="G221" s="20">
        <f>IF(OR(F221="",Master_Data!R221="",Master_Data!S221=""),"",IF(RIGHT(F221,10)="TRANSITION",AVERAGE(Master_Data!R221:Master_Data!S221),AVERAGE(Master_Data!S221,Master_Data!R222)))</f>
        <v/>
      </c>
      <c r="H221" s="20">
        <f>IF(G221="","",MAX(Settings!$B$4,Settings!$B$5*AVERAGE(IF(Master_Data!O221&lt;&gt;"",Master_Data!O221,Master_Data!H221),IF(Master_Data!O222&lt;&gt;"",Master_Data!O222,Master_Data!H222))))</f>
        <v/>
      </c>
      <c r="I221" s="20">
        <f>IF(G221="","",G221-H221)</f>
        <v/>
      </c>
      <c r="J221" s="20">
        <f>IF(G221="","",G221+H221)</f>
        <v/>
      </c>
      <c r="K221" s="20">
        <f>IF($A221="","",Master_Data!G221)</f>
        <v/>
      </c>
      <c r="L221" s="20">
        <f>IF($A221="","",Master_Data!G222)</f>
        <v/>
      </c>
      <c r="M221" s="20">
        <f>IF(AND(ISNUMBER(K221),ISNUMBER(L221)),L221-K221,"")</f>
        <v/>
      </c>
      <c r="N221" s="19">
        <f>IF(G221="","",IF(AND(ISNUMBER(K221),ISNUMBER(L221)),IF(OR(F221="GOC",F221="OWC",F221="GWC",F221="OWC_TRANSITION",F221="GOC_TRANSITION"),IF(L221&gt;=K221,"Supports","Conflicts"),"N/A"),"No Sw"))</f>
        <v/>
      </c>
      <c r="O221" s="20">
        <f>IF(G221="","",Settings!$B$6*IF(OR(F221="GOC",F221="OWC",F221="GWC"),1,0.7)+Settings!$B$7*IF(N221="Supports",1,IF(N221="Conflicts",0,0.5))+Settings!$B$8*IF(AND(Master_Data!R221&lt;&gt;"",Master_Data!S221&lt;&gt;"",Master_Data!R222&lt;&gt;"",Master_Data!S222&lt;&gt;""),1,0.5))</f>
        <v/>
      </c>
      <c r="P221" s="19">
        <f>IF(G221="","",IF(N221="Conflicts","SW_CONFLICT",IF(OR(F221="GOC",F221="OWC",F221="GWC"),"DIRECT_FLUID_TRANSITION","TRANSITION_INTERVAL")))</f>
        <v/>
      </c>
      <c r="Q221" s="19">
        <f>IF(G221="","",IF(N221="Conflicts","Investigate contact interpretation / saturation behaviour",IF(OR(F221="OWC",F221="GOC",F221="GWC"),"Candidate contact — validate with logs, pressure and dynamic evidence","Transition zone — do not force to a sharp contact")))</f>
        <v/>
      </c>
    </row>
    <row r="222">
      <c r="A222" s="19">
        <f>IF(AND(Master_Data!A222&lt;&gt;"",Master_Data!A222=Master_Data!A223),Master_Data!A222,"")</f>
        <v/>
      </c>
      <c r="B222" s="19">
        <f>IF($A222="","",Master_Data!B222)</f>
        <v/>
      </c>
      <c r="C222" s="19">
        <f>IF($A222="","",Master_Data!B223)</f>
        <v/>
      </c>
      <c r="D222" s="19">
        <f>IF($A222="","",Master_Data!Q222)</f>
        <v/>
      </c>
      <c r="E222" s="19">
        <f>IF($A222="","",Master_Data!Q223)</f>
        <v/>
      </c>
      <c r="F222" s="19">
        <f>IF($A222="","",IF(AND(D222="GAS",E222="OIL"),"GOC",IF(AND(D222="OIL",E222="WATER"),"OWC",IF(AND(D222="GAS",E222="WATER"),"GWC",IF(AND(D222="OIL",E222="OIL_WATER"),"OWC_TRANSITION",IF(AND(D222="OIL_WATER",E222="WATER"),"OWC_TRANSITION",IF(AND(D222="GAS",E222="GAS_WATER"),"GOC_TRANSITION",IF(AND(D222="GAS_WATER",E222="OIL"),"GOC_TRANSITION",IF(OR(D222="OIL_WATER",D222="GAS_WATER"),"TRANSITION_INTERVAL","")))))))))</f>
        <v/>
      </c>
      <c r="G222" s="20">
        <f>IF(OR(F222="",Master_Data!R222="",Master_Data!S222=""),"",IF(RIGHT(F222,10)="TRANSITION",AVERAGE(Master_Data!R222:Master_Data!S222),AVERAGE(Master_Data!S222,Master_Data!R223)))</f>
        <v/>
      </c>
      <c r="H222" s="20">
        <f>IF(G222="","",MAX(Settings!$B$4,Settings!$B$5*AVERAGE(IF(Master_Data!O222&lt;&gt;"",Master_Data!O222,Master_Data!H222),IF(Master_Data!O223&lt;&gt;"",Master_Data!O223,Master_Data!H223))))</f>
        <v/>
      </c>
      <c r="I222" s="20">
        <f>IF(G222="","",G222-H222)</f>
        <v/>
      </c>
      <c r="J222" s="20">
        <f>IF(G222="","",G222+H222)</f>
        <v/>
      </c>
      <c r="K222" s="20">
        <f>IF($A222="","",Master_Data!G222)</f>
        <v/>
      </c>
      <c r="L222" s="20">
        <f>IF($A222="","",Master_Data!G223)</f>
        <v/>
      </c>
      <c r="M222" s="20">
        <f>IF(AND(ISNUMBER(K222),ISNUMBER(L222)),L222-K222,"")</f>
        <v/>
      </c>
      <c r="N222" s="19">
        <f>IF(G222="","",IF(AND(ISNUMBER(K222),ISNUMBER(L222)),IF(OR(F222="GOC",F222="OWC",F222="GWC",F222="OWC_TRANSITION",F222="GOC_TRANSITION"),IF(L222&gt;=K222,"Supports","Conflicts"),"N/A"),"No Sw"))</f>
        <v/>
      </c>
      <c r="O222" s="20">
        <f>IF(G222="","",Settings!$B$6*IF(OR(F222="GOC",F222="OWC",F222="GWC"),1,0.7)+Settings!$B$7*IF(N222="Supports",1,IF(N222="Conflicts",0,0.5))+Settings!$B$8*IF(AND(Master_Data!R222&lt;&gt;"",Master_Data!S222&lt;&gt;"",Master_Data!R223&lt;&gt;"",Master_Data!S223&lt;&gt;""),1,0.5))</f>
        <v/>
      </c>
      <c r="P222" s="19">
        <f>IF(G222="","",IF(N222="Conflicts","SW_CONFLICT",IF(OR(F222="GOC",F222="OWC",F222="GWC"),"DIRECT_FLUID_TRANSITION","TRANSITION_INTERVAL")))</f>
        <v/>
      </c>
      <c r="Q222" s="19">
        <f>IF(G222="","",IF(N222="Conflicts","Investigate contact interpretation / saturation behaviour",IF(OR(F222="OWC",F222="GOC",F222="GWC"),"Candidate contact — validate with logs, pressure and dynamic evidence","Transition zone — do not force to a sharp contact")))</f>
        <v/>
      </c>
    </row>
    <row r="223">
      <c r="A223" s="19">
        <f>IF(AND(Master_Data!A223&lt;&gt;"",Master_Data!A223=Master_Data!A224),Master_Data!A223,"")</f>
        <v/>
      </c>
      <c r="B223" s="19">
        <f>IF($A223="","",Master_Data!B223)</f>
        <v/>
      </c>
      <c r="C223" s="19">
        <f>IF($A223="","",Master_Data!B224)</f>
        <v/>
      </c>
      <c r="D223" s="19">
        <f>IF($A223="","",Master_Data!Q223)</f>
        <v/>
      </c>
      <c r="E223" s="19">
        <f>IF($A223="","",Master_Data!Q224)</f>
        <v/>
      </c>
      <c r="F223" s="19">
        <f>IF($A223="","",IF(AND(D223="GAS",E223="OIL"),"GOC",IF(AND(D223="OIL",E223="WATER"),"OWC",IF(AND(D223="GAS",E223="WATER"),"GWC",IF(AND(D223="OIL",E223="OIL_WATER"),"OWC_TRANSITION",IF(AND(D223="OIL_WATER",E223="WATER"),"OWC_TRANSITION",IF(AND(D223="GAS",E223="GAS_WATER"),"GOC_TRANSITION",IF(AND(D223="GAS_WATER",E223="OIL"),"GOC_TRANSITION",IF(OR(D223="OIL_WATER",D223="GAS_WATER"),"TRANSITION_INTERVAL","")))))))))</f>
        <v/>
      </c>
      <c r="G223" s="20">
        <f>IF(OR(F223="",Master_Data!R223="",Master_Data!S223=""),"",IF(RIGHT(F223,10)="TRANSITION",AVERAGE(Master_Data!R223:Master_Data!S223),AVERAGE(Master_Data!S223,Master_Data!R224)))</f>
        <v/>
      </c>
      <c r="H223" s="20">
        <f>IF(G223="","",MAX(Settings!$B$4,Settings!$B$5*AVERAGE(IF(Master_Data!O223&lt;&gt;"",Master_Data!O223,Master_Data!H223),IF(Master_Data!O224&lt;&gt;"",Master_Data!O224,Master_Data!H224))))</f>
        <v/>
      </c>
      <c r="I223" s="20">
        <f>IF(G223="","",G223-H223)</f>
        <v/>
      </c>
      <c r="J223" s="20">
        <f>IF(G223="","",G223+H223)</f>
        <v/>
      </c>
      <c r="K223" s="20">
        <f>IF($A223="","",Master_Data!G223)</f>
        <v/>
      </c>
      <c r="L223" s="20">
        <f>IF($A223="","",Master_Data!G224)</f>
        <v/>
      </c>
      <c r="M223" s="20">
        <f>IF(AND(ISNUMBER(K223),ISNUMBER(L223)),L223-K223,"")</f>
        <v/>
      </c>
      <c r="N223" s="19">
        <f>IF(G223="","",IF(AND(ISNUMBER(K223),ISNUMBER(L223)),IF(OR(F223="GOC",F223="OWC",F223="GWC",F223="OWC_TRANSITION",F223="GOC_TRANSITION"),IF(L223&gt;=K223,"Supports","Conflicts"),"N/A"),"No Sw"))</f>
        <v/>
      </c>
      <c r="O223" s="20">
        <f>IF(G223="","",Settings!$B$6*IF(OR(F223="GOC",F223="OWC",F223="GWC"),1,0.7)+Settings!$B$7*IF(N223="Supports",1,IF(N223="Conflicts",0,0.5))+Settings!$B$8*IF(AND(Master_Data!R223&lt;&gt;"",Master_Data!S223&lt;&gt;"",Master_Data!R224&lt;&gt;"",Master_Data!S224&lt;&gt;""),1,0.5))</f>
        <v/>
      </c>
      <c r="P223" s="19">
        <f>IF(G223="","",IF(N223="Conflicts","SW_CONFLICT",IF(OR(F223="GOC",F223="OWC",F223="GWC"),"DIRECT_FLUID_TRANSITION","TRANSITION_INTERVAL")))</f>
        <v/>
      </c>
      <c r="Q223" s="19">
        <f>IF(G223="","",IF(N223="Conflicts","Investigate contact interpretation / saturation behaviour",IF(OR(F223="OWC",F223="GOC",F223="GWC"),"Candidate contact — validate with logs, pressure and dynamic evidence","Transition zone — do not force to a sharp contact")))</f>
        <v/>
      </c>
    </row>
    <row r="224">
      <c r="A224" s="19">
        <f>IF(AND(Master_Data!A224&lt;&gt;"",Master_Data!A224=Master_Data!A225),Master_Data!A224,"")</f>
        <v/>
      </c>
      <c r="B224" s="19">
        <f>IF($A224="","",Master_Data!B224)</f>
        <v/>
      </c>
      <c r="C224" s="19">
        <f>IF($A224="","",Master_Data!B225)</f>
        <v/>
      </c>
      <c r="D224" s="19">
        <f>IF($A224="","",Master_Data!Q224)</f>
        <v/>
      </c>
      <c r="E224" s="19">
        <f>IF($A224="","",Master_Data!Q225)</f>
        <v/>
      </c>
      <c r="F224" s="19">
        <f>IF($A224="","",IF(AND(D224="GAS",E224="OIL"),"GOC",IF(AND(D224="OIL",E224="WATER"),"OWC",IF(AND(D224="GAS",E224="WATER"),"GWC",IF(AND(D224="OIL",E224="OIL_WATER"),"OWC_TRANSITION",IF(AND(D224="OIL_WATER",E224="WATER"),"OWC_TRANSITION",IF(AND(D224="GAS",E224="GAS_WATER"),"GOC_TRANSITION",IF(AND(D224="GAS_WATER",E224="OIL"),"GOC_TRANSITION",IF(OR(D224="OIL_WATER",D224="GAS_WATER"),"TRANSITION_INTERVAL","")))))))))</f>
        <v/>
      </c>
      <c r="G224" s="20">
        <f>IF(OR(F224="",Master_Data!R224="",Master_Data!S224=""),"",IF(RIGHT(F224,10)="TRANSITION",AVERAGE(Master_Data!R224:Master_Data!S224),AVERAGE(Master_Data!S224,Master_Data!R225)))</f>
        <v/>
      </c>
      <c r="H224" s="20">
        <f>IF(G224="","",MAX(Settings!$B$4,Settings!$B$5*AVERAGE(IF(Master_Data!O224&lt;&gt;"",Master_Data!O224,Master_Data!H224),IF(Master_Data!O225&lt;&gt;"",Master_Data!O225,Master_Data!H225))))</f>
        <v/>
      </c>
      <c r="I224" s="20">
        <f>IF(G224="","",G224-H224)</f>
        <v/>
      </c>
      <c r="J224" s="20">
        <f>IF(G224="","",G224+H224)</f>
        <v/>
      </c>
      <c r="K224" s="20">
        <f>IF($A224="","",Master_Data!G224)</f>
        <v/>
      </c>
      <c r="L224" s="20">
        <f>IF($A224="","",Master_Data!G225)</f>
        <v/>
      </c>
      <c r="M224" s="20">
        <f>IF(AND(ISNUMBER(K224),ISNUMBER(L224)),L224-K224,"")</f>
        <v/>
      </c>
      <c r="N224" s="19">
        <f>IF(G224="","",IF(AND(ISNUMBER(K224),ISNUMBER(L224)),IF(OR(F224="GOC",F224="OWC",F224="GWC",F224="OWC_TRANSITION",F224="GOC_TRANSITION"),IF(L224&gt;=K224,"Supports","Conflicts"),"N/A"),"No Sw"))</f>
        <v/>
      </c>
      <c r="O224" s="20">
        <f>IF(G224="","",Settings!$B$6*IF(OR(F224="GOC",F224="OWC",F224="GWC"),1,0.7)+Settings!$B$7*IF(N224="Supports",1,IF(N224="Conflicts",0,0.5))+Settings!$B$8*IF(AND(Master_Data!R224&lt;&gt;"",Master_Data!S224&lt;&gt;"",Master_Data!R225&lt;&gt;"",Master_Data!S225&lt;&gt;""),1,0.5))</f>
        <v/>
      </c>
      <c r="P224" s="19">
        <f>IF(G224="","",IF(N224="Conflicts","SW_CONFLICT",IF(OR(F224="GOC",F224="OWC",F224="GWC"),"DIRECT_FLUID_TRANSITION","TRANSITION_INTERVAL")))</f>
        <v/>
      </c>
      <c r="Q224" s="19">
        <f>IF(G224="","",IF(N224="Conflicts","Investigate contact interpretation / saturation behaviour",IF(OR(F224="OWC",F224="GOC",F224="GWC"),"Candidate contact — validate with logs, pressure and dynamic evidence","Transition zone — do not force to a sharp contact")))</f>
        <v/>
      </c>
    </row>
    <row r="225">
      <c r="A225" s="19">
        <f>IF(AND(Master_Data!A225&lt;&gt;"",Master_Data!A225=Master_Data!A226),Master_Data!A225,"")</f>
        <v/>
      </c>
      <c r="B225" s="19">
        <f>IF($A225="","",Master_Data!B225)</f>
        <v/>
      </c>
      <c r="C225" s="19">
        <f>IF($A225="","",Master_Data!B226)</f>
        <v/>
      </c>
      <c r="D225" s="19">
        <f>IF($A225="","",Master_Data!Q225)</f>
        <v/>
      </c>
      <c r="E225" s="19">
        <f>IF($A225="","",Master_Data!Q226)</f>
        <v/>
      </c>
      <c r="F225" s="19">
        <f>IF($A225="","",IF(AND(D225="GAS",E225="OIL"),"GOC",IF(AND(D225="OIL",E225="WATER"),"OWC",IF(AND(D225="GAS",E225="WATER"),"GWC",IF(AND(D225="OIL",E225="OIL_WATER"),"OWC_TRANSITION",IF(AND(D225="OIL_WATER",E225="WATER"),"OWC_TRANSITION",IF(AND(D225="GAS",E225="GAS_WATER"),"GOC_TRANSITION",IF(AND(D225="GAS_WATER",E225="OIL"),"GOC_TRANSITION",IF(OR(D225="OIL_WATER",D225="GAS_WATER"),"TRANSITION_INTERVAL","")))))))))</f>
        <v/>
      </c>
      <c r="G225" s="20">
        <f>IF(OR(F225="",Master_Data!R225="",Master_Data!S225=""),"",IF(RIGHT(F225,10)="TRANSITION",AVERAGE(Master_Data!R225:Master_Data!S225),AVERAGE(Master_Data!S225,Master_Data!R226)))</f>
        <v/>
      </c>
      <c r="H225" s="20">
        <f>IF(G225="","",MAX(Settings!$B$4,Settings!$B$5*AVERAGE(IF(Master_Data!O225&lt;&gt;"",Master_Data!O225,Master_Data!H225),IF(Master_Data!O226&lt;&gt;"",Master_Data!O226,Master_Data!H226))))</f>
        <v/>
      </c>
      <c r="I225" s="20">
        <f>IF(G225="","",G225-H225)</f>
        <v/>
      </c>
      <c r="J225" s="20">
        <f>IF(G225="","",G225+H225)</f>
        <v/>
      </c>
      <c r="K225" s="20">
        <f>IF($A225="","",Master_Data!G225)</f>
        <v/>
      </c>
      <c r="L225" s="20">
        <f>IF($A225="","",Master_Data!G226)</f>
        <v/>
      </c>
      <c r="M225" s="20">
        <f>IF(AND(ISNUMBER(K225),ISNUMBER(L225)),L225-K225,"")</f>
        <v/>
      </c>
      <c r="N225" s="19">
        <f>IF(G225="","",IF(AND(ISNUMBER(K225),ISNUMBER(L225)),IF(OR(F225="GOC",F225="OWC",F225="GWC",F225="OWC_TRANSITION",F225="GOC_TRANSITION"),IF(L225&gt;=K225,"Supports","Conflicts"),"N/A"),"No Sw"))</f>
        <v/>
      </c>
      <c r="O225" s="20">
        <f>IF(G225="","",Settings!$B$6*IF(OR(F225="GOC",F225="OWC",F225="GWC"),1,0.7)+Settings!$B$7*IF(N225="Supports",1,IF(N225="Conflicts",0,0.5))+Settings!$B$8*IF(AND(Master_Data!R225&lt;&gt;"",Master_Data!S225&lt;&gt;"",Master_Data!R226&lt;&gt;"",Master_Data!S226&lt;&gt;""),1,0.5))</f>
        <v/>
      </c>
      <c r="P225" s="19">
        <f>IF(G225="","",IF(N225="Conflicts","SW_CONFLICT",IF(OR(F225="GOC",F225="OWC",F225="GWC"),"DIRECT_FLUID_TRANSITION","TRANSITION_INTERVAL")))</f>
        <v/>
      </c>
      <c r="Q225" s="19">
        <f>IF(G225="","",IF(N225="Conflicts","Investigate contact interpretation / saturation behaviour",IF(OR(F225="OWC",F225="GOC",F225="GWC"),"Candidate contact — validate with logs, pressure and dynamic evidence","Transition zone — do not force to a sharp contact")))</f>
        <v/>
      </c>
    </row>
    <row r="226">
      <c r="A226" s="19">
        <f>IF(AND(Master_Data!A226&lt;&gt;"",Master_Data!A226=Master_Data!A227),Master_Data!A226,"")</f>
        <v/>
      </c>
      <c r="B226" s="19">
        <f>IF($A226="","",Master_Data!B226)</f>
        <v/>
      </c>
      <c r="C226" s="19">
        <f>IF($A226="","",Master_Data!B227)</f>
        <v/>
      </c>
      <c r="D226" s="19">
        <f>IF($A226="","",Master_Data!Q226)</f>
        <v/>
      </c>
      <c r="E226" s="19">
        <f>IF($A226="","",Master_Data!Q227)</f>
        <v/>
      </c>
      <c r="F226" s="19">
        <f>IF($A226="","",IF(AND(D226="GAS",E226="OIL"),"GOC",IF(AND(D226="OIL",E226="WATER"),"OWC",IF(AND(D226="GAS",E226="WATER"),"GWC",IF(AND(D226="OIL",E226="OIL_WATER"),"OWC_TRANSITION",IF(AND(D226="OIL_WATER",E226="WATER"),"OWC_TRANSITION",IF(AND(D226="GAS",E226="GAS_WATER"),"GOC_TRANSITION",IF(AND(D226="GAS_WATER",E226="OIL"),"GOC_TRANSITION",IF(OR(D226="OIL_WATER",D226="GAS_WATER"),"TRANSITION_INTERVAL","")))))))))</f>
        <v/>
      </c>
      <c r="G226" s="20">
        <f>IF(OR(F226="",Master_Data!R226="",Master_Data!S226=""),"",IF(RIGHT(F226,10)="TRANSITION",AVERAGE(Master_Data!R226:Master_Data!S226),AVERAGE(Master_Data!S226,Master_Data!R227)))</f>
        <v/>
      </c>
      <c r="H226" s="20">
        <f>IF(G226="","",MAX(Settings!$B$4,Settings!$B$5*AVERAGE(IF(Master_Data!O226&lt;&gt;"",Master_Data!O226,Master_Data!H226),IF(Master_Data!O227&lt;&gt;"",Master_Data!O227,Master_Data!H227))))</f>
        <v/>
      </c>
      <c r="I226" s="20">
        <f>IF(G226="","",G226-H226)</f>
        <v/>
      </c>
      <c r="J226" s="20">
        <f>IF(G226="","",G226+H226)</f>
        <v/>
      </c>
      <c r="K226" s="20">
        <f>IF($A226="","",Master_Data!G226)</f>
        <v/>
      </c>
      <c r="L226" s="20">
        <f>IF($A226="","",Master_Data!G227)</f>
        <v/>
      </c>
      <c r="M226" s="20">
        <f>IF(AND(ISNUMBER(K226),ISNUMBER(L226)),L226-K226,"")</f>
        <v/>
      </c>
      <c r="N226" s="19">
        <f>IF(G226="","",IF(AND(ISNUMBER(K226),ISNUMBER(L226)),IF(OR(F226="GOC",F226="OWC",F226="GWC",F226="OWC_TRANSITION",F226="GOC_TRANSITION"),IF(L226&gt;=K226,"Supports","Conflicts"),"N/A"),"No Sw"))</f>
        <v/>
      </c>
      <c r="O226" s="20">
        <f>IF(G226="","",Settings!$B$6*IF(OR(F226="GOC",F226="OWC",F226="GWC"),1,0.7)+Settings!$B$7*IF(N226="Supports",1,IF(N226="Conflicts",0,0.5))+Settings!$B$8*IF(AND(Master_Data!R226&lt;&gt;"",Master_Data!S226&lt;&gt;"",Master_Data!R227&lt;&gt;"",Master_Data!S227&lt;&gt;""),1,0.5))</f>
        <v/>
      </c>
      <c r="P226" s="19">
        <f>IF(G226="","",IF(N226="Conflicts","SW_CONFLICT",IF(OR(F226="GOC",F226="OWC",F226="GWC"),"DIRECT_FLUID_TRANSITION","TRANSITION_INTERVAL")))</f>
        <v/>
      </c>
      <c r="Q226" s="19">
        <f>IF(G226="","",IF(N226="Conflicts","Investigate contact interpretation / saturation behaviour",IF(OR(F226="OWC",F226="GOC",F226="GWC"),"Candidate contact — validate with logs, pressure and dynamic evidence","Transition zone — do not force to a sharp contact")))</f>
        <v/>
      </c>
    </row>
    <row r="227">
      <c r="A227" s="19">
        <f>IF(AND(Master_Data!A227&lt;&gt;"",Master_Data!A227=Master_Data!A228),Master_Data!A227,"")</f>
        <v/>
      </c>
      <c r="B227" s="19">
        <f>IF($A227="","",Master_Data!B227)</f>
        <v/>
      </c>
      <c r="C227" s="19">
        <f>IF($A227="","",Master_Data!B228)</f>
        <v/>
      </c>
      <c r="D227" s="19">
        <f>IF($A227="","",Master_Data!Q227)</f>
        <v/>
      </c>
      <c r="E227" s="19">
        <f>IF($A227="","",Master_Data!Q228)</f>
        <v/>
      </c>
      <c r="F227" s="19">
        <f>IF($A227="","",IF(AND(D227="GAS",E227="OIL"),"GOC",IF(AND(D227="OIL",E227="WATER"),"OWC",IF(AND(D227="GAS",E227="WATER"),"GWC",IF(AND(D227="OIL",E227="OIL_WATER"),"OWC_TRANSITION",IF(AND(D227="OIL_WATER",E227="WATER"),"OWC_TRANSITION",IF(AND(D227="GAS",E227="GAS_WATER"),"GOC_TRANSITION",IF(AND(D227="GAS_WATER",E227="OIL"),"GOC_TRANSITION",IF(OR(D227="OIL_WATER",D227="GAS_WATER"),"TRANSITION_INTERVAL","")))))))))</f>
        <v/>
      </c>
      <c r="G227" s="20">
        <f>IF(OR(F227="",Master_Data!R227="",Master_Data!S227=""),"",IF(RIGHT(F227,10)="TRANSITION",AVERAGE(Master_Data!R227:Master_Data!S227),AVERAGE(Master_Data!S227,Master_Data!R228)))</f>
        <v/>
      </c>
      <c r="H227" s="20">
        <f>IF(G227="","",MAX(Settings!$B$4,Settings!$B$5*AVERAGE(IF(Master_Data!O227&lt;&gt;"",Master_Data!O227,Master_Data!H227),IF(Master_Data!O228&lt;&gt;"",Master_Data!O228,Master_Data!H228))))</f>
        <v/>
      </c>
      <c r="I227" s="20">
        <f>IF(G227="","",G227-H227)</f>
        <v/>
      </c>
      <c r="J227" s="20">
        <f>IF(G227="","",G227+H227)</f>
        <v/>
      </c>
      <c r="K227" s="20">
        <f>IF($A227="","",Master_Data!G227)</f>
        <v/>
      </c>
      <c r="L227" s="20">
        <f>IF($A227="","",Master_Data!G228)</f>
        <v/>
      </c>
      <c r="M227" s="20">
        <f>IF(AND(ISNUMBER(K227),ISNUMBER(L227)),L227-K227,"")</f>
        <v/>
      </c>
      <c r="N227" s="19">
        <f>IF(G227="","",IF(AND(ISNUMBER(K227),ISNUMBER(L227)),IF(OR(F227="GOC",F227="OWC",F227="GWC",F227="OWC_TRANSITION",F227="GOC_TRANSITION"),IF(L227&gt;=K227,"Supports","Conflicts"),"N/A"),"No Sw"))</f>
        <v/>
      </c>
      <c r="O227" s="20">
        <f>IF(G227="","",Settings!$B$6*IF(OR(F227="GOC",F227="OWC",F227="GWC"),1,0.7)+Settings!$B$7*IF(N227="Supports",1,IF(N227="Conflicts",0,0.5))+Settings!$B$8*IF(AND(Master_Data!R227&lt;&gt;"",Master_Data!S227&lt;&gt;"",Master_Data!R228&lt;&gt;"",Master_Data!S228&lt;&gt;""),1,0.5))</f>
        <v/>
      </c>
      <c r="P227" s="19">
        <f>IF(G227="","",IF(N227="Conflicts","SW_CONFLICT",IF(OR(F227="GOC",F227="OWC",F227="GWC"),"DIRECT_FLUID_TRANSITION","TRANSITION_INTERVAL")))</f>
        <v/>
      </c>
      <c r="Q227" s="19">
        <f>IF(G227="","",IF(N227="Conflicts","Investigate contact interpretation / saturation behaviour",IF(OR(F227="OWC",F227="GOC",F227="GWC"),"Candidate contact — validate with logs, pressure and dynamic evidence","Transition zone — do not force to a sharp contact")))</f>
        <v/>
      </c>
    </row>
    <row r="228">
      <c r="A228" s="19">
        <f>IF(AND(Master_Data!A228&lt;&gt;"",Master_Data!A228=Master_Data!A229),Master_Data!A228,"")</f>
        <v/>
      </c>
      <c r="B228" s="19">
        <f>IF($A228="","",Master_Data!B228)</f>
        <v/>
      </c>
      <c r="C228" s="19">
        <f>IF($A228="","",Master_Data!B229)</f>
        <v/>
      </c>
      <c r="D228" s="19">
        <f>IF($A228="","",Master_Data!Q228)</f>
        <v/>
      </c>
      <c r="E228" s="19">
        <f>IF($A228="","",Master_Data!Q229)</f>
        <v/>
      </c>
      <c r="F228" s="19">
        <f>IF($A228="","",IF(AND(D228="GAS",E228="OIL"),"GOC",IF(AND(D228="OIL",E228="WATER"),"OWC",IF(AND(D228="GAS",E228="WATER"),"GWC",IF(AND(D228="OIL",E228="OIL_WATER"),"OWC_TRANSITION",IF(AND(D228="OIL_WATER",E228="WATER"),"OWC_TRANSITION",IF(AND(D228="GAS",E228="GAS_WATER"),"GOC_TRANSITION",IF(AND(D228="GAS_WATER",E228="OIL"),"GOC_TRANSITION",IF(OR(D228="OIL_WATER",D228="GAS_WATER"),"TRANSITION_INTERVAL","")))))))))</f>
        <v/>
      </c>
      <c r="G228" s="20">
        <f>IF(OR(F228="",Master_Data!R228="",Master_Data!S228=""),"",IF(RIGHT(F228,10)="TRANSITION",AVERAGE(Master_Data!R228:Master_Data!S228),AVERAGE(Master_Data!S228,Master_Data!R229)))</f>
        <v/>
      </c>
      <c r="H228" s="20">
        <f>IF(G228="","",MAX(Settings!$B$4,Settings!$B$5*AVERAGE(IF(Master_Data!O228&lt;&gt;"",Master_Data!O228,Master_Data!H228),IF(Master_Data!O229&lt;&gt;"",Master_Data!O229,Master_Data!H229))))</f>
        <v/>
      </c>
      <c r="I228" s="20">
        <f>IF(G228="","",G228-H228)</f>
        <v/>
      </c>
      <c r="J228" s="20">
        <f>IF(G228="","",G228+H228)</f>
        <v/>
      </c>
      <c r="K228" s="20">
        <f>IF($A228="","",Master_Data!G228)</f>
        <v/>
      </c>
      <c r="L228" s="20">
        <f>IF($A228="","",Master_Data!G229)</f>
        <v/>
      </c>
      <c r="M228" s="20">
        <f>IF(AND(ISNUMBER(K228),ISNUMBER(L228)),L228-K228,"")</f>
        <v/>
      </c>
      <c r="N228" s="19">
        <f>IF(G228="","",IF(AND(ISNUMBER(K228),ISNUMBER(L228)),IF(OR(F228="GOC",F228="OWC",F228="GWC",F228="OWC_TRANSITION",F228="GOC_TRANSITION"),IF(L228&gt;=K228,"Supports","Conflicts"),"N/A"),"No Sw"))</f>
        <v/>
      </c>
      <c r="O228" s="20">
        <f>IF(G228="","",Settings!$B$6*IF(OR(F228="GOC",F228="OWC",F228="GWC"),1,0.7)+Settings!$B$7*IF(N228="Supports",1,IF(N228="Conflicts",0,0.5))+Settings!$B$8*IF(AND(Master_Data!R228&lt;&gt;"",Master_Data!S228&lt;&gt;"",Master_Data!R229&lt;&gt;"",Master_Data!S229&lt;&gt;""),1,0.5))</f>
        <v/>
      </c>
      <c r="P228" s="19">
        <f>IF(G228="","",IF(N228="Conflicts","SW_CONFLICT",IF(OR(F228="GOC",F228="OWC",F228="GWC"),"DIRECT_FLUID_TRANSITION","TRANSITION_INTERVAL")))</f>
        <v/>
      </c>
      <c r="Q228" s="19">
        <f>IF(G228="","",IF(N228="Conflicts","Investigate contact interpretation / saturation behaviour",IF(OR(F228="OWC",F228="GOC",F228="GWC"),"Candidate contact — validate with logs, pressure and dynamic evidence","Transition zone — do not force to a sharp contact")))</f>
        <v/>
      </c>
    </row>
    <row r="229">
      <c r="A229" s="19">
        <f>IF(AND(Master_Data!A229&lt;&gt;"",Master_Data!A229=Master_Data!A230),Master_Data!A229,"")</f>
        <v/>
      </c>
      <c r="B229" s="19">
        <f>IF($A229="","",Master_Data!B229)</f>
        <v/>
      </c>
      <c r="C229" s="19">
        <f>IF($A229="","",Master_Data!B230)</f>
        <v/>
      </c>
      <c r="D229" s="19">
        <f>IF($A229="","",Master_Data!Q229)</f>
        <v/>
      </c>
      <c r="E229" s="19">
        <f>IF($A229="","",Master_Data!Q230)</f>
        <v/>
      </c>
      <c r="F229" s="19">
        <f>IF($A229="","",IF(AND(D229="GAS",E229="OIL"),"GOC",IF(AND(D229="OIL",E229="WATER"),"OWC",IF(AND(D229="GAS",E229="WATER"),"GWC",IF(AND(D229="OIL",E229="OIL_WATER"),"OWC_TRANSITION",IF(AND(D229="OIL_WATER",E229="WATER"),"OWC_TRANSITION",IF(AND(D229="GAS",E229="GAS_WATER"),"GOC_TRANSITION",IF(AND(D229="GAS_WATER",E229="OIL"),"GOC_TRANSITION",IF(OR(D229="OIL_WATER",D229="GAS_WATER"),"TRANSITION_INTERVAL","")))))))))</f>
        <v/>
      </c>
      <c r="G229" s="20">
        <f>IF(OR(F229="",Master_Data!R229="",Master_Data!S229=""),"",IF(RIGHT(F229,10)="TRANSITION",AVERAGE(Master_Data!R229:Master_Data!S229),AVERAGE(Master_Data!S229,Master_Data!R230)))</f>
        <v/>
      </c>
      <c r="H229" s="20">
        <f>IF(G229="","",MAX(Settings!$B$4,Settings!$B$5*AVERAGE(IF(Master_Data!O229&lt;&gt;"",Master_Data!O229,Master_Data!H229),IF(Master_Data!O230&lt;&gt;"",Master_Data!O230,Master_Data!H230))))</f>
        <v/>
      </c>
      <c r="I229" s="20">
        <f>IF(G229="","",G229-H229)</f>
        <v/>
      </c>
      <c r="J229" s="20">
        <f>IF(G229="","",G229+H229)</f>
        <v/>
      </c>
      <c r="K229" s="20">
        <f>IF($A229="","",Master_Data!G229)</f>
        <v/>
      </c>
      <c r="L229" s="20">
        <f>IF($A229="","",Master_Data!G230)</f>
        <v/>
      </c>
      <c r="M229" s="20">
        <f>IF(AND(ISNUMBER(K229),ISNUMBER(L229)),L229-K229,"")</f>
        <v/>
      </c>
      <c r="N229" s="19">
        <f>IF(G229="","",IF(AND(ISNUMBER(K229),ISNUMBER(L229)),IF(OR(F229="GOC",F229="OWC",F229="GWC",F229="OWC_TRANSITION",F229="GOC_TRANSITION"),IF(L229&gt;=K229,"Supports","Conflicts"),"N/A"),"No Sw"))</f>
        <v/>
      </c>
      <c r="O229" s="20">
        <f>IF(G229="","",Settings!$B$6*IF(OR(F229="GOC",F229="OWC",F229="GWC"),1,0.7)+Settings!$B$7*IF(N229="Supports",1,IF(N229="Conflicts",0,0.5))+Settings!$B$8*IF(AND(Master_Data!R229&lt;&gt;"",Master_Data!S229&lt;&gt;"",Master_Data!R230&lt;&gt;"",Master_Data!S230&lt;&gt;""),1,0.5))</f>
        <v/>
      </c>
      <c r="P229" s="19">
        <f>IF(G229="","",IF(N229="Conflicts","SW_CONFLICT",IF(OR(F229="GOC",F229="OWC",F229="GWC"),"DIRECT_FLUID_TRANSITION","TRANSITION_INTERVAL")))</f>
        <v/>
      </c>
      <c r="Q229" s="19">
        <f>IF(G229="","",IF(N229="Conflicts","Investigate contact interpretation / saturation behaviour",IF(OR(F229="OWC",F229="GOC",F229="GWC"),"Candidate contact — validate with logs, pressure and dynamic evidence","Transition zone — do not force to a sharp contact")))</f>
        <v/>
      </c>
    </row>
    <row r="230">
      <c r="A230" s="19">
        <f>IF(AND(Master_Data!A230&lt;&gt;"",Master_Data!A230=Master_Data!A231),Master_Data!A230,"")</f>
        <v/>
      </c>
      <c r="B230" s="19">
        <f>IF($A230="","",Master_Data!B230)</f>
        <v/>
      </c>
      <c r="C230" s="19">
        <f>IF($A230="","",Master_Data!B231)</f>
        <v/>
      </c>
      <c r="D230" s="19">
        <f>IF($A230="","",Master_Data!Q230)</f>
        <v/>
      </c>
      <c r="E230" s="19">
        <f>IF($A230="","",Master_Data!Q231)</f>
        <v/>
      </c>
      <c r="F230" s="19">
        <f>IF($A230="","",IF(AND(D230="GAS",E230="OIL"),"GOC",IF(AND(D230="OIL",E230="WATER"),"OWC",IF(AND(D230="GAS",E230="WATER"),"GWC",IF(AND(D230="OIL",E230="OIL_WATER"),"OWC_TRANSITION",IF(AND(D230="OIL_WATER",E230="WATER"),"OWC_TRANSITION",IF(AND(D230="GAS",E230="GAS_WATER"),"GOC_TRANSITION",IF(AND(D230="GAS_WATER",E230="OIL"),"GOC_TRANSITION",IF(OR(D230="OIL_WATER",D230="GAS_WATER"),"TRANSITION_INTERVAL","")))))))))</f>
        <v/>
      </c>
      <c r="G230" s="20">
        <f>IF(OR(F230="",Master_Data!R230="",Master_Data!S230=""),"",IF(RIGHT(F230,10)="TRANSITION",AVERAGE(Master_Data!R230:Master_Data!S230),AVERAGE(Master_Data!S230,Master_Data!R231)))</f>
        <v/>
      </c>
      <c r="H230" s="20">
        <f>IF(G230="","",MAX(Settings!$B$4,Settings!$B$5*AVERAGE(IF(Master_Data!O230&lt;&gt;"",Master_Data!O230,Master_Data!H230),IF(Master_Data!O231&lt;&gt;"",Master_Data!O231,Master_Data!H231))))</f>
        <v/>
      </c>
      <c r="I230" s="20">
        <f>IF(G230="","",G230-H230)</f>
        <v/>
      </c>
      <c r="J230" s="20">
        <f>IF(G230="","",G230+H230)</f>
        <v/>
      </c>
      <c r="K230" s="20">
        <f>IF($A230="","",Master_Data!G230)</f>
        <v/>
      </c>
      <c r="L230" s="20">
        <f>IF($A230="","",Master_Data!G231)</f>
        <v/>
      </c>
      <c r="M230" s="20">
        <f>IF(AND(ISNUMBER(K230),ISNUMBER(L230)),L230-K230,"")</f>
        <v/>
      </c>
      <c r="N230" s="19">
        <f>IF(G230="","",IF(AND(ISNUMBER(K230),ISNUMBER(L230)),IF(OR(F230="GOC",F230="OWC",F230="GWC",F230="OWC_TRANSITION",F230="GOC_TRANSITION"),IF(L230&gt;=K230,"Supports","Conflicts"),"N/A"),"No Sw"))</f>
        <v/>
      </c>
      <c r="O230" s="20">
        <f>IF(G230="","",Settings!$B$6*IF(OR(F230="GOC",F230="OWC",F230="GWC"),1,0.7)+Settings!$B$7*IF(N230="Supports",1,IF(N230="Conflicts",0,0.5))+Settings!$B$8*IF(AND(Master_Data!R230&lt;&gt;"",Master_Data!S230&lt;&gt;"",Master_Data!R231&lt;&gt;"",Master_Data!S231&lt;&gt;""),1,0.5))</f>
        <v/>
      </c>
      <c r="P230" s="19">
        <f>IF(G230="","",IF(N230="Conflicts","SW_CONFLICT",IF(OR(F230="GOC",F230="OWC",F230="GWC"),"DIRECT_FLUID_TRANSITION","TRANSITION_INTERVAL")))</f>
        <v/>
      </c>
      <c r="Q230" s="19">
        <f>IF(G230="","",IF(N230="Conflicts","Investigate contact interpretation / saturation behaviour",IF(OR(F230="OWC",F230="GOC",F230="GWC"),"Candidate contact — validate with logs, pressure and dynamic evidence","Transition zone — do not force to a sharp contact")))</f>
        <v/>
      </c>
    </row>
    <row r="231">
      <c r="A231" s="19">
        <f>IF(AND(Master_Data!A231&lt;&gt;"",Master_Data!A231=Master_Data!A232),Master_Data!A231,"")</f>
        <v/>
      </c>
      <c r="B231" s="19">
        <f>IF($A231="","",Master_Data!B231)</f>
        <v/>
      </c>
      <c r="C231" s="19">
        <f>IF($A231="","",Master_Data!B232)</f>
        <v/>
      </c>
      <c r="D231" s="19">
        <f>IF($A231="","",Master_Data!Q231)</f>
        <v/>
      </c>
      <c r="E231" s="19">
        <f>IF($A231="","",Master_Data!Q232)</f>
        <v/>
      </c>
      <c r="F231" s="19">
        <f>IF($A231="","",IF(AND(D231="GAS",E231="OIL"),"GOC",IF(AND(D231="OIL",E231="WATER"),"OWC",IF(AND(D231="GAS",E231="WATER"),"GWC",IF(AND(D231="OIL",E231="OIL_WATER"),"OWC_TRANSITION",IF(AND(D231="OIL_WATER",E231="WATER"),"OWC_TRANSITION",IF(AND(D231="GAS",E231="GAS_WATER"),"GOC_TRANSITION",IF(AND(D231="GAS_WATER",E231="OIL"),"GOC_TRANSITION",IF(OR(D231="OIL_WATER",D231="GAS_WATER"),"TRANSITION_INTERVAL","")))))))))</f>
        <v/>
      </c>
      <c r="G231" s="20">
        <f>IF(OR(F231="",Master_Data!R231="",Master_Data!S231=""),"",IF(RIGHT(F231,10)="TRANSITION",AVERAGE(Master_Data!R231:Master_Data!S231),AVERAGE(Master_Data!S231,Master_Data!R232)))</f>
        <v/>
      </c>
      <c r="H231" s="20">
        <f>IF(G231="","",MAX(Settings!$B$4,Settings!$B$5*AVERAGE(IF(Master_Data!O231&lt;&gt;"",Master_Data!O231,Master_Data!H231),IF(Master_Data!O232&lt;&gt;"",Master_Data!O232,Master_Data!H232))))</f>
        <v/>
      </c>
      <c r="I231" s="20">
        <f>IF(G231="","",G231-H231)</f>
        <v/>
      </c>
      <c r="J231" s="20">
        <f>IF(G231="","",G231+H231)</f>
        <v/>
      </c>
      <c r="K231" s="20">
        <f>IF($A231="","",Master_Data!G231)</f>
        <v/>
      </c>
      <c r="L231" s="20">
        <f>IF($A231="","",Master_Data!G232)</f>
        <v/>
      </c>
      <c r="M231" s="20">
        <f>IF(AND(ISNUMBER(K231),ISNUMBER(L231)),L231-K231,"")</f>
        <v/>
      </c>
      <c r="N231" s="19">
        <f>IF(G231="","",IF(AND(ISNUMBER(K231),ISNUMBER(L231)),IF(OR(F231="GOC",F231="OWC",F231="GWC",F231="OWC_TRANSITION",F231="GOC_TRANSITION"),IF(L231&gt;=K231,"Supports","Conflicts"),"N/A"),"No Sw"))</f>
        <v/>
      </c>
      <c r="O231" s="20">
        <f>IF(G231="","",Settings!$B$6*IF(OR(F231="GOC",F231="OWC",F231="GWC"),1,0.7)+Settings!$B$7*IF(N231="Supports",1,IF(N231="Conflicts",0,0.5))+Settings!$B$8*IF(AND(Master_Data!R231&lt;&gt;"",Master_Data!S231&lt;&gt;"",Master_Data!R232&lt;&gt;"",Master_Data!S232&lt;&gt;""),1,0.5))</f>
        <v/>
      </c>
      <c r="P231" s="19">
        <f>IF(G231="","",IF(N231="Conflicts","SW_CONFLICT",IF(OR(F231="GOC",F231="OWC",F231="GWC"),"DIRECT_FLUID_TRANSITION","TRANSITION_INTERVAL")))</f>
        <v/>
      </c>
      <c r="Q231" s="19">
        <f>IF(G231="","",IF(N231="Conflicts","Investigate contact interpretation / saturation behaviour",IF(OR(F231="OWC",F231="GOC",F231="GWC"),"Candidate contact — validate with logs, pressure and dynamic evidence","Transition zone — do not force to a sharp contact")))</f>
        <v/>
      </c>
    </row>
    <row r="232">
      <c r="A232" s="19">
        <f>IF(AND(Master_Data!A232&lt;&gt;"",Master_Data!A232=Master_Data!A233),Master_Data!A232,"")</f>
        <v/>
      </c>
      <c r="B232" s="19">
        <f>IF($A232="","",Master_Data!B232)</f>
        <v/>
      </c>
      <c r="C232" s="19">
        <f>IF($A232="","",Master_Data!B233)</f>
        <v/>
      </c>
      <c r="D232" s="19">
        <f>IF($A232="","",Master_Data!Q232)</f>
        <v/>
      </c>
      <c r="E232" s="19">
        <f>IF($A232="","",Master_Data!Q233)</f>
        <v/>
      </c>
      <c r="F232" s="19">
        <f>IF($A232="","",IF(AND(D232="GAS",E232="OIL"),"GOC",IF(AND(D232="OIL",E232="WATER"),"OWC",IF(AND(D232="GAS",E232="WATER"),"GWC",IF(AND(D232="OIL",E232="OIL_WATER"),"OWC_TRANSITION",IF(AND(D232="OIL_WATER",E232="WATER"),"OWC_TRANSITION",IF(AND(D232="GAS",E232="GAS_WATER"),"GOC_TRANSITION",IF(AND(D232="GAS_WATER",E232="OIL"),"GOC_TRANSITION",IF(OR(D232="OIL_WATER",D232="GAS_WATER"),"TRANSITION_INTERVAL","")))))))))</f>
        <v/>
      </c>
      <c r="G232" s="20">
        <f>IF(OR(F232="",Master_Data!R232="",Master_Data!S232=""),"",IF(RIGHT(F232,10)="TRANSITION",AVERAGE(Master_Data!R232:Master_Data!S232),AVERAGE(Master_Data!S232,Master_Data!R233)))</f>
        <v/>
      </c>
      <c r="H232" s="20">
        <f>IF(G232="","",MAX(Settings!$B$4,Settings!$B$5*AVERAGE(IF(Master_Data!O232&lt;&gt;"",Master_Data!O232,Master_Data!H232),IF(Master_Data!O233&lt;&gt;"",Master_Data!O233,Master_Data!H233))))</f>
        <v/>
      </c>
      <c r="I232" s="20">
        <f>IF(G232="","",G232-H232)</f>
        <v/>
      </c>
      <c r="J232" s="20">
        <f>IF(G232="","",G232+H232)</f>
        <v/>
      </c>
      <c r="K232" s="20">
        <f>IF($A232="","",Master_Data!G232)</f>
        <v/>
      </c>
      <c r="L232" s="20">
        <f>IF($A232="","",Master_Data!G233)</f>
        <v/>
      </c>
      <c r="M232" s="20">
        <f>IF(AND(ISNUMBER(K232),ISNUMBER(L232)),L232-K232,"")</f>
        <v/>
      </c>
      <c r="N232" s="19">
        <f>IF(G232="","",IF(AND(ISNUMBER(K232),ISNUMBER(L232)),IF(OR(F232="GOC",F232="OWC",F232="GWC",F232="OWC_TRANSITION",F232="GOC_TRANSITION"),IF(L232&gt;=K232,"Supports","Conflicts"),"N/A"),"No Sw"))</f>
        <v/>
      </c>
      <c r="O232" s="20">
        <f>IF(G232="","",Settings!$B$6*IF(OR(F232="GOC",F232="OWC",F232="GWC"),1,0.7)+Settings!$B$7*IF(N232="Supports",1,IF(N232="Conflicts",0,0.5))+Settings!$B$8*IF(AND(Master_Data!R232&lt;&gt;"",Master_Data!S232&lt;&gt;"",Master_Data!R233&lt;&gt;"",Master_Data!S233&lt;&gt;""),1,0.5))</f>
        <v/>
      </c>
      <c r="P232" s="19">
        <f>IF(G232="","",IF(N232="Conflicts","SW_CONFLICT",IF(OR(F232="GOC",F232="OWC",F232="GWC"),"DIRECT_FLUID_TRANSITION","TRANSITION_INTERVAL")))</f>
        <v/>
      </c>
      <c r="Q232" s="19">
        <f>IF(G232="","",IF(N232="Conflicts","Investigate contact interpretation / saturation behaviour",IF(OR(F232="OWC",F232="GOC",F232="GWC"),"Candidate contact — validate with logs, pressure and dynamic evidence","Transition zone — do not force to a sharp contact")))</f>
        <v/>
      </c>
    </row>
    <row r="233">
      <c r="A233" s="19">
        <f>IF(AND(Master_Data!A233&lt;&gt;"",Master_Data!A233=Master_Data!A234),Master_Data!A233,"")</f>
        <v/>
      </c>
      <c r="B233" s="19">
        <f>IF($A233="","",Master_Data!B233)</f>
        <v/>
      </c>
      <c r="C233" s="19">
        <f>IF($A233="","",Master_Data!B234)</f>
        <v/>
      </c>
      <c r="D233" s="19">
        <f>IF($A233="","",Master_Data!Q233)</f>
        <v/>
      </c>
      <c r="E233" s="19">
        <f>IF($A233="","",Master_Data!Q234)</f>
        <v/>
      </c>
      <c r="F233" s="19">
        <f>IF($A233="","",IF(AND(D233="GAS",E233="OIL"),"GOC",IF(AND(D233="OIL",E233="WATER"),"OWC",IF(AND(D233="GAS",E233="WATER"),"GWC",IF(AND(D233="OIL",E233="OIL_WATER"),"OWC_TRANSITION",IF(AND(D233="OIL_WATER",E233="WATER"),"OWC_TRANSITION",IF(AND(D233="GAS",E233="GAS_WATER"),"GOC_TRANSITION",IF(AND(D233="GAS_WATER",E233="OIL"),"GOC_TRANSITION",IF(OR(D233="OIL_WATER",D233="GAS_WATER"),"TRANSITION_INTERVAL","")))))))))</f>
        <v/>
      </c>
      <c r="G233" s="20">
        <f>IF(OR(F233="",Master_Data!R233="",Master_Data!S233=""),"",IF(RIGHT(F233,10)="TRANSITION",AVERAGE(Master_Data!R233:Master_Data!S233),AVERAGE(Master_Data!S233,Master_Data!R234)))</f>
        <v/>
      </c>
      <c r="H233" s="20">
        <f>IF(G233="","",MAX(Settings!$B$4,Settings!$B$5*AVERAGE(IF(Master_Data!O233&lt;&gt;"",Master_Data!O233,Master_Data!H233),IF(Master_Data!O234&lt;&gt;"",Master_Data!O234,Master_Data!H234))))</f>
        <v/>
      </c>
      <c r="I233" s="20">
        <f>IF(G233="","",G233-H233)</f>
        <v/>
      </c>
      <c r="J233" s="20">
        <f>IF(G233="","",G233+H233)</f>
        <v/>
      </c>
      <c r="K233" s="20">
        <f>IF($A233="","",Master_Data!G233)</f>
        <v/>
      </c>
      <c r="L233" s="20">
        <f>IF($A233="","",Master_Data!G234)</f>
        <v/>
      </c>
      <c r="M233" s="20">
        <f>IF(AND(ISNUMBER(K233),ISNUMBER(L233)),L233-K233,"")</f>
        <v/>
      </c>
      <c r="N233" s="19">
        <f>IF(G233="","",IF(AND(ISNUMBER(K233),ISNUMBER(L233)),IF(OR(F233="GOC",F233="OWC",F233="GWC",F233="OWC_TRANSITION",F233="GOC_TRANSITION"),IF(L233&gt;=K233,"Supports","Conflicts"),"N/A"),"No Sw"))</f>
        <v/>
      </c>
      <c r="O233" s="20">
        <f>IF(G233="","",Settings!$B$6*IF(OR(F233="GOC",F233="OWC",F233="GWC"),1,0.7)+Settings!$B$7*IF(N233="Supports",1,IF(N233="Conflicts",0,0.5))+Settings!$B$8*IF(AND(Master_Data!R233&lt;&gt;"",Master_Data!S233&lt;&gt;"",Master_Data!R234&lt;&gt;"",Master_Data!S234&lt;&gt;""),1,0.5))</f>
        <v/>
      </c>
      <c r="P233" s="19">
        <f>IF(G233="","",IF(N233="Conflicts","SW_CONFLICT",IF(OR(F233="GOC",F233="OWC",F233="GWC"),"DIRECT_FLUID_TRANSITION","TRANSITION_INTERVAL")))</f>
        <v/>
      </c>
      <c r="Q233" s="19">
        <f>IF(G233="","",IF(N233="Conflicts","Investigate contact interpretation / saturation behaviour",IF(OR(F233="OWC",F233="GOC",F233="GWC"),"Candidate contact — validate with logs, pressure and dynamic evidence","Transition zone — do not force to a sharp contact")))</f>
        <v/>
      </c>
    </row>
    <row r="234">
      <c r="A234" s="19">
        <f>IF(AND(Master_Data!A234&lt;&gt;"",Master_Data!A234=Master_Data!A235),Master_Data!A234,"")</f>
        <v/>
      </c>
      <c r="B234" s="19">
        <f>IF($A234="","",Master_Data!B234)</f>
        <v/>
      </c>
      <c r="C234" s="19">
        <f>IF($A234="","",Master_Data!B235)</f>
        <v/>
      </c>
      <c r="D234" s="19">
        <f>IF($A234="","",Master_Data!Q234)</f>
        <v/>
      </c>
      <c r="E234" s="19">
        <f>IF($A234="","",Master_Data!Q235)</f>
        <v/>
      </c>
      <c r="F234" s="19">
        <f>IF($A234="","",IF(AND(D234="GAS",E234="OIL"),"GOC",IF(AND(D234="OIL",E234="WATER"),"OWC",IF(AND(D234="GAS",E234="WATER"),"GWC",IF(AND(D234="OIL",E234="OIL_WATER"),"OWC_TRANSITION",IF(AND(D234="OIL_WATER",E234="WATER"),"OWC_TRANSITION",IF(AND(D234="GAS",E234="GAS_WATER"),"GOC_TRANSITION",IF(AND(D234="GAS_WATER",E234="OIL"),"GOC_TRANSITION",IF(OR(D234="OIL_WATER",D234="GAS_WATER"),"TRANSITION_INTERVAL","")))))))))</f>
        <v/>
      </c>
      <c r="G234" s="20">
        <f>IF(OR(F234="",Master_Data!R234="",Master_Data!S234=""),"",IF(RIGHT(F234,10)="TRANSITION",AVERAGE(Master_Data!R234:Master_Data!S234),AVERAGE(Master_Data!S234,Master_Data!R235)))</f>
        <v/>
      </c>
      <c r="H234" s="20">
        <f>IF(G234="","",MAX(Settings!$B$4,Settings!$B$5*AVERAGE(IF(Master_Data!O234&lt;&gt;"",Master_Data!O234,Master_Data!H234),IF(Master_Data!O235&lt;&gt;"",Master_Data!O235,Master_Data!H235))))</f>
        <v/>
      </c>
      <c r="I234" s="20">
        <f>IF(G234="","",G234-H234)</f>
        <v/>
      </c>
      <c r="J234" s="20">
        <f>IF(G234="","",G234+H234)</f>
        <v/>
      </c>
      <c r="K234" s="20">
        <f>IF($A234="","",Master_Data!G234)</f>
        <v/>
      </c>
      <c r="L234" s="20">
        <f>IF($A234="","",Master_Data!G235)</f>
        <v/>
      </c>
      <c r="M234" s="20">
        <f>IF(AND(ISNUMBER(K234),ISNUMBER(L234)),L234-K234,"")</f>
        <v/>
      </c>
      <c r="N234" s="19">
        <f>IF(G234="","",IF(AND(ISNUMBER(K234),ISNUMBER(L234)),IF(OR(F234="GOC",F234="OWC",F234="GWC",F234="OWC_TRANSITION",F234="GOC_TRANSITION"),IF(L234&gt;=K234,"Supports","Conflicts"),"N/A"),"No Sw"))</f>
        <v/>
      </c>
      <c r="O234" s="20">
        <f>IF(G234="","",Settings!$B$6*IF(OR(F234="GOC",F234="OWC",F234="GWC"),1,0.7)+Settings!$B$7*IF(N234="Supports",1,IF(N234="Conflicts",0,0.5))+Settings!$B$8*IF(AND(Master_Data!R234&lt;&gt;"",Master_Data!S234&lt;&gt;"",Master_Data!R235&lt;&gt;"",Master_Data!S235&lt;&gt;""),1,0.5))</f>
        <v/>
      </c>
      <c r="P234" s="19">
        <f>IF(G234="","",IF(N234="Conflicts","SW_CONFLICT",IF(OR(F234="GOC",F234="OWC",F234="GWC"),"DIRECT_FLUID_TRANSITION","TRANSITION_INTERVAL")))</f>
        <v/>
      </c>
      <c r="Q234" s="19">
        <f>IF(G234="","",IF(N234="Conflicts","Investigate contact interpretation / saturation behaviour",IF(OR(F234="OWC",F234="GOC",F234="GWC"),"Candidate contact — validate with logs, pressure and dynamic evidence","Transition zone — do not force to a sharp contact")))</f>
        <v/>
      </c>
    </row>
    <row r="235">
      <c r="A235" s="19">
        <f>IF(AND(Master_Data!A235&lt;&gt;"",Master_Data!A235=Master_Data!A236),Master_Data!A235,"")</f>
        <v/>
      </c>
      <c r="B235" s="19">
        <f>IF($A235="","",Master_Data!B235)</f>
        <v/>
      </c>
      <c r="C235" s="19">
        <f>IF($A235="","",Master_Data!B236)</f>
        <v/>
      </c>
      <c r="D235" s="19">
        <f>IF($A235="","",Master_Data!Q235)</f>
        <v/>
      </c>
      <c r="E235" s="19">
        <f>IF($A235="","",Master_Data!Q236)</f>
        <v/>
      </c>
      <c r="F235" s="19">
        <f>IF($A235="","",IF(AND(D235="GAS",E235="OIL"),"GOC",IF(AND(D235="OIL",E235="WATER"),"OWC",IF(AND(D235="GAS",E235="WATER"),"GWC",IF(AND(D235="OIL",E235="OIL_WATER"),"OWC_TRANSITION",IF(AND(D235="OIL_WATER",E235="WATER"),"OWC_TRANSITION",IF(AND(D235="GAS",E235="GAS_WATER"),"GOC_TRANSITION",IF(AND(D235="GAS_WATER",E235="OIL"),"GOC_TRANSITION",IF(OR(D235="OIL_WATER",D235="GAS_WATER"),"TRANSITION_INTERVAL","")))))))))</f>
        <v/>
      </c>
      <c r="G235" s="20">
        <f>IF(OR(F235="",Master_Data!R235="",Master_Data!S235=""),"",IF(RIGHT(F235,10)="TRANSITION",AVERAGE(Master_Data!R235:Master_Data!S235),AVERAGE(Master_Data!S235,Master_Data!R236)))</f>
        <v/>
      </c>
      <c r="H235" s="20">
        <f>IF(G235="","",MAX(Settings!$B$4,Settings!$B$5*AVERAGE(IF(Master_Data!O235&lt;&gt;"",Master_Data!O235,Master_Data!H235),IF(Master_Data!O236&lt;&gt;"",Master_Data!O236,Master_Data!H236))))</f>
        <v/>
      </c>
      <c r="I235" s="20">
        <f>IF(G235="","",G235-H235)</f>
        <v/>
      </c>
      <c r="J235" s="20">
        <f>IF(G235="","",G235+H235)</f>
        <v/>
      </c>
      <c r="K235" s="20">
        <f>IF($A235="","",Master_Data!G235)</f>
        <v/>
      </c>
      <c r="L235" s="20">
        <f>IF($A235="","",Master_Data!G236)</f>
        <v/>
      </c>
      <c r="M235" s="20">
        <f>IF(AND(ISNUMBER(K235),ISNUMBER(L235)),L235-K235,"")</f>
        <v/>
      </c>
      <c r="N235" s="19">
        <f>IF(G235="","",IF(AND(ISNUMBER(K235),ISNUMBER(L235)),IF(OR(F235="GOC",F235="OWC",F235="GWC",F235="OWC_TRANSITION",F235="GOC_TRANSITION"),IF(L235&gt;=K235,"Supports","Conflicts"),"N/A"),"No Sw"))</f>
        <v/>
      </c>
      <c r="O235" s="20">
        <f>IF(G235="","",Settings!$B$6*IF(OR(F235="GOC",F235="OWC",F235="GWC"),1,0.7)+Settings!$B$7*IF(N235="Supports",1,IF(N235="Conflicts",0,0.5))+Settings!$B$8*IF(AND(Master_Data!R235&lt;&gt;"",Master_Data!S235&lt;&gt;"",Master_Data!R236&lt;&gt;"",Master_Data!S236&lt;&gt;""),1,0.5))</f>
        <v/>
      </c>
      <c r="P235" s="19">
        <f>IF(G235="","",IF(N235="Conflicts","SW_CONFLICT",IF(OR(F235="GOC",F235="OWC",F235="GWC"),"DIRECT_FLUID_TRANSITION","TRANSITION_INTERVAL")))</f>
        <v/>
      </c>
      <c r="Q235" s="19">
        <f>IF(G235="","",IF(N235="Conflicts","Investigate contact interpretation / saturation behaviour",IF(OR(F235="OWC",F235="GOC",F235="GWC"),"Candidate contact — validate with logs, pressure and dynamic evidence","Transition zone — do not force to a sharp contact")))</f>
        <v/>
      </c>
    </row>
    <row r="236">
      <c r="A236" s="19">
        <f>IF(AND(Master_Data!A236&lt;&gt;"",Master_Data!A236=Master_Data!A237),Master_Data!A236,"")</f>
        <v/>
      </c>
      <c r="B236" s="19">
        <f>IF($A236="","",Master_Data!B236)</f>
        <v/>
      </c>
      <c r="C236" s="19">
        <f>IF($A236="","",Master_Data!B237)</f>
        <v/>
      </c>
      <c r="D236" s="19">
        <f>IF($A236="","",Master_Data!Q236)</f>
        <v/>
      </c>
      <c r="E236" s="19">
        <f>IF($A236="","",Master_Data!Q237)</f>
        <v/>
      </c>
      <c r="F236" s="19">
        <f>IF($A236="","",IF(AND(D236="GAS",E236="OIL"),"GOC",IF(AND(D236="OIL",E236="WATER"),"OWC",IF(AND(D236="GAS",E236="WATER"),"GWC",IF(AND(D236="OIL",E236="OIL_WATER"),"OWC_TRANSITION",IF(AND(D236="OIL_WATER",E236="WATER"),"OWC_TRANSITION",IF(AND(D236="GAS",E236="GAS_WATER"),"GOC_TRANSITION",IF(AND(D236="GAS_WATER",E236="OIL"),"GOC_TRANSITION",IF(OR(D236="OIL_WATER",D236="GAS_WATER"),"TRANSITION_INTERVAL","")))))))))</f>
        <v/>
      </c>
      <c r="G236" s="20">
        <f>IF(OR(F236="",Master_Data!R236="",Master_Data!S236=""),"",IF(RIGHT(F236,10)="TRANSITION",AVERAGE(Master_Data!R236:Master_Data!S236),AVERAGE(Master_Data!S236,Master_Data!R237)))</f>
        <v/>
      </c>
      <c r="H236" s="20">
        <f>IF(G236="","",MAX(Settings!$B$4,Settings!$B$5*AVERAGE(IF(Master_Data!O236&lt;&gt;"",Master_Data!O236,Master_Data!H236),IF(Master_Data!O237&lt;&gt;"",Master_Data!O237,Master_Data!H237))))</f>
        <v/>
      </c>
      <c r="I236" s="20">
        <f>IF(G236="","",G236-H236)</f>
        <v/>
      </c>
      <c r="J236" s="20">
        <f>IF(G236="","",G236+H236)</f>
        <v/>
      </c>
      <c r="K236" s="20">
        <f>IF($A236="","",Master_Data!G236)</f>
        <v/>
      </c>
      <c r="L236" s="20">
        <f>IF($A236="","",Master_Data!G237)</f>
        <v/>
      </c>
      <c r="M236" s="20">
        <f>IF(AND(ISNUMBER(K236),ISNUMBER(L236)),L236-K236,"")</f>
        <v/>
      </c>
      <c r="N236" s="19">
        <f>IF(G236="","",IF(AND(ISNUMBER(K236),ISNUMBER(L236)),IF(OR(F236="GOC",F236="OWC",F236="GWC",F236="OWC_TRANSITION",F236="GOC_TRANSITION"),IF(L236&gt;=K236,"Supports","Conflicts"),"N/A"),"No Sw"))</f>
        <v/>
      </c>
      <c r="O236" s="20">
        <f>IF(G236="","",Settings!$B$6*IF(OR(F236="GOC",F236="OWC",F236="GWC"),1,0.7)+Settings!$B$7*IF(N236="Supports",1,IF(N236="Conflicts",0,0.5))+Settings!$B$8*IF(AND(Master_Data!R236&lt;&gt;"",Master_Data!S236&lt;&gt;"",Master_Data!R237&lt;&gt;"",Master_Data!S237&lt;&gt;""),1,0.5))</f>
        <v/>
      </c>
      <c r="P236" s="19">
        <f>IF(G236="","",IF(N236="Conflicts","SW_CONFLICT",IF(OR(F236="GOC",F236="OWC",F236="GWC"),"DIRECT_FLUID_TRANSITION","TRANSITION_INTERVAL")))</f>
        <v/>
      </c>
      <c r="Q236" s="19">
        <f>IF(G236="","",IF(N236="Conflicts","Investigate contact interpretation / saturation behaviour",IF(OR(F236="OWC",F236="GOC",F236="GWC"),"Candidate contact — validate with logs, pressure and dynamic evidence","Transition zone — do not force to a sharp contact")))</f>
        <v/>
      </c>
    </row>
    <row r="237">
      <c r="A237" s="19">
        <f>IF(AND(Master_Data!A237&lt;&gt;"",Master_Data!A237=Master_Data!A238),Master_Data!A237,"")</f>
        <v/>
      </c>
      <c r="B237" s="19">
        <f>IF($A237="","",Master_Data!B237)</f>
        <v/>
      </c>
      <c r="C237" s="19">
        <f>IF($A237="","",Master_Data!B238)</f>
        <v/>
      </c>
      <c r="D237" s="19">
        <f>IF($A237="","",Master_Data!Q237)</f>
        <v/>
      </c>
      <c r="E237" s="19">
        <f>IF($A237="","",Master_Data!Q238)</f>
        <v/>
      </c>
      <c r="F237" s="19">
        <f>IF($A237="","",IF(AND(D237="GAS",E237="OIL"),"GOC",IF(AND(D237="OIL",E237="WATER"),"OWC",IF(AND(D237="GAS",E237="WATER"),"GWC",IF(AND(D237="OIL",E237="OIL_WATER"),"OWC_TRANSITION",IF(AND(D237="OIL_WATER",E237="WATER"),"OWC_TRANSITION",IF(AND(D237="GAS",E237="GAS_WATER"),"GOC_TRANSITION",IF(AND(D237="GAS_WATER",E237="OIL"),"GOC_TRANSITION",IF(OR(D237="OIL_WATER",D237="GAS_WATER"),"TRANSITION_INTERVAL","")))))))))</f>
        <v/>
      </c>
      <c r="G237" s="20">
        <f>IF(OR(F237="",Master_Data!R237="",Master_Data!S237=""),"",IF(RIGHT(F237,10)="TRANSITION",AVERAGE(Master_Data!R237:Master_Data!S237),AVERAGE(Master_Data!S237,Master_Data!R238)))</f>
        <v/>
      </c>
      <c r="H237" s="20">
        <f>IF(G237="","",MAX(Settings!$B$4,Settings!$B$5*AVERAGE(IF(Master_Data!O237&lt;&gt;"",Master_Data!O237,Master_Data!H237),IF(Master_Data!O238&lt;&gt;"",Master_Data!O238,Master_Data!H238))))</f>
        <v/>
      </c>
      <c r="I237" s="20">
        <f>IF(G237="","",G237-H237)</f>
        <v/>
      </c>
      <c r="J237" s="20">
        <f>IF(G237="","",G237+H237)</f>
        <v/>
      </c>
      <c r="K237" s="20">
        <f>IF($A237="","",Master_Data!G237)</f>
        <v/>
      </c>
      <c r="L237" s="20">
        <f>IF($A237="","",Master_Data!G238)</f>
        <v/>
      </c>
      <c r="M237" s="20">
        <f>IF(AND(ISNUMBER(K237),ISNUMBER(L237)),L237-K237,"")</f>
        <v/>
      </c>
      <c r="N237" s="19">
        <f>IF(G237="","",IF(AND(ISNUMBER(K237),ISNUMBER(L237)),IF(OR(F237="GOC",F237="OWC",F237="GWC",F237="OWC_TRANSITION",F237="GOC_TRANSITION"),IF(L237&gt;=K237,"Supports","Conflicts"),"N/A"),"No Sw"))</f>
        <v/>
      </c>
      <c r="O237" s="20">
        <f>IF(G237="","",Settings!$B$6*IF(OR(F237="GOC",F237="OWC",F237="GWC"),1,0.7)+Settings!$B$7*IF(N237="Supports",1,IF(N237="Conflicts",0,0.5))+Settings!$B$8*IF(AND(Master_Data!R237&lt;&gt;"",Master_Data!S237&lt;&gt;"",Master_Data!R238&lt;&gt;"",Master_Data!S238&lt;&gt;""),1,0.5))</f>
        <v/>
      </c>
      <c r="P237" s="19">
        <f>IF(G237="","",IF(N237="Conflicts","SW_CONFLICT",IF(OR(F237="GOC",F237="OWC",F237="GWC"),"DIRECT_FLUID_TRANSITION","TRANSITION_INTERVAL")))</f>
        <v/>
      </c>
      <c r="Q237" s="19">
        <f>IF(G237="","",IF(N237="Conflicts","Investigate contact interpretation / saturation behaviour",IF(OR(F237="OWC",F237="GOC",F237="GWC"),"Candidate contact — validate with logs, pressure and dynamic evidence","Transition zone — do not force to a sharp contact")))</f>
        <v/>
      </c>
    </row>
    <row r="238">
      <c r="A238" s="19">
        <f>IF(AND(Master_Data!A238&lt;&gt;"",Master_Data!A238=Master_Data!A239),Master_Data!A238,"")</f>
        <v/>
      </c>
      <c r="B238" s="19">
        <f>IF($A238="","",Master_Data!B238)</f>
        <v/>
      </c>
      <c r="C238" s="19">
        <f>IF($A238="","",Master_Data!B239)</f>
        <v/>
      </c>
      <c r="D238" s="19">
        <f>IF($A238="","",Master_Data!Q238)</f>
        <v/>
      </c>
      <c r="E238" s="19">
        <f>IF($A238="","",Master_Data!Q239)</f>
        <v/>
      </c>
      <c r="F238" s="19">
        <f>IF($A238="","",IF(AND(D238="GAS",E238="OIL"),"GOC",IF(AND(D238="OIL",E238="WATER"),"OWC",IF(AND(D238="GAS",E238="WATER"),"GWC",IF(AND(D238="OIL",E238="OIL_WATER"),"OWC_TRANSITION",IF(AND(D238="OIL_WATER",E238="WATER"),"OWC_TRANSITION",IF(AND(D238="GAS",E238="GAS_WATER"),"GOC_TRANSITION",IF(AND(D238="GAS_WATER",E238="OIL"),"GOC_TRANSITION",IF(OR(D238="OIL_WATER",D238="GAS_WATER"),"TRANSITION_INTERVAL","")))))))))</f>
        <v/>
      </c>
      <c r="G238" s="20">
        <f>IF(OR(F238="",Master_Data!R238="",Master_Data!S238=""),"",IF(RIGHT(F238,10)="TRANSITION",AVERAGE(Master_Data!R238:Master_Data!S238),AVERAGE(Master_Data!S238,Master_Data!R239)))</f>
        <v/>
      </c>
      <c r="H238" s="20">
        <f>IF(G238="","",MAX(Settings!$B$4,Settings!$B$5*AVERAGE(IF(Master_Data!O238&lt;&gt;"",Master_Data!O238,Master_Data!H238),IF(Master_Data!O239&lt;&gt;"",Master_Data!O239,Master_Data!H239))))</f>
        <v/>
      </c>
      <c r="I238" s="20">
        <f>IF(G238="","",G238-H238)</f>
        <v/>
      </c>
      <c r="J238" s="20">
        <f>IF(G238="","",G238+H238)</f>
        <v/>
      </c>
      <c r="K238" s="20">
        <f>IF($A238="","",Master_Data!G238)</f>
        <v/>
      </c>
      <c r="L238" s="20">
        <f>IF($A238="","",Master_Data!G239)</f>
        <v/>
      </c>
      <c r="M238" s="20">
        <f>IF(AND(ISNUMBER(K238),ISNUMBER(L238)),L238-K238,"")</f>
        <v/>
      </c>
      <c r="N238" s="19">
        <f>IF(G238="","",IF(AND(ISNUMBER(K238),ISNUMBER(L238)),IF(OR(F238="GOC",F238="OWC",F238="GWC",F238="OWC_TRANSITION",F238="GOC_TRANSITION"),IF(L238&gt;=K238,"Supports","Conflicts"),"N/A"),"No Sw"))</f>
        <v/>
      </c>
      <c r="O238" s="20">
        <f>IF(G238="","",Settings!$B$6*IF(OR(F238="GOC",F238="OWC",F238="GWC"),1,0.7)+Settings!$B$7*IF(N238="Supports",1,IF(N238="Conflicts",0,0.5))+Settings!$B$8*IF(AND(Master_Data!R238&lt;&gt;"",Master_Data!S238&lt;&gt;"",Master_Data!R239&lt;&gt;"",Master_Data!S239&lt;&gt;""),1,0.5))</f>
        <v/>
      </c>
      <c r="P238" s="19">
        <f>IF(G238="","",IF(N238="Conflicts","SW_CONFLICT",IF(OR(F238="GOC",F238="OWC",F238="GWC"),"DIRECT_FLUID_TRANSITION","TRANSITION_INTERVAL")))</f>
        <v/>
      </c>
      <c r="Q238" s="19">
        <f>IF(G238="","",IF(N238="Conflicts","Investigate contact interpretation / saturation behaviour",IF(OR(F238="OWC",F238="GOC",F238="GWC"),"Candidate contact — validate with logs, pressure and dynamic evidence","Transition zone — do not force to a sharp contact")))</f>
        <v/>
      </c>
    </row>
    <row r="239">
      <c r="A239" s="19">
        <f>IF(AND(Master_Data!A239&lt;&gt;"",Master_Data!A239=Master_Data!A240),Master_Data!A239,"")</f>
        <v/>
      </c>
      <c r="B239" s="19">
        <f>IF($A239="","",Master_Data!B239)</f>
        <v/>
      </c>
      <c r="C239" s="19">
        <f>IF($A239="","",Master_Data!B240)</f>
        <v/>
      </c>
      <c r="D239" s="19">
        <f>IF($A239="","",Master_Data!Q239)</f>
        <v/>
      </c>
      <c r="E239" s="19">
        <f>IF($A239="","",Master_Data!Q240)</f>
        <v/>
      </c>
      <c r="F239" s="19">
        <f>IF($A239="","",IF(AND(D239="GAS",E239="OIL"),"GOC",IF(AND(D239="OIL",E239="WATER"),"OWC",IF(AND(D239="GAS",E239="WATER"),"GWC",IF(AND(D239="OIL",E239="OIL_WATER"),"OWC_TRANSITION",IF(AND(D239="OIL_WATER",E239="WATER"),"OWC_TRANSITION",IF(AND(D239="GAS",E239="GAS_WATER"),"GOC_TRANSITION",IF(AND(D239="GAS_WATER",E239="OIL"),"GOC_TRANSITION",IF(OR(D239="OIL_WATER",D239="GAS_WATER"),"TRANSITION_INTERVAL","")))))))))</f>
        <v/>
      </c>
      <c r="G239" s="20">
        <f>IF(OR(F239="",Master_Data!R239="",Master_Data!S239=""),"",IF(RIGHT(F239,10)="TRANSITION",AVERAGE(Master_Data!R239:Master_Data!S239),AVERAGE(Master_Data!S239,Master_Data!R240)))</f>
        <v/>
      </c>
      <c r="H239" s="20">
        <f>IF(G239="","",MAX(Settings!$B$4,Settings!$B$5*AVERAGE(IF(Master_Data!O239&lt;&gt;"",Master_Data!O239,Master_Data!H239),IF(Master_Data!O240&lt;&gt;"",Master_Data!O240,Master_Data!H240))))</f>
        <v/>
      </c>
      <c r="I239" s="20">
        <f>IF(G239="","",G239-H239)</f>
        <v/>
      </c>
      <c r="J239" s="20">
        <f>IF(G239="","",G239+H239)</f>
        <v/>
      </c>
      <c r="K239" s="20">
        <f>IF($A239="","",Master_Data!G239)</f>
        <v/>
      </c>
      <c r="L239" s="20">
        <f>IF($A239="","",Master_Data!G240)</f>
        <v/>
      </c>
      <c r="M239" s="20">
        <f>IF(AND(ISNUMBER(K239),ISNUMBER(L239)),L239-K239,"")</f>
        <v/>
      </c>
      <c r="N239" s="19">
        <f>IF(G239="","",IF(AND(ISNUMBER(K239),ISNUMBER(L239)),IF(OR(F239="GOC",F239="OWC",F239="GWC",F239="OWC_TRANSITION",F239="GOC_TRANSITION"),IF(L239&gt;=K239,"Supports","Conflicts"),"N/A"),"No Sw"))</f>
        <v/>
      </c>
      <c r="O239" s="20">
        <f>IF(G239="","",Settings!$B$6*IF(OR(F239="GOC",F239="OWC",F239="GWC"),1,0.7)+Settings!$B$7*IF(N239="Supports",1,IF(N239="Conflicts",0,0.5))+Settings!$B$8*IF(AND(Master_Data!R239&lt;&gt;"",Master_Data!S239&lt;&gt;"",Master_Data!R240&lt;&gt;"",Master_Data!S240&lt;&gt;""),1,0.5))</f>
        <v/>
      </c>
      <c r="P239" s="19">
        <f>IF(G239="","",IF(N239="Conflicts","SW_CONFLICT",IF(OR(F239="GOC",F239="OWC",F239="GWC"),"DIRECT_FLUID_TRANSITION","TRANSITION_INTERVAL")))</f>
        <v/>
      </c>
      <c r="Q239" s="19">
        <f>IF(G239="","",IF(N239="Conflicts","Investigate contact interpretation / saturation behaviour",IF(OR(F239="OWC",F239="GOC",F239="GWC"),"Candidate contact — validate with logs, pressure and dynamic evidence","Transition zone — do not force to a sharp contact")))</f>
        <v/>
      </c>
    </row>
    <row r="240">
      <c r="A240" s="19">
        <f>IF(AND(Master_Data!A240&lt;&gt;"",Master_Data!A240=Master_Data!A241),Master_Data!A240,"")</f>
        <v/>
      </c>
      <c r="B240" s="19">
        <f>IF($A240="","",Master_Data!B240)</f>
        <v/>
      </c>
      <c r="C240" s="19">
        <f>IF($A240="","",Master_Data!B241)</f>
        <v/>
      </c>
      <c r="D240" s="19">
        <f>IF($A240="","",Master_Data!Q240)</f>
        <v/>
      </c>
      <c r="E240" s="19">
        <f>IF($A240="","",Master_Data!Q241)</f>
        <v/>
      </c>
      <c r="F240" s="19">
        <f>IF($A240="","",IF(AND(D240="GAS",E240="OIL"),"GOC",IF(AND(D240="OIL",E240="WATER"),"OWC",IF(AND(D240="GAS",E240="WATER"),"GWC",IF(AND(D240="OIL",E240="OIL_WATER"),"OWC_TRANSITION",IF(AND(D240="OIL_WATER",E240="WATER"),"OWC_TRANSITION",IF(AND(D240="GAS",E240="GAS_WATER"),"GOC_TRANSITION",IF(AND(D240="GAS_WATER",E240="OIL"),"GOC_TRANSITION",IF(OR(D240="OIL_WATER",D240="GAS_WATER"),"TRANSITION_INTERVAL","")))))))))</f>
        <v/>
      </c>
      <c r="G240" s="20">
        <f>IF(OR(F240="",Master_Data!R240="",Master_Data!S240=""),"",IF(RIGHT(F240,10)="TRANSITION",AVERAGE(Master_Data!R240:Master_Data!S240),AVERAGE(Master_Data!S240,Master_Data!R241)))</f>
        <v/>
      </c>
      <c r="H240" s="20">
        <f>IF(G240="","",MAX(Settings!$B$4,Settings!$B$5*AVERAGE(IF(Master_Data!O240&lt;&gt;"",Master_Data!O240,Master_Data!H240),IF(Master_Data!O241&lt;&gt;"",Master_Data!O241,Master_Data!H241))))</f>
        <v/>
      </c>
      <c r="I240" s="20">
        <f>IF(G240="","",G240-H240)</f>
        <v/>
      </c>
      <c r="J240" s="20">
        <f>IF(G240="","",G240+H240)</f>
        <v/>
      </c>
      <c r="K240" s="20">
        <f>IF($A240="","",Master_Data!G240)</f>
        <v/>
      </c>
      <c r="L240" s="20">
        <f>IF($A240="","",Master_Data!G241)</f>
        <v/>
      </c>
      <c r="M240" s="20">
        <f>IF(AND(ISNUMBER(K240),ISNUMBER(L240)),L240-K240,"")</f>
        <v/>
      </c>
      <c r="N240" s="19">
        <f>IF(G240="","",IF(AND(ISNUMBER(K240),ISNUMBER(L240)),IF(OR(F240="GOC",F240="OWC",F240="GWC",F240="OWC_TRANSITION",F240="GOC_TRANSITION"),IF(L240&gt;=K240,"Supports","Conflicts"),"N/A"),"No Sw"))</f>
        <v/>
      </c>
      <c r="O240" s="20">
        <f>IF(G240="","",Settings!$B$6*IF(OR(F240="GOC",F240="OWC",F240="GWC"),1,0.7)+Settings!$B$7*IF(N240="Supports",1,IF(N240="Conflicts",0,0.5))+Settings!$B$8*IF(AND(Master_Data!R240&lt;&gt;"",Master_Data!S240&lt;&gt;"",Master_Data!R241&lt;&gt;"",Master_Data!S241&lt;&gt;""),1,0.5))</f>
        <v/>
      </c>
      <c r="P240" s="19">
        <f>IF(G240="","",IF(N240="Conflicts","SW_CONFLICT",IF(OR(F240="GOC",F240="OWC",F240="GWC"),"DIRECT_FLUID_TRANSITION","TRANSITION_INTERVAL")))</f>
        <v/>
      </c>
      <c r="Q240" s="19">
        <f>IF(G240="","",IF(N240="Conflicts","Investigate contact interpretation / saturation behaviour",IF(OR(F240="OWC",F240="GOC",F240="GWC"),"Candidate contact — validate with logs, pressure and dynamic evidence","Transition zone — do not force to a sharp contact")))</f>
        <v/>
      </c>
    </row>
    <row r="241">
      <c r="A241" s="19">
        <f>IF(AND(Master_Data!A241&lt;&gt;"",Master_Data!A241=Master_Data!A242),Master_Data!A241,"")</f>
        <v/>
      </c>
      <c r="B241" s="19">
        <f>IF($A241="","",Master_Data!B241)</f>
        <v/>
      </c>
      <c r="C241" s="19">
        <f>IF($A241="","",Master_Data!B242)</f>
        <v/>
      </c>
      <c r="D241" s="19">
        <f>IF($A241="","",Master_Data!Q241)</f>
        <v/>
      </c>
      <c r="E241" s="19">
        <f>IF($A241="","",Master_Data!Q242)</f>
        <v/>
      </c>
      <c r="F241" s="19">
        <f>IF($A241="","",IF(AND(D241="GAS",E241="OIL"),"GOC",IF(AND(D241="OIL",E241="WATER"),"OWC",IF(AND(D241="GAS",E241="WATER"),"GWC",IF(AND(D241="OIL",E241="OIL_WATER"),"OWC_TRANSITION",IF(AND(D241="OIL_WATER",E241="WATER"),"OWC_TRANSITION",IF(AND(D241="GAS",E241="GAS_WATER"),"GOC_TRANSITION",IF(AND(D241="GAS_WATER",E241="OIL"),"GOC_TRANSITION",IF(OR(D241="OIL_WATER",D241="GAS_WATER"),"TRANSITION_INTERVAL","")))))))))</f>
        <v/>
      </c>
      <c r="G241" s="20">
        <f>IF(OR(F241="",Master_Data!R241="",Master_Data!S241=""),"",IF(RIGHT(F241,10)="TRANSITION",AVERAGE(Master_Data!R241:Master_Data!S241),AVERAGE(Master_Data!S241,Master_Data!R242)))</f>
        <v/>
      </c>
      <c r="H241" s="20">
        <f>IF(G241="","",MAX(Settings!$B$4,Settings!$B$5*AVERAGE(IF(Master_Data!O241&lt;&gt;"",Master_Data!O241,Master_Data!H241),IF(Master_Data!O242&lt;&gt;"",Master_Data!O242,Master_Data!H242))))</f>
        <v/>
      </c>
      <c r="I241" s="20">
        <f>IF(G241="","",G241-H241)</f>
        <v/>
      </c>
      <c r="J241" s="20">
        <f>IF(G241="","",G241+H241)</f>
        <v/>
      </c>
      <c r="K241" s="20">
        <f>IF($A241="","",Master_Data!G241)</f>
        <v/>
      </c>
      <c r="L241" s="20">
        <f>IF($A241="","",Master_Data!G242)</f>
        <v/>
      </c>
      <c r="M241" s="20">
        <f>IF(AND(ISNUMBER(K241),ISNUMBER(L241)),L241-K241,"")</f>
        <v/>
      </c>
      <c r="N241" s="19">
        <f>IF(G241="","",IF(AND(ISNUMBER(K241),ISNUMBER(L241)),IF(OR(F241="GOC",F241="OWC",F241="GWC",F241="OWC_TRANSITION",F241="GOC_TRANSITION"),IF(L241&gt;=K241,"Supports","Conflicts"),"N/A"),"No Sw"))</f>
        <v/>
      </c>
      <c r="O241" s="20">
        <f>IF(G241="","",Settings!$B$6*IF(OR(F241="GOC",F241="OWC",F241="GWC"),1,0.7)+Settings!$B$7*IF(N241="Supports",1,IF(N241="Conflicts",0,0.5))+Settings!$B$8*IF(AND(Master_Data!R241&lt;&gt;"",Master_Data!S241&lt;&gt;"",Master_Data!R242&lt;&gt;"",Master_Data!S242&lt;&gt;""),1,0.5))</f>
        <v/>
      </c>
      <c r="P241" s="19">
        <f>IF(G241="","",IF(N241="Conflicts","SW_CONFLICT",IF(OR(F241="GOC",F241="OWC",F241="GWC"),"DIRECT_FLUID_TRANSITION","TRANSITION_INTERVAL")))</f>
        <v/>
      </c>
      <c r="Q241" s="19">
        <f>IF(G241="","",IF(N241="Conflicts","Investigate contact interpretation / saturation behaviour",IF(OR(F241="OWC",F241="GOC",F241="GWC"),"Candidate contact — validate with logs, pressure and dynamic evidence","Transition zone — do not force to a sharp contact")))</f>
        <v/>
      </c>
    </row>
    <row r="242">
      <c r="A242" s="19">
        <f>IF(AND(Master_Data!A242&lt;&gt;"",Master_Data!A242=Master_Data!A243),Master_Data!A242,"")</f>
        <v/>
      </c>
      <c r="B242" s="19">
        <f>IF($A242="","",Master_Data!B242)</f>
        <v/>
      </c>
      <c r="C242" s="19">
        <f>IF($A242="","",Master_Data!B243)</f>
        <v/>
      </c>
      <c r="D242" s="19">
        <f>IF($A242="","",Master_Data!Q242)</f>
        <v/>
      </c>
      <c r="E242" s="19">
        <f>IF($A242="","",Master_Data!Q243)</f>
        <v/>
      </c>
      <c r="F242" s="19">
        <f>IF($A242="","",IF(AND(D242="GAS",E242="OIL"),"GOC",IF(AND(D242="OIL",E242="WATER"),"OWC",IF(AND(D242="GAS",E242="WATER"),"GWC",IF(AND(D242="OIL",E242="OIL_WATER"),"OWC_TRANSITION",IF(AND(D242="OIL_WATER",E242="WATER"),"OWC_TRANSITION",IF(AND(D242="GAS",E242="GAS_WATER"),"GOC_TRANSITION",IF(AND(D242="GAS_WATER",E242="OIL"),"GOC_TRANSITION",IF(OR(D242="OIL_WATER",D242="GAS_WATER"),"TRANSITION_INTERVAL","")))))))))</f>
        <v/>
      </c>
      <c r="G242" s="20">
        <f>IF(OR(F242="",Master_Data!R242="",Master_Data!S242=""),"",IF(RIGHT(F242,10)="TRANSITION",AVERAGE(Master_Data!R242:Master_Data!S242),AVERAGE(Master_Data!S242,Master_Data!R243)))</f>
        <v/>
      </c>
      <c r="H242" s="20">
        <f>IF(G242="","",MAX(Settings!$B$4,Settings!$B$5*AVERAGE(IF(Master_Data!O242&lt;&gt;"",Master_Data!O242,Master_Data!H242),IF(Master_Data!O243&lt;&gt;"",Master_Data!O243,Master_Data!H243))))</f>
        <v/>
      </c>
      <c r="I242" s="20">
        <f>IF(G242="","",G242-H242)</f>
        <v/>
      </c>
      <c r="J242" s="20">
        <f>IF(G242="","",G242+H242)</f>
        <v/>
      </c>
      <c r="K242" s="20">
        <f>IF($A242="","",Master_Data!G242)</f>
        <v/>
      </c>
      <c r="L242" s="20">
        <f>IF($A242="","",Master_Data!G243)</f>
        <v/>
      </c>
      <c r="M242" s="20">
        <f>IF(AND(ISNUMBER(K242),ISNUMBER(L242)),L242-K242,"")</f>
        <v/>
      </c>
      <c r="N242" s="19">
        <f>IF(G242="","",IF(AND(ISNUMBER(K242),ISNUMBER(L242)),IF(OR(F242="GOC",F242="OWC",F242="GWC",F242="OWC_TRANSITION",F242="GOC_TRANSITION"),IF(L242&gt;=K242,"Supports","Conflicts"),"N/A"),"No Sw"))</f>
        <v/>
      </c>
      <c r="O242" s="20">
        <f>IF(G242="","",Settings!$B$6*IF(OR(F242="GOC",F242="OWC",F242="GWC"),1,0.7)+Settings!$B$7*IF(N242="Supports",1,IF(N242="Conflicts",0,0.5))+Settings!$B$8*IF(AND(Master_Data!R242&lt;&gt;"",Master_Data!S242&lt;&gt;"",Master_Data!R243&lt;&gt;"",Master_Data!S243&lt;&gt;""),1,0.5))</f>
        <v/>
      </c>
      <c r="P242" s="19">
        <f>IF(G242="","",IF(N242="Conflicts","SW_CONFLICT",IF(OR(F242="GOC",F242="OWC",F242="GWC"),"DIRECT_FLUID_TRANSITION","TRANSITION_INTERVAL")))</f>
        <v/>
      </c>
      <c r="Q242" s="19">
        <f>IF(G242="","",IF(N242="Conflicts","Investigate contact interpretation / saturation behaviour",IF(OR(F242="OWC",F242="GOC",F242="GWC"),"Candidate contact — validate with logs, pressure and dynamic evidence","Transition zone — do not force to a sharp contact")))</f>
        <v/>
      </c>
    </row>
    <row r="243">
      <c r="A243" s="19">
        <f>IF(AND(Master_Data!A243&lt;&gt;"",Master_Data!A243=Master_Data!A244),Master_Data!A243,"")</f>
        <v/>
      </c>
      <c r="B243" s="19">
        <f>IF($A243="","",Master_Data!B243)</f>
        <v/>
      </c>
      <c r="C243" s="19">
        <f>IF($A243="","",Master_Data!B244)</f>
        <v/>
      </c>
      <c r="D243" s="19">
        <f>IF($A243="","",Master_Data!Q243)</f>
        <v/>
      </c>
      <c r="E243" s="19">
        <f>IF($A243="","",Master_Data!Q244)</f>
        <v/>
      </c>
      <c r="F243" s="19">
        <f>IF($A243="","",IF(AND(D243="GAS",E243="OIL"),"GOC",IF(AND(D243="OIL",E243="WATER"),"OWC",IF(AND(D243="GAS",E243="WATER"),"GWC",IF(AND(D243="OIL",E243="OIL_WATER"),"OWC_TRANSITION",IF(AND(D243="OIL_WATER",E243="WATER"),"OWC_TRANSITION",IF(AND(D243="GAS",E243="GAS_WATER"),"GOC_TRANSITION",IF(AND(D243="GAS_WATER",E243="OIL"),"GOC_TRANSITION",IF(OR(D243="OIL_WATER",D243="GAS_WATER"),"TRANSITION_INTERVAL","")))))))))</f>
        <v/>
      </c>
      <c r="G243" s="20">
        <f>IF(OR(F243="",Master_Data!R243="",Master_Data!S243=""),"",IF(RIGHT(F243,10)="TRANSITION",AVERAGE(Master_Data!R243:Master_Data!S243),AVERAGE(Master_Data!S243,Master_Data!R244)))</f>
        <v/>
      </c>
      <c r="H243" s="20">
        <f>IF(G243="","",MAX(Settings!$B$4,Settings!$B$5*AVERAGE(IF(Master_Data!O243&lt;&gt;"",Master_Data!O243,Master_Data!H243),IF(Master_Data!O244&lt;&gt;"",Master_Data!O244,Master_Data!H244))))</f>
        <v/>
      </c>
      <c r="I243" s="20">
        <f>IF(G243="","",G243-H243)</f>
        <v/>
      </c>
      <c r="J243" s="20">
        <f>IF(G243="","",G243+H243)</f>
        <v/>
      </c>
      <c r="K243" s="20">
        <f>IF($A243="","",Master_Data!G243)</f>
        <v/>
      </c>
      <c r="L243" s="20">
        <f>IF($A243="","",Master_Data!G244)</f>
        <v/>
      </c>
      <c r="M243" s="20">
        <f>IF(AND(ISNUMBER(K243),ISNUMBER(L243)),L243-K243,"")</f>
        <v/>
      </c>
      <c r="N243" s="19">
        <f>IF(G243="","",IF(AND(ISNUMBER(K243),ISNUMBER(L243)),IF(OR(F243="GOC",F243="OWC",F243="GWC",F243="OWC_TRANSITION",F243="GOC_TRANSITION"),IF(L243&gt;=K243,"Supports","Conflicts"),"N/A"),"No Sw"))</f>
        <v/>
      </c>
      <c r="O243" s="20">
        <f>IF(G243="","",Settings!$B$6*IF(OR(F243="GOC",F243="OWC",F243="GWC"),1,0.7)+Settings!$B$7*IF(N243="Supports",1,IF(N243="Conflicts",0,0.5))+Settings!$B$8*IF(AND(Master_Data!R243&lt;&gt;"",Master_Data!S243&lt;&gt;"",Master_Data!R244&lt;&gt;"",Master_Data!S244&lt;&gt;""),1,0.5))</f>
        <v/>
      </c>
      <c r="P243" s="19">
        <f>IF(G243="","",IF(N243="Conflicts","SW_CONFLICT",IF(OR(F243="GOC",F243="OWC",F243="GWC"),"DIRECT_FLUID_TRANSITION","TRANSITION_INTERVAL")))</f>
        <v/>
      </c>
      <c r="Q243" s="19">
        <f>IF(G243="","",IF(N243="Conflicts","Investigate contact interpretation / saturation behaviour",IF(OR(F243="OWC",F243="GOC",F243="GWC"),"Candidate contact — validate with logs, pressure and dynamic evidence","Transition zone — do not force to a sharp contact")))</f>
        <v/>
      </c>
    </row>
    <row r="244">
      <c r="A244" s="19">
        <f>IF(AND(Master_Data!A244&lt;&gt;"",Master_Data!A244=Master_Data!A245),Master_Data!A244,"")</f>
        <v/>
      </c>
      <c r="B244" s="19">
        <f>IF($A244="","",Master_Data!B244)</f>
        <v/>
      </c>
      <c r="C244" s="19">
        <f>IF($A244="","",Master_Data!B245)</f>
        <v/>
      </c>
      <c r="D244" s="19">
        <f>IF($A244="","",Master_Data!Q244)</f>
        <v/>
      </c>
      <c r="E244" s="19">
        <f>IF($A244="","",Master_Data!Q245)</f>
        <v/>
      </c>
      <c r="F244" s="19">
        <f>IF($A244="","",IF(AND(D244="GAS",E244="OIL"),"GOC",IF(AND(D244="OIL",E244="WATER"),"OWC",IF(AND(D244="GAS",E244="WATER"),"GWC",IF(AND(D244="OIL",E244="OIL_WATER"),"OWC_TRANSITION",IF(AND(D244="OIL_WATER",E244="WATER"),"OWC_TRANSITION",IF(AND(D244="GAS",E244="GAS_WATER"),"GOC_TRANSITION",IF(AND(D244="GAS_WATER",E244="OIL"),"GOC_TRANSITION",IF(OR(D244="OIL_WATER",D244="GAS_WATER"),"TRANSITION_INTERVAL","")))))))))</f>
        <v/>
      </c>
      <c r="G244" s="20">
        <f>IF(OR(F244="",Master_Data!R244="",Master_Data!S244=""),"",IF(RIGHT(F244,10)="TRANSITION",AVERAGE(Master_Data!R244:Master_Data!S244),AVERAGE(Master_Data!S244,Master_Data!R245)))</f>
        <v/>
      </c>
      <c r="H244" s="20">
        <f>IF(G244="","",MAX(Settings!$B$4,Settings!$B$5*AVERAGE(IF(Master_Data!O244&lt;&gt;"",Master_Data!O244,Master_Data!H244),IF(Master_Data!O245&lt;&gt;"",Master_Data!O245,Master_Data!H245))))</f>
        <v/>
      </c>
      <c r="I244" s="20">
        <f>IF(G244="","",G244-H244)</f>
        <v/>
      </c>
      <c r="J244" s="20">
        <f>IF(G244="","",G244+H244)</f>
        <v/>
      </c>
      <c r="K244" s="20">
        <f>IF($A244="","",Master_Data!G244)</f>
        <v/>
      </c>
      <c r="L244" s="20">
        <f>IF($A244="","",Master_Data!G245)</f>
        <v/>
      </c>
      <c r="M244" s="20">
        <f>IF(AND(ISNUMBER(K244),ISNUMBER(L244)),L244-K244,"")</f>
        <v/>
      </c>
      <c r="N244" s="19">
        <f>IF(G244="","",IF(AND(ISNUMBER(K244),ISNUMBER(L244)),IF(OR(F244="GOC",F244="OWC",F244="GWC",F244="OWC_TRANSITION",F244="GOC_TRANSITION"),IF(L244&gt;=K244,"Supports","Conflicts"),"N/A"),"No Sw"))</f>
        <v/>
      </c>
      <c r="O244" s="20">
        <f>IF(G244="","",Settings!$B$6*IF(OR(F244="GOC",F244="OWC",F244="GWC"),1,0.7)+Settings!$B$7*IF(N244="Supports",1,IF(N244="Conflicts",0,0.5))+Settings!$B$8*IF(AND(Master_Data!R244&lt;&gt;"",Master_Data!S244&lt;&gt;"",Master_Data!R245&lt;&gt;"",Master_Data!S245&lt;&gt;""),1,0.5))</f>
        <v/>
      </c>
      <c r="P244" s="19">
        <f>IF(G244="","",IF(N244="Conflicts","SW_CONFLICT",IF(OR(F244="GOC",F244="OWC",F244="GWC"),"DIRECT_FLUID_TRANSITION","TRANSITION_INTERVAL")))</f>
        <v/>
      </c>
      <c r="Q244" s="19">
        <f>IF(G244="","",IF(N244="Conflicts","Investigate contact interpretation / saturation behaviour",IF(OR(F244="OWC",F244="GOC",F244="GWC"),"Candidate contact — validate with logs, pressure and dynamic evidence","Transition zone — do not force to a sharp contact")))</f>
        <v/>
      </c>
    </row>
    <row r="245">
      <c r="A245" s="19">
        <f>IF(AND(Master_Data!A245&lt;&gt;"",Master_Data!A245=Master_Data!A246),Master_Data!A245,"")</f>
        <v/>
      </c>
      <c r="B245" s="19">
        <f>IF($A245="","",Master_Data!B245)</f>
        <v/>
      </c>
      <c r="C245" s="19">
        <f>IF($A245="","",Master_Data!B246)</f>
        <v/>
      </c>
      <c r="D245" s="19">
        <f>IF($A245="","",Master_Data!Q245)</f>
        <v/>
      </c>
      <c r="E245" s="19">
        <f>IF($A245="","",Master_Data!Q246)</f>
        <v/>
      </c>
      <c r="F245" s="19">
        <f>IF($A245="","",IF(AND(D245="GAS",E245="OIL"),"GOC",IF(AND(D245="OIL",E245="WATER"),"OWC",IF(AND(D245="GAS",E245="WATER"),"GWC",IF(AND(D245="OIL",E245="OIL_WATER"),"OWC_TRANSITION",IF(AND(D245="OIL_WATER",E245="WATER"),"OWC_TRANSITION",IF(AND(D245="GAS",E245="GAS_WATER"),"GOC_TRANSITION",IF(AND(D245="GAS_WATER",E245="OIL"),"GOC_TRANSITION",IF(OR(D245="OIL_WATER",D245="GAS_WATER"),"TRANSITION_INTERVAL","")))))))))</f>
        <v/>
      </c>
      <c r="G245" s="20">
        <f>IF(OR(F245="",Master_Data!R245="",Master_Data!S245=""),"",IF(RIGHT(F245,10)="TRANSITION",AVERAGE(Master_Data!R245:Master_Data!S245),AVERAGE(Master_Data!S245,Master_Data!R246)))</f>
        <v/>
      </c>
      <c r="H245" s="20">
        <f>IF(G245="","",MAX(Settings!$B$4,Settings!$B$5*AVERAGE(IF(Master_Data!O245&lt;&gt;"",Master_Data!O245,Master_Data!H245),IF(Master_Data!O246&lt;&gt;"",Master_Data!O246,Master_Data!H246))))</f>
        <v/>
      </c>
      <c r="I245" s="20">
        <f>IF(G245="","",G245-H245)</f>
        <v/>
      </c>
      <c r="J245" s="20">
        <f>IF(G245="","",G245+H245)</f>
        <v/>
      </c>
      <c r="K245" s="20">
        <f>IF($A245="","",Master_Data!G245)</f>
        <v/>
      </c>
      <c r="L245" s="20">
        <f>IF($A245="","",Master_Data!G246)</f>
        <v/>
      </c>
      <c r="M245" s="20">
        <f>IF(AND(ISNUMBER(K245),ISNUMBER(L245)),L245-K245,"")</f>
        <v/>
      </c>
      <c r="N245" s="19">
        <f>IF(G245="","",IF(AND(ISNUMBER(K245),ISNUMBER(L245)),IF(OR(F245="GOC",F245="OWC",F245="GWC",F245="OWC_TRANSITION",F245="GOC_TRANSITION"),IF(L245&gt;=K245,"Supports","Conflicts"),"N/A"),"No Sw"))</f>
        <v/>
      </c>
      <c r="O245" s="20">
        <f>IF(G245="","",Settings!$B$6*IF(OR(F245="GOC",F245="OWC",F245="GWC"),1,0.7)+Settings!$B$7*IF(N245="Supports",1,IF(N245="Conflicts",0,0.5))+Settings!$B$8*IF(AND(Master_Data!R245&lt;&gt;"",Master_Data!S245&lt;&gt;"",Master_Data!R246&lt;&gt;"",Master_Data!S246&lt;&gt;""),1,0.5))</f>
        <v/>
      </c>
      <c r="P245" s="19">
        <f>IF(G245="","",IF(N245="Conflicts","SW_CONFLICT",IF(OR(F245="GOC",F245="OWC",F245="GWC"),"DIRECT_FLUID_TRANSITION","TRANSITION_INTERVAL")))</f>
        <v/>
      </c>
      <c r="Q245" s="19">
        <f>IF(G245="","",IF(N245="Conflicts","Investigate contact interpretation / saturation behaviour",IF(OR(F245="OWC",F245="GOC",F245="GWC"),"Candidate contact — validate with logs, pressure and dynamic evidence","Transition zone — do not force to a sharp contact")))</f>
        <v/>
      </c>
    </row>
    <row r="246">
      <c r="A246" s="19">
        <f>IF(AND(Master_Data!A246&lt;&gt;"",Master_Data!A246=Master_Data!A247),Master_Data!A246,"")</f>
        <v/>
      </c>
      <c r="B246" s="19">
        <f>IF($A246="","",Master_Data!B246)</f>
        <v/>
      </c>
      <c r="C246" s="19">
        <f>IF($A246="","",Master_Data!B247)</f>
        <v/>
      </c>
      <c r="D246" s="19">
        <f>IF($A246="","",Master_Data!Q246)</f>
        <v/>
      </c>
      <c r="E246" s="19">
        <f>IF($A246="","",Master_Data!Q247)</f>
        <v/>
      </c>
      <c r="F246" s="19">
        <f>IF($A246="","",IF(AND(D246="GAS",E246="OIL"),"GOC",IF(AND(D246="OIL",E246="WATER"),"OWC",IF(AND(D246="GAS",E246="WATER"),"GWC",IF(AND(D246="OIL",E246="OIL_WATER"),"OWC_TRANSITION",IF(AND(D246="OIL_WATER",E246="WATER"),"OWC_TRANSITION",IF(AND(D246="GAS",E246="GAS_WATER"),"GOC_TRANSITION",IF(AND(D246="GAS_WATER",E246="OIL"),"GOC_TRANSITION",IF(OR(D246="OIL_WATER",D246="GAS_WATER"),"TRANSITION_INTERVAL","")))))))))</f>
        <v/>
      </c>
      <c r="G246" s="20">
        <f>IF(OR(F246="",Master_Data!R246="",Master_Data!S246=""),"",IF(RIGHT(F246,10)="TRANSITION",AVERAGE(Master_Data!R246:Master_Data!S246),AVERAGE(Master_Data!S246,Master_Data!R247)))</f>
        <v/>
      </c>
      <c r="H246" s="20">
        <f>IF(G246="","",MAX(Settings!$B$4,Settings!$B$5*AVERAGE(IF(Master_Data!O246&lt;&gt;"",Master_Data!O246,Master_Data!H246),IF(Master_Data!O247&lt;&gt;"",Master_Data!O247,Master_Data!H247))))</f>
        <v/>
      </c>
      <c r="I246" s="20">
        <f>IF(G246="","",G246-H246)</f>
        <v/>
      </c>
      <c r="J246" s="20">
        <f>IF(G246="","",G246+H246)</f>
        <v/>
      </c>
      <c r="K246" s="20">
        <f>IF($A246="","",Master_Data!G246)</f>
        <v/>
      </c>
      <c r="L246" s="20">
        <f>IF($A246="","",Master_Data!G247)</f>
        <v/>
      </c>
      <c r="M246" s="20">
        <f>IF(AND(ISNUMBER(K246),ISNUMBER(L246)),L246-K246,"")</f>
        <v/>
      </c>
      <c r="N246" s="19">
        <f>IF(G246="","",IF(AND(ISNUMBER(K246),ISNUMBER(L246)),IF(OR(F246="GOC",F246="OWC",F246="GWC",F246="OWC_TRANSITION",F246="GOC_TRANSITION"),IF(L246&gt;=K246,"Supports","Conflicts"),"N/A"),"No Sw"))</f>
        <v/>
      </c>
      <c r="O246" s="20">
        <f>IF(G246="","",Settings!$B$6*IF(OR(F246="GOC",F246="OWC",F246="GWC"),1,0.7)+Settings!$B$7*IF(N246="Supports",1,IF(N246="Conflicts",0,0.5))+Settings!$B$8*IF(AND(Master_Data!R246&lt;&gt;"",Master_Data!S246&lt;&gt;"",Master_Data!R247&lt;&gt;"",Master_Data!S247&lt;&gt;""),1,0.5))</f>
        <v/>
      </c>
      <c r="P246" s="19">
        <f>IF(G246="","",IF(N246="Conflicts","SW_CONFLICT",IF(OR(F246="GOC",F246="OWC",F246="GWC"),"DIRECT_FLUID_TRANSITION","TRANSITION_INTERVAL")))</f>
        <v/>
      </c>
      <c r="Q246" s="19">
        <f>IF(G246="","",IF(N246="Conflicts","Investigate contact interpretation / saturation behaviour",IF(OR(F246="OWC",F246="GOC",F246="GWC"),"Candidate contact — validate with logs, pressure and dynamic evidence","Transition zone — do not force to a sharp contact")))</f>
        <v/>
      </c>
    </row>
    <row r="247">
      <c r="A247" s="19">
        <f>IF(AND(Master_Data!A247&lt;&gt;"",Master_Data!A247=Master_Data!A248),Master_Data!A247,"")</f>
        <v/>
      </c>
      <c r="B247" s="19">
        <f>IF($A247="","",Master_Data!B247)</f>
        <v/>
      </c>
      <c r="C247" s="19">
        <f>IF($A247="","",Master_Data!B248)</f>
        <v/>
      </c>
      <c r="D247" s="19">
        <f>IF($A247="","",Master_Data!Q247)</f>
        <v/>
      </c>
      <c r="E247" s="19">
        <f>IF($A247="","",Master_Data!Q248)</f>
        <v/>
      </c>
      <c r="F247" s="19">
        <f>IF($A247="","",IF(AND(D247="GAS",E247="OIL"),"GOC",IF(AND(D247="OIL",E247="WATER"),"OWC",IF(AND(D247="GAS",E247="WATER"),"GWC",IF(AND(D247="OIL",E247="OIL_WATER"),"OWC_TRANSITION",IF(AND(D247="OIL_WATER",E247="WATER"),"OWC_TRANSITION",IF(AND(D247="GAS",E247="GAS_WATER"),"GOC_TRANSITION",IF(AND(D247="GAS_WATER",E247="OIL"),"GOC_TRANSITION",IF(OR(D247="OIL_WATER",D247="GAS_WATER"),"TRANSITION_INTERVAL","")))))))))</f>
        <v/>
      </c>
      <c r="G247" s="20">
        <f>IF(OR(F247="",Master_Data!R247="",Master_Data!S247=""),"",IF(RIGHT(F247,10)="TRANSITION",AVERAGE(Master_Data!R247:Master_Data!S247),AVERAGE(Master_Data!S247,Master_Data!R248)))</f>
        <v/>
      </c>
      <c r="H247" s="20">
        <f>IF(G247="","",MAX(Settings!$B$4,Settings!$B$5*AVERAGE(IF(Master_Data!O247&lt;&gt;"",Master_Data!O247,Master_Data!H247),IF(Master_Data!O248&lt;&gt;"",Master_Data!O248,Master_Data!H248))))</f>
        <v/>
      </c>
      <c r="I247" s="20">
        <f>IF(G247="","",G247-H247)</f>
        <v/>
      </c>
      <c r="J247" s="20">
        <f>IF(G247="","",G247+H247)</f>
        <v/>
      </c>
      <c r="K247" s="20">
        <f>IF($A247="","",Master_Data!G247)</f>
        <v/>
      </c>
      <c r="L247" s="20">
        <f>IF($A247="","",Master_Data!G248)</f>
        <v/>
      </c>
      <c r="M247" s="20">
        <f>IF(AND(ISNUMBER(K247),ISNUMBER(L247)),L247-K247,"")</f>
        <v/>
      </c>
      <c r="N247" s="19">
        <f>IF(G247="","",IF(AND(ISNUMBER(K247),ISNUMBER(L247)),IF(OR(F247="GOC",F247="OWC",F247="GWC",F247="OWC_TRANSITION",F247="GOC_TRANSITION"),IF(L247&gt;=K247,"Supports","Conflicts"),"N/A"),"No Sw"))</f>
        <v/>
      </c>
      <c r="O247" s="20">
        <f>IF(G247="","",Settings!$B$6*IF(OR(F247="GOC",F247="OWC",F247="GWC"),1,0.7)+Settings!$B$7*IF(N247="Supports",1,IF(N247="Conflicts",0,0.5))+Settings!$B$8*IF(AND(Master_Data!R247&lt;&gt;"",Master_Data!S247&lt;&gt;"",Master_Data!R248&lt;&gt;"",Master_Data!S248&lt;&gt;""),1,0.5))</f>
        <v/>
      </c>
      <c r="P247" s="19">
        <f>IF(G247="","",IF(N247="Conflicts","SW_CONFLICT",IF(OR(F247="GOC",F247="OWC",F247="GWC"),"DIRECT_FLUID_TRANSITION","TRANSITION_INTERVAL")))</f>
        <v/>
      </c>
      <c r="Q247" s="19">
        <f>IF(G247="","",IF(N247="Conflicts","Investigate contact interpretation / saturation behaviour",IF(OR(F247="OWC",F247="GOC",F247="GWC"),"Candidate contact — validate with logs, pressure and dynamic evidence","Transition zone — do not force to a sharp contact")))</f>
        <v/>
      </c>
    </row>
    <row r="248">
      <c r="A248" s="19">
        <f>IF(AND(Master_Data!A248&lt;&gt;"",Master_Data!A248=Master_Data!A249),Master_Data!A248,"")</f>
        <v/>
      </c>
      <c r="B248" s="19">
        <f>IF($A248="","",Master_Data!B248)</f>
        <v/>
      </c>
      <c r="C248" s="19">
        <f>IF($A248="","",Master_Data!B249)</f>
        <v/>
      </c>
      <c r="D248" s="19">
        <f>IF($A248="","",Master_Data!Q248)</f>
        <v/>
      </c>
      <c r="E248" s="19">
        <f>IF($A248="","",Master_Data!Q249)</f>
        <v/>
      </c>
      <c r="F248" s="19">
        <f>IF($A248="","",IF(AND(D248="GAS",E248="OIL"),"GOC",IF(AND(D248="OIL",E248="WATER"),"OWC",IF(AND(D248="GAS",E248="WATER"),"GWC",IF(AND(D248="OIL",E248="OIL_WATER"),"OWC_TRANSITION",IF(AND(D248="OIL_WATER",E248="WATER"),"OWC_TRANSITION",IF(AND(D248="GAS",E248="GAS_WATER"),"GOC_TRANSITION",IF(AND(D248="GAS_WATER",E248="OIL"),"GOC_TRANSITION",IF(OR(D248="OIL_WATER",D248="GAS_WATER"),"TRANSITION_INTERVAL","")))))))))</f>
        <v/>
      </c>
      <c r="G248" s="20">
        <f>IF(OR(F248="",Master_Data!R248="",Master_Data!S248=""),"",IF(RIGHT(F248,10)="TRANSITION",AVERAGE(Master_Data!R248:Master_Data!S248),AVERAGE(Master_Data!S248,Master_Data!R249)))</f>
        <v/>
      </c>
      <c r="H248" s="20">
        <f>IF(G248="","",MAX(Settings!$B$4,Settings!$B$5*AVERAGE(IF(Master_Data!O248&lt;&gt;"",Master_Data!O248,Master_Data!H248),IF(Master_Data!O249&lt;&gt;"",Master_Data!O249,Master_Data!H249))))</f>
        <v/>
      </c>
      <c r="I248" s="20">
        <f>IF(G248="","",G248-H248)</f>
        <v/>
      </c>
      <c r="J248" s="20">
        <f>IF(G248="","",G248+H248)</f>
        <v/>
      </c>
      <c r="K248" s="20">
        <f>IF($A248="","",Master_Data!G248)</f>
        <v/>
      </c>
      <c r="L248" s="20">
        <f>IF($A248="","",Master_Data!G249)</f>
        <v/>
      </c>
      <c r="M248" s="20">
        <f>IF(AND(ISNUMBER(K248),ISNUMBER(L248)),L248-K248,"")</f>
        <v/>
      </c>
      <c r="N248" s="19">
        <f>IF(G248="","",IF(AND(ISNUMBER(K248),ISNUMBER(L248)),IF(OR(F248="GOC",F248="OWC",F248="GWC",F248="OWC_TRANSITION",F248="GOC_TRANSITION"),IF(L248&gt;=K248,"Supports","Conflicts"),"N/A"),"No Sw"))</f>
        <v/>
      </c>
      <c r="O248" s="20">
        <f>IF(G248="","",Settings!$B$6*IF(OR(F248="GOC",F248="OWC",F248="GWC"),1,0.7)+Settings!$B$7*IF(N248="Supports",1,IF(N248="Conflicts",0,0.5))+Settings!$B$8*IF(AND(Master_Data!R248&lt;&gt;"",Master_Data!S248&lt;&gt;"",Master_Data!R249&lt;&gt;"",Master_Data!S249&lt;&gt;""),1,0.5))</f>
        <v/>
      </c>
      <c r="P248" s="19">
        <f>IF(G248="","",IF(N248="Conflicts","SW_CONFLICT",IF(OR(F248="GOC",F248="OWC",F248="GWC"),"DIRECT_FLUID_TRANSITION","TRANSITION_INTERVAL")))</f>
        <v/>
      </c>
      <c r="Q248" s="19">
        <f>IF(G248="","",IF(N248="Conflicts","Investigate contact interpretation / saturation behaviour",IF(OR(F248="OWC",F248="GOC",F248="GWC"),"Candidate contact — validate with logs, pressure and dynamic evidence","Transition zone — do not force to a sharp contact")))</f>
        <v/>
      </c>
    </row>
    <row r="249">
      <c r="A249" s="19">
        <f>IF(AND(Master_Data!A249&lt;&gt;"",Master_Data!A249=Master_Data!A250),Master_Data!A249,"")</f>
        <v/>
      </c>
      <c r="B249" s="19">
        <f>IF($A249="","",Master_Data!B249)</f>
        <v/>
      </c>
      <c r="C249" s="19">
        <f>IF($A249="","",Master_Data!B250)</f>
        <v/>
      </c>
      <c r="D249" s="19">
        <f>IF($A249="","",Master_Data!Q249)</f>
        <v/>
      </c>
      <c r="E249" s="19">
        <f>IF($A249="","",Master_Data!Q250)</f>
        <v/>
      </c>
      <c r="F249" s="19">
        <f>IF($A249="","",IF(AND(D249="GAS",E249="OIL"),"GOC",IF(AND(D249="OIL",E249="WATER"),"OWC",IF(AND(D249="GAS",E249="WATER"),"GWC",IF(AND(D249="OIL",E249="OIL_WATER"),"OWC_TRANSITION",IF(AND(D249="OIL_WATER",E249="WATER"),"OWC_TRANSITION",IF(AND(D249="GAS",E249="GAS_WATER"),"GOC_TRANSITION",IF(AND(D249="GAS_WATER",E249="OIL"),"GOC_TRANSITION",IF(OR(D249="OIL_WATER",D249="GAS_WATER"),"TRANSITION_INTERVAL","")))))))))</f>
        <v/>
      </c>
      <c r="G249" s="20">
        <f>IF(OR(F249="",Master_Data!R249="",Master_Data!S249=""),"",IF(RIGHT(F249,10)="TRANSITION",AVERAGE(Master_Data!R249:Master_Data!S249),AVERAGE(Master_Data!S249,Master_Data!R250)))</f>
        <v/>
      </c>
      <c r="H249" s="20">
        <f>IF(G249="","",MAX(Settings!$B$4,Settings!$B$5*AVERAGE(IF(Master_Data!O249&lt;&gt;"",Master_Data!O249,Master_Data!H249),IF(Master_Data!O250&lt;&gt;"",Master_Data!O250,Master_Data!H250))))</f>
        <v/>
      </c>
      <c r="I249" s="20">
        <f>IF(G249="","",G249-H249)</f>
        <v/>
      </c>
      <c r="J249" s="20">
        <f>IF(G249="","",G249+H249)</f>
        <v/>
      </c>
      <c r="K249" s="20">
        <f>IF($A249="","",Master_Data!G249)</f>
        <v/>
      </c>
      <c r="L249" s="20">
        <f>IF($A249="","",Master_Data!G250)</f>
        <v/>
      </c>
      <c r="M249" s="20">
        <f>IF(AND(ISNUMBER(K249),ISNUMBER(L249)),L249-K249,"")</f>
        <v/>
      </c>
      <c r="N249" s="19">
        <f>IF(G249="","",IF(AND(ISNUMBER(K249),ISNUMBER(L249)),IF(OR(F249="GOC",F249="OWC",F249="GWC",F249="OWC_TRANSITION",F249="GOC_TRANSITION"),IF(L249&gt;=K249,"Supports","Conflicts"),"N/A"),"No Sw"))</f>
        <v/>
      </c>
      <c r="O249" s="20">
        <f>IF(G249="","",Settings!$B$6*IF(OR(F249="GOC",F249="OWC",F249="GWC"),1,0.7)+Settings!$B$7*IF(N249="Supports",1,IF(N249="Conflicts",0,0.5))+Settings!$B$8*IF(AND(Master_Data!R249&lt;&gt;"",Master_Data!S249&lt;&gt;"",Master_Data!R250&lt;&gt;"",Master_Data!S250&lt;&gt;""),1,0.5))</f>
        <v/>
      </c>
      <c r="P249" s="19">
        <f>IF(G249="","",IF(N249="Conflicts","SW_CONFLICT",IF(OR(F249="GOC",F249="OWC",F249="GWC"),"DIRECT_FLUID_TRANSITION","TRANSITION_INTERVAL")))</f>
        <v/>
      </c>
      <c r="Q249" s="19">
        <f>IF(G249="","",IF(N249="Conflicts","Investigate contact interpretation / saturation behaviour",IF(OR(F249="OWC",F249="GOC",F249="GWC"),"Candidate contact — validate with logs, pressure and dynamic evidence","Transition zone — do not force to a sharp contact")))</f>
        <v/>
      </c>
    </row>
    <row r="250">
      <c r="A250" s="19">
        <f>IF(AND(Master_Data!A250&lt;&gt;"",Master_Data!A250=Master_Data!A251),Master_Data!A250,"")</f>
        <v/>
      </c>
      <c r="B250" s="19">
        <f>IF($A250="","",Master_Data!B250)</f>
        <v/>
      </c>
      <c r="C250" s="19">
        <f>IF($A250="","",Master_Data!B251)</f>
        <v/>
      </c>
      <c r="D250" s="19">
        <f>IF($A250="","",Master_Data!Q250)</f>
        <v/>
      </c>
      <c r="E250" s="19">
        <f>IF($A250="","",Master_Data!Q251)</f>
        <v/>
      </c>
      <c r="F250" s="19">
        <f>IF($A250="","",IF(AND(D250="GAS",E250="OIL"),"GOC",IF(AND(D250="OIL",E250="WATER"),"OWC",IF(AND(D250="GAS",E250="WATER"),"GWC",IF(AND(D250="OIL",E250="OIL_WATER"),"OWC_TRANSITION",IF(AND(D250="OIL_WATER",E250="WATER"),"OWC_TRANSITION",IF(AND(D250="GAS",E250="GAS_WATER"),"GOC_TRANSITION",IF(AND(D250="GAS_WATER",E250="OIL"),"GOC_TRANSITION",IF(OR(D250="OIL_WATER",D250="GAS_WATER"),"TRANSITION_INTERVAL","")))))))))</f>
        <v/>
      </c>
      <c r="G250" s="20">
        <f>IF(OR(F250="",Master_Data!R250="",Master_Data!S250=""),"",IF(RIGHT(F250,10)="TRANSITION",AVERAGE(Master_Data!R250:Master_Data!S250),AVERAGE(Master_Data!S250,Master_Data!R251)))</f>
        <v/>
      </c>
      <c r="H250" s="20">
        <f>IF(G250="","",MAX(Settings!$B$4,Settings!$B$5*AVERAGE(IF(Master_Data!O250&lt;&gt;"",Master_Data!O250,Master_Data!H250),IF(Master_Data!O251&lt;&gt;"",Master_Data!O251,Master_Data!H251))))</f>
        <v/>
      </c>
      <c r="I250" s="20">
        <f>IF(G250="","",G250-H250)</f>
        <v/>
      </c>
      <c r="J250" s="20">
        <f>IF(G250="","",G250+H250)</f>
        <v/>
      </c>
      <c r="K250" s="20">
        <f>IF($A250="","",Master_Data!G250)</f>
        <v/>
      </c>
      <c r="L250" s="20">
        <f>IF($A250="","",Master_Data!G251)</f>
        <v/>
      </c>
      <c r="M250" s="20">
        <f>IF(AND(ISNUMBER(K250),ISNUMBER(L250)),L250-K250,"")</f>
        <v/>
      </c>
      <c r="N250" s="19">
        <f>IF(G250="","",IF(AND(ISNUMBER(K250),ISNUMBER(L250)),IF(OR(F250="GOC",F250="OWC",F250="GWC",F250="OWC_TRANSITION",F250="GOC_TRANSITION"),IF(L250&gt;=K250,"Supports","Conflicts"),"N/A"),"No Sw"))</f>
        <v/>
      </c>
      <c r="O250" s="20">
        <f>IF(G250="","",Settings!$B$6*IF(OR(F250="GOC",F250="OWC",F250="GWC"),1,0.7)+Settings!$B$7*IF(N250="Supports",1,IF(N250="Conflicts",0,0.5))+Settings!$B$8*IF(AND(Master_Data!R250&lt;&gt;"",Master_Data!S250&lt;&gt;"",Master_Data!R251&lt;&gt;"",Master_Data!S251&lt;&gt;""),1,0.5))</f>
        <v/>
      </c>
      <c r="P250" s="19">
        <f>IF(G250="","",IF(N250="Conflicts","SW_CONFLICT",IF(OR(F250="GOC",F250="OWC",F250="GWC"),"DIRECT_FLUID_TRANSITION","TRANSITION_INTERVAL")))</f>
        <v/>
      </c>
      <c r="Q250" s="19">
        <f>IF(G250="","",IF(N250="Conflicts","Investigate contact interpretation / saturation behaviour",IF(OR(F250="OWC",F250="GOC",F250="GWC"),"Candidate contact — validate with logs, pressure and dynamic evidence","Transition zone — do not force to a sharp contact")))</f>
        <v/>
      </c>
    </row>
    <row r="251">
      <c r="A251" s="19">
        <f>IF(AND(Master_Data!A251&lt;&gt;"",Master_Data!A251=Master_Data!A252),Master_Data!A251,"")</f>
        <v/>
      </c>
      <c r="B251" s="19">
        <f>IF($A251="","",Master_Data!B251)</f>
        <v/>
      </c>
      <c r="C251" s="19">
        <f>IF($A251="","",Master_Data!B252)</f>
        <v/>
      </c>
      <c r="D251" s="19">
        <f>IF($A251="","",Master_Data!Q251)</f>
        <v/>
      </c>
      <c r="E251" s="19">
        <f>IF($A251="","",Master_Data!Q252)</f>
        <v/>
      </c>
      <c r="F251" s="19">
        <f>IF($A251="","",IF(AND(D251="GAS",E251="OIL"),"GOC",IF(AND(D251="OIL",E251="WATER"),"OWC",IF(AND(D251="GAS",E251="WATER"),"GWC",IF(AND(D251="OIL",E251="OIL_WATER"),"OWC_TRANSITION",IF(AND(D251="OIL_WATER",E251="WATER"),"OWC_TRANSITION",IF(AND(D251="GAS",E251="GAS_WATER"),"GOC_TRANSITION",IF(AND(D251="GAS_WATER",E251="OIL"),"GOC_TRANSITION",IF(OR(D251="OIL_WATER",D251="GAS_WATER"),"TRANSITION_INTERVAL","")))))))))</f>
        <v/>
      </c>
      <c r="G251" s="20">
        <f>IF(OR(F251="",Master_Data!R251="",Master_Data!S251=""),"",IF(RIGHT(F251,10)="TRANSITION",AVERAGE(Master_Data!R251:Master_Data!S251),AVERAGE(Master_Data!S251,Master_Data!R252)))</f>
        <v/>
      </c>
      <c r="H251" s="20">
        <f>IF(G251="","",MAX(Settings!$B$4,Settings!$B$5*AVERAGE(IF(Master_Data!O251&lt;&gt;"",Master_Data!O251,Master_Data!H251),IF(Master_Data!O252&lt;&gt;"",Master_Data!O252,Master_Data!H252))))</f>
        <v/>
      </c>
      <c r="I251" s="20">
        <f>IF(G251="","",G251-H251)</f>
        <v/>
      </c>
      <c r="J251" s="20">
        <f>IF(G251="","",G251+H251)</f>
        <v/>
      </c>
      <c r="K251" s="20">
        <f>IF($A251="","",Master_Data!G251)</f>
        <v/>
      </c>
      <c r="L251" s="20">
        <f>IF($A251="","",Master_Data!G252)</f>
        <v/>
      </c>
      <c r="M251" s="20">
        <f>IF(AND(ISNUMBER(K251),ISNUMBER(L251)),L251-K251,"")</f>
        <v/>
      </c>
      <c r="N251" s="19">
        <f>IF(G251="","",IF(AND(ISNUMBER(K251),ISNUMBER(L251)),IF(OR(F251="GOC",F251="OWC",F251="GWC",F251="OWC_TRANSITION",F251="GOC_TRANSITION"),IF(L251&gt;=K251,"Supports","Conflicts"),"N/A"),"No Sw"))</f>
        <v/>
      </c>
      <c r="O251" s="20">
        <f>IF(G251="","",Settings!$B$6*IF(OR(F251="GOC",F251="OWC",F251="GWC"),1,0.7)+Settings!$B$7*IF(N251="Supports",1,IF(N251="Conflicts",0,0.5))+Settings!$B$8*IF(AND(Master_Data!R251&lt;&gt;"",Master_Data!S251&lt;&gt;"",Master_Data!R252&lt;&gt;"",Master_Data!S252&lt;&gt;""),1,0.5))</f>
        <v/>
      </c>
      <c r="P251" s="19">
        <f>IF(G251="","",IF(N251="Conflicts","SW_CONFLICT",IF(OR(F251="GOC",F251="OWC",F251="GWC"),"DIRECT_FLUID_TRANSITION","TRANSITION_INTERVAL")))</f>
        <v/>
      </c>
      <c r="Q251" s="19">
        <f>IF(G251="","",IF(N251="Conflicts","Investigate contact interpretation / saturation behaviour",IF(OR(F251="OWC",F251="GOC",F251="GWC"),"Candidate contact — validate with logs, pressure and dynamic evidence","Transition zone — do not force to a sharp contact")))</f>
        <v/>
      </c>
    </row>
    <row r="252">
      <c r="A252" s="19">
        <f>IF(AND(Master_Data!A252&lt;&gt;"",Master_Data!A252=Master_Data!A253),Master_Data!A252,"")</f>
        <v/>
      </c>
      <c r="B252" s="19">
        <f>IF($A252="","",Master_Data!B252)</f>
        <v/>
      </c>
      <c r="C252" s="19">
        <f>IF($A252="","",Master_Data!B253)</f>
        <v/>
      </c>
      <c r="D252" s="19">
        <f>IF($A252="","",Master_Data!Q252)</f>
        <v/>
      </c>
      <c r="E252" s="19">
        <f>IF($A252="","",Master_Data!Q253)</f>
        <v/>
      </c>
      <c r="F252" s="19">
        <f>IF($A252="","",IF(AND(D252="GAS",E252="OIL"),"GOC",IF(AND(D252="OIL",E252="WATER"),"OWC",IF(AND(D252="GAS",E252="WATER"),"GWC",IF(AND(D252="OIL",E252="OIL_WATER"),"OWC_TRANSITION",IF(AND(D252="OIL_WATER",E252="WATER"),"OWC_TRANSITION",IF(AND(D252="GAS",E252="GAS_WATER"),"GOC_TRANSITION",IF(AND(D252="GAS_WATER",E252="OIL"),"GOC_TRANSITION",IF(OR(D252="OIL_WATER",D252="GAS_WATER"),"TRANSITION_INTERVAL","")))))))))</f>
        <v/>
      </c>
      <c r="G252" s="20">
        <f>IF(OR(F252="",Master_Data!R252="",Master_Data!S252=""),"",IF(RIGHT(F252,10)="TRANSITION",AVERAGE(Master_Data!R252:Master_Data!S252),AVERAGE(Master_Data!S252,Master_Data!R253)))</f>
        <v/>
      </c>
      <c r="H252" s="20">
        <f>IF(G252="","",MAX(Settings!$B$4,Settings!$B$5*AVERAGE(IF(Master_Data!O252&lt;&gt;"",Master_Data!O252,Master_Data!H252),IF(Master_Data!O253&lt;&gt;"",Master_Data!O253,Master_Data!H253))))</f>
        <v/>
      </c>
      <c r="I252" s="20">
        <f>IF(G252="","",G252-H252)</f>
        <v/>
      </c>
      <c r="J252" s="20">
        <f>IF(G252="","",G252+H252)</f>
        <v/>
      </c>
      <c r="K252" s="20">
        <f>IF($A252="","",Master_Data!G252)</f>
        <v/>
      </c>
      <c r="L252" s="20">
        <f>IF($A252="","",Master_Data!G253)</f>
        <v/>
      </c>
      <c r="M252" s="20">
        <f>IF(AND(ISNUMBER(K252),ISNUMBER(L252)),L252-K252,"")</f>
        <v/>
      </c>
      <c r="N252" s="19">
        <f>IF(G252="","",IF(AND(ISNUMBER(K252),ISNUMBER(L252)),IF(OR(F252="GOC",F252="OWC",F252="GWC",F252="OWC_TRANSITION",F252="GOC_TRANSITION"),IF(L252&gt;=K252,"Supports","Conflicts"),"N/A"),"No Sw"))</f>
        <v/>
      </c>
      <c r="O252" s="20">
        <f>IF(G252="","",Settings!$B$6*IF(OR(F252="GOC",F252="OWC",F252="GWC"),1,0.7)+Settings!$B$7*IF(N252="Supports",1,IF(N252="Conflicts",0,0.5))+Settings!$B$8*IF(AND(Master_Data!R252&lt;&gt;"",Master_Data!S252&lt;&gt;"",Master_Data!R253&lt;&gt;"",Master_Data!S253&lt;&gt;""),1,0.5))</f>
        <v/>
      </c>
      <c r="P252" s="19">
        <f>IF(G252="","",IF(N252="Conflicts","SW_CONFLICT",IF(OR(F252="GOC",F252="OWC",F252="GWC"),"DIRECT_FLUID_TRANSITION","TRANSITION_INTERVAL")))</f>
        <v/>
      </c>
      <c r="Q252" s="19">
        <f>IF(G252="","",IF(N252="Conflicts","Investigate contact interpretation / saturation behaviour",IF(OR(F252="OWC",F252="GOC",F252="GWC"),"Candidate contact — validate with logs, pressure and dynamic evidence","Transition zone — do not force to a sharp contact")))</f>
        <v/>
      </c>
    </row>
    <row r="253">
      <c r="A253" s="19">
        <f>IF(AND(Master_Data!A253&lt;&gt;"",Master_Data!A253=Master_Data!A254),Master_Data!A253,"")</f>
        <v/>
      </c>
      <c r="B253" s="19">
        <f>IF($A253="","",Master_Data!B253)</f>
        <v/>
      </c>
      <c r="C253" s="19">
        <f>IF($A253="","",Master_Data!B254)</f>
        <v/>
      </c>
      <c r="D253" s="19">
        <f>IF($A253="","",Master_Data!Q253)</f>
        <v/>
      </c>
      <c r="E253" s="19">
        <f>IF($A253="","",Master_Data!Q254)</f>
        <v/>
      </c>
      <c r="F253" s="19">
        <f>IF($A253="","",IF(AND(D253="GAS",E253="OIL"),"GOC",IF(AND(D253="OIL",E253="WATER"),"OWC",IF(AND(D253="GAS",E253="WATER"),"GWC",IF(AND(D253="OIL",E253="OIL_WATER"),"OWC_TRANSITION",IF(AND(D253="OIL_WATER",E253="WATER"),"OWC_TRANSITION",IF(AND(D253="GAS",E253="GAS_WATER"),"GOC_TRANSITION",IF(AND(D253="GAS_WATER",E253="OIL"),"GOC_TRANSITION",IF(OR(D253="OIL_WATER",D253="GAS_WATER"),"TRANSITION_INTERVAL","")))))))))</f>
        <v/>
      </c>
      <c r="G253" s="20">
        <f>IF(OR(F253="",Master_Data!R253="",Master_Data!S253=""),"",IF(RIGHT(F253,10)="TRANSITION",AVERAGE(Master_Data!R253:Master_Data!S253),AVERAGE(Master_Data!S253,Master_Data!R254)))</f>
        <v/>
      </c>
      <c r="H253" s="20">
        <f>IF(G253="","",MAX(Settings!$B$4,Settings!$B$5*AVERAGE(IF(Master_Data!O253&lt;&gt;"",Master_Data!O253,Master_Data!H253),IF(Master_Data!O254&lt;&gt;"",Master_Data!O254,Master_Data!H254))))</f>
        <v/>
      </c>
      <c r="I253" s="20">
        <f>IF(G253="","",G253-H253)</f>
        <v/>
      </c>
      <c r="J253" s="20">
        <f>IF(G253="","",G253+H253)</f>
        <v/>
      </c>
      <c r="K253" s="20">
        <f>IF($A253="","",Master_Data!G253)</f>
        <v/>
      </c>
      <c r="L253" s="20">
        <f>IF($A253="","",Master_Data!G254)</f>
        <v/>
      </c>
      <c r="M253" s="20">
        <f>IF(AND(ISNUMBER(K253),ISNUMBER(L253)),L253-K253,"")</f>
        <v/>
      </c>
      <c r="N253" s="19">
        <f>IF(G253="","",IF(AND(ISNUMBER(K253),ISNUMBER(L253)),IF(OR(F253="GOC",F253="OWC",F253="GWC",F253="OWC_TRANSITION",F253="GOC_TRANSITION"),IF(L253&gt;=K253,"Supports","Conflicts"),"N/A"),"No Sw"))</f>
        <v/>
      </c>
      <c r="O253" s="20">
        <f>IF(G253="","",Settings!$B$6*IF(OR(F253="GOC",F253="OWC",F253="GWC"),1,0.7)+Settings!$B$7*IF(N253="Supports",1,IF(N253="Conflicts",0,0.5))+Settings!$B$8*IF(AND(Master_Data!R253&lt;&gt;"",Master_Data!S253&lt;&gt;"",Master_Data!R254&lt;&gt;"",Master_Data!S254&lt;&gt;""),1,0.5))</f>
        <v/>
      </c>
      <c r="P253" s="19">
        <f>IF(G253="","",IF(N253="Conflicts","SW_CONFLICT",IF(OR(F253="GOC",F253="OWC",F253="GWC"),"DIRECT_FLUID_TRANSITION","TRANSITION_INTERVAL")))</f>
        <v/>
      </c>
      <c r="Q253" s="19">
        <f>IF(G253="","",IF(N253="Conflicts","Investigate contact interpretation / saturation behaviour",IF(OR(F253="OWC",F253="GOC",F253="GWC"),"Candidate contact — validate with logs, pressure and dynamic evidence","Transition zone — do not force to a sharp contact")))</f>
        <v/>
      </c>
    </row>
    <row r="254">
      <c r="A254" s="19">
        <f>IF(AND(Master_Data!A254&lt;&gt;"",Master_Data!A254=Master_Data!A255),Master_Data!A254,"")</f>
        <v/>
      </c>
      <c r="B254" s="19">
        <f>IF($A254="","",Master_Data!B254)</f>
        <v/>
      </c>
      <c r="C254" s="19">
        <f>IF($A254="","",Master_Data!B255)</f>
        <v/>
      </c>
      <c r="D254" s="19">
        <f>IF($A254="","",Master_Data!Q254)</f>
        <v/>
      </c>
      <c r="E254" s="19">
        <f>IF($A254="","",Master_Data!Q255)</f>
        <v/>
      </c>
      <c r="F254" s="19">
        <f>IF($A254="","",IF(AND(D254="GAS",E254="OIL"),"GOC",IF(AND(D254="OIL",E254="WATER"),"OWC",IF(AND(D254="GAS",E254="WATER"),"GWC",IF(AND(D254="OIL",E254="OIL_WATER"),"OWC_TRANSITION",IF(AND(D254="OIL_WATER",E254="WATER"),"OWC_TRANSITION",IF(AND(D254="GAS",E254="GAS_WATER"),"GOC_TRANSITION",IF(AND(D254="GAS_WATER",E254="OIL"),"GOC_TRANSITION",IF(OR(D254="OIL_WATER",D254="GAS_WATER"),"TRANSITION_INTERVAL","")))))))))</f>
        <v/>
      </c>
      <c r="G254" s="20">
        <f>IF(OR(F254="",Master_Data!R254="",Master_Data!S254=""),"",IF(RIGHT(F254,10)="TRANSITION",AVERAGE(Master_Data!R254:Master_Data!S254),AVERAGE(Master_Data!S254,Master_Data!R255)))</f>
        <v/>
      </c>
      <c r="H254" s="20">
        <f>IF(G254="","",MAX(Settings!$B$4,Settings!$B$5*AVERAGE(IF(Master_Data!O254&lt;&gt;"",Master_Data!O254,Master_Data!H254),IF(Master_Data!O255&lt;&gt;"",Master_Data!O255,Master_Data!H255))))</f>
        <v/>
      </c>
      <c r="I254" s="20">
        <f>IF(G254="","",G254-H254)</f>
        <v/>
      </c>
      <c r="J254" s="20">
        <f>IF(G254="","",G254+H254)</f>
        <v/>
      </c>
      <c r="K254" s="20">
        <f>IF($A254="","",Master_Data!G254)</f>
        <v/>
      </c>
      <c r="L254" s="20">
        <f>IF($A254="","",Master_Data!G255)</f>
        <v/>
      </c>
      <c r="M254" s="20">
        <f>IF(AND(ISNUMBER(K254),ISNUMBER(L254)),L254-K254,"")</f>
        <v/>
      </c>
      <c r="N254" s="19">
        <f>IF(G254="","",IF(AND(ISNUMBER(K254),ISNUMBER(L254)),IF(OR(F254="GOC",F254="OWC",F254="GWC",F254="OWC_TRANSITION",F254="GOC_TRANSITION"),IF(L254&gt;=K254,"Supports","Conflicts"),"N/A"),"No Sw"))</f>
        <v/>
      </c>
      <c r="O254" s="20">
        <f>IF(G254="","",Settings!$B$6*IF(OR(F254="GOC",F254="OWC",F254="GWC"),1,0.7)+Settings!$B$7*IF(N254="Supports",1,IF(N254="Conflicts",0,0.5))+Settings!$B$8*IF(AND(Master_Data!R254&lt;&gt;"",Master_Data!S254&lt;&gt;"",Master_Data!R255&lt;&gt;"",Master_Data!S255&lt;&gt;""),1,0.5))</f>
        <v/>
      </c>
      <c r="P254" s="19">
        <f>IF(G254="","",IF(N254="Conflicts","SW_CONFLICT",IF(OR(F254="GOC",F254="OWC",F254="GWC"),"DIRECT_FLUID_TRANSITION","TRANSITION_INTERVAL")))</f>
        <v/>
      </c>
      <c r="Q254" s="19">
        <f>IF(G254="","",IF(N254="Conflicts","Investigate contact interpretation / saturation behaviour",IF(OR(F254="OWC",F254="GOC",F254="GWC"),"Candidate contact — validate with logs, pressure and dynamic evidence","Transition zone — do not force to a sharp contact")))</f>
        <v/>
      </c>
    </row>
    <row r="255">
      <c r="A255" s="19">
        <f>IF(AND(Master_Data!A255&lt;&gt;"",Master_Data!A255=Master_Data!A256),Master_Data!A255,"")</f>
        <v/>
      </c>
      <c r="B255" s="19">
        <f>IF($A255="","",Master_Data!B255)</f>
        <v/>
      </c>
      <c r="C255" s="19">
        <f>IF($A255="","",Master_Data!B256)</f>
        <v/>
      </c>
      <c r="D255" s="19">
        <f>IF($A255="","",Master_Data!Q255)</f>
        <v/>
      </c>
      <c r="E255" s="19">
        <f>IF($A255="","",Master_Data!Q256)</f>
        <v/>
      </c>
      <c r="F255" s="19">
        <f>IF($A255="","",IF(AND(D255="GAS",E255="OIL"),"GOC",IF(AND(D255="OIL",E255="WATER"),"OWC",IF(AND(D255="GAS",E255="WATER"),"GWC",IF(AND(D255="OIL",E255="OIL_WATER"),"OWC_TRANSITION",IF(AND(D255="OIL_WATER",E255="WATER"),"OWC_TRANSITION",IF(AND(D255="GAS",E255="GAS_WATER"),"GOC_TRANSITION",IF(AND(D255="GAS_WATER",E255="OIL"),"GOC_TRANSITION",IF(OR(D255="OIL_WATER",D255="GAS_WATER"),"TRANSITION_INTERVAL","")))))))))</f>
        <v/>
      </c>
      <c r="G255" s="20">
        <f>IF(OR(F255="",Master_Data!R255="",Master_Data!S255=""),"",IF(RIGHT(F255,10)="TRANSITION",AVERAGE(Master_Data!R255:Master_Data!S255),AVERAGE(Master_Data!S255,Master_Data!R256)))</f>
        <v/>
      </c>
      <c r="H255" s="20">
        <f>IF(G255="","",MAX(Settings!$B$4,Settings!$B$5*AVERAGE(IF(Master_Data!O255&lt;&gt;"",Master_Data!O255,Master_Data!H255),IF(Master_Data!O256&lt;&gt;"",Master_Data!O256,Master_Data!H256))))</f>
        <v/>
      </c>
      <c r="I255" s="20">
        <f>IF(G255="","",G255-H255)</f>
        <v/>
      </c>
      <c r="J255" s="20">
        <f>IF(G255="","",G255+H255)</f>
        <v/>
      </c>
      <c r="K255" s="20">
        <f>IF($A255="","",Master_Data!G255)</f>
        <v/>
      </c>
      <c r="L255" s="20">
        <f>IF($A255="","",Master_Data!G256)</f>
        <v/>
      </c>
      <c r="M255" s="20">
        <f>IF(AND(ISNUMBER(K255),ISNUMBER(L255)),L255-K255,"")</f>
        <v/>
      </c>
      <c r="N255" s="19">
        <f>IF(G255="","",IF(AND(ISNUMBER(K255),ISNUMBER(L255)),IF(OR(F255="GOC",F255="OWC",F255="GWC",F255="OWC_TRANSITION",F255="GOC_TRANSITION"),IF(L255&gt;=K255,"Supports","Conflicts"),"N/A"),"No Sw"))</f>
        <v/>
      </c>
      <c r="O255" s="20">
        <f>IF(G255="","",Settings!$B$6*IF(OR(F255="GOC",F255="OWC",F255="GWC"),1,0.7)+Settings!$B$7*IF(N255="Supports",1,IF(N255="Conflicts",0,0.5))+Settings!$B$8*IF(AND(Master_Data!R255&lt;&gt;"",Master_Data!S255&lt;&gt;"",Master_Data!R256&lt;&gt;"",Master_Data!S256&lt;&gt;""),1,0.5))</f>
        <v/>
      </c>
      <c r="P255" s="19">
        <f>IF(G255="","",IF(N255="Conflicts","SW_CONFLICT",IF(OR(F255="GOC",F255="OWC",F255="GWC"),"DIRECT_FLUID_TRANSITION","TRANSITION_INTERVAL")))</f>
        <v/>
      </c>
      <c r="Q255" s="19">
        <f>IF(G255="","",IF(N255="Conflicts","Investigate contact interpretation / saturation behaviour",IF(OR(F255="OWC",F255="GOC",F255="GWC"),"Candidate contact — validate with logs, pressure and dynamic evidence","Transition zone — do not force to a sharp contact")))</f>
        <v/>
      </c>
    </row>
    <row r="256">
      <c r="A256" s="19">
        <f>IF(AND(Master_Data!A256&lt;&gt;"",Master_Data!A256=Master_Data!A257),Master_Data!A256,"")</f>
        <v/>
      </c>
      <c r="B256" s="19">
        <f>IF($A256="","",Master_Data!B256)</f>
        <v/>
      </c>
      <c r="C256" s="19">
        <f>IF($A256="","",Master_Data!B257)</f>
        <v/>
      </c>
      <c r="D256" s="19">
        <f>IF($A256="","",Master_Data!Q256)</f>
        <v/>
      </c>
      <c r="E256" s="19">
        <f>IF($A256="","",Master_Data!Q257)</f>
        <v/>
      </c>
      <c r="F256" s="19">
        <f>IF($A256="","",IF(AND(D256="GAS",E256="OIL"),"GOC",IF(AND(D256="OIL",E256="WATER"),"OWC",IF(AND(D256="GAS",E256="WATER"),"GWC",IF(AND(D256="OIL",E256="OIL_WATER"),"OWC_TRANSITION",IF(AND(D256="OIL_WATER",E256="WATER"),"OWC_TRANSITION",IF(AND(D256="GAS",E256="GAS_WATER"),"GOC_TRANSITION",IF(AND(D256="GAS_WATER",E256="OIL"),"GOC_TRANSITION",IF(OR(D256="OIL_WATER",D256="GAS_WATER"),"TRANSITION_INTERVAL","")))))))))</f>
        <v/>
      </c>
      <c r="G256" s="20">
        <f>IF(OR(F256="",Master_Data!R256="",Master_Data!S256=""),"",IF(RIGHT(F256,10)="TRANSITION",AVERAGE(Master_Data!R256:Master_Data!S256),AVERAGE(Master_Data!S256,Master_Data!R257)))</f>
        <v/>
      </c>
      <c r="H256" s="20">
        <f>IF(G256="","",MAX(Settings!$B$4,Settings!$B$5*AVERAGE(IF(Master_Data!O256&lt;&gt;"",Master_Data!O256,Master_Data!H256),IF(Master_Data!O257&lt;&gt;"",Master_Data!O257,Master_Data!H257))))</f>
        <v/>
      </c>
      <c r="I256" s="20">
        <f>IF(G256="","",G256-H256)</f>
        <v/>
      </c>
      <c r="J256" s="20">
        <f>IF(G256="","",G256+H256)</f>
        <v/>
      </c>
      <c r="K256" s="20">
        <f>IF($A256="","",Master_Data!G256)</f>
        <v/>
      </c>
      <c r="L256" s="20">
        <f>IF($A256="","",Master_Data!G257)</f>
        <v/>
      </c>
      <c r="M256" s="20">
        <f>IF(AND(ISNUMBER(K256),ISNUMBER(L256)),L256-K256,"")</f>
        <v/>
      </c>
      <c r="N256" s="19">
        <f>IF(G256="","",IF(AND(ISNUMBER(K256),ISNUMBER(L256)),IF(OR(F256="GOC",F256="OWC",F256="GWC",F256="OWC_TRANSITION",F256="GOC_TRANSITION"),IF(L256&gt;=K256,"Supports","Conflicts"),"N/A"),"No Sw"))</f>
        <v/>
      </c>
      <c r="O256" s="20">
        <f>IF(G256="","",Settings!$B$6*IF(OR(F256="GOC",F256="OWC",F256="GWC"),1,0.7)+Settings!$B$7*IF(N256="Supports",1,IF(N256="Conflicts",0,0.5))+Settings!$B$8*IF(AND(Master_Data!R256&lt;&gt;"",Master_Data!S256&lt;&gt;"",Master_Data!R257&lt;&gt;"",Master_Data!S257&lt;&gt;""),1,0.5))</f>
        <v/>
      </c>
      <c r="P256" s="19">
        <f>IF(G256="","",IF(N256="Conflicts","SW_CONFLICT",IF(OR(F256="GOC",F256="OWC",F256="GWC"),"DIRECT_FLUID_TRANSITION","TRANSITION_INTERVAL")))</f>
        <v/>
      </c>
      <c r="Q256" s="19">
        <f>IF(G256="","",IF(N256="Conflicts","Investigate contact interpretation / saturation behaviour",IF(OR(F256="OWC",F256="GOC",F256="GWC"),"Candidate contact — validate with logs, pressure and dynamic evidence","Transition zone — do not force to a sharp contact")))</f>
        <v/>
      </c>
    </row>
    <row r="257">
      <c r="A257" s="19">
        <f>IF(AND(Master_Data!A257&lt;&gt;"",Master_Data!A257=Master_Data!A258),Master_Data!A257,"")</f>
        <v/>
      </c>
      <c r="B257" s="19">
        <f>IF($A257="","",Master_Data!B257)</f>
        <v/>
      </c>
      <c r="C257" s="19">
        <f>IF($A257="","",Master_Data!B258)</f>
        <v/>
      </c>
      <c r="D257" s="19">
        <f>IF($A257="","",Master_Data!Q257)</f>
        <v/>
      </c>
      <c r="E257" s="19">
        <f>IF($A257="","",Master_Data!Q258)</f>
        <v/>
      </c>
      <c r="F257" s="19">
        <f>IF($A257="","",IF(AND(D257="GAS",E257="OIL"),"GOC",IF(AND(D257="OIL",E257="WATER"),"OWC",IF(AND(D257="GAS",E257="WATER"),"GWC",IF(AND(D257="OIL",E257="OIL_WATER"),"OWC_TRANSITION",IF(AND(D257="OIL_WATER",E257="WATER"),"OWC_TRANSITION",IF(AND(D257="GAS",E257="GAS_WATER"),"GOC_TRANSITION",IF(AND(D257="GAS_WATER",E257="OIL"),"GOC_TRANSITION",IF(OR(D257="OIL_WATER",D257="GAS_WATER"),"TRANSITION_INTERVAL","")))))))))</f>
        <v/>
      </c>
      <c r="G257" s="20">
        <f>IF(OR(F257="",Master_Data!R257="",Master_Data!S257=""),"",IF(RIGHT(F257,10)="TRANSITION",AVERAGE(Master_Data!R257:Master_Data!S257),AVERAGE(Master_Data!S257,Master_Data!R258)))</f>
        <v/>
      </c>
      <c r="H257" s="20">
        <f>IF(G257="","",MAX(Settings!$B$4,Settings!$B$5*AVERAGE(IF(Master_Data!O257&lt;&gt;"",Master_Data!O257,Master_Data!H257),IF(Master_Data!O258&lt;&gt;"",Master_Data!O258,Master_Data!H258))))</f>
        <v/>
      </c>
      <c r="I257" s="20">
        <f>IF(G257="","",G257-H257)</f>
        <v/>
      </c>
      <c r="J257" s="20">
        <f>IF(G257="","",G257+H257)</f>
        <v/>
      </c>
      <c r="K257" s="20">
        <f>IF($A257="","",Master_Data!G257)</f>
        <v/>
      </c>
      <c r="L257" s="20">
        <f>IF($A257="","",Master_Data!G258)</f>
        <v/>
      </c>
      <c r="M257" s="20">
        <f>IF(AND(ISNUMBER(K257),ISNUMBER(L257)),L257-K257,"")</f>
        <v/>
      </c>
      <c r="N257" s="19">
        <f>IF(G257="","",IF(AND(ISNUMBER(K257),ISNUMBER(L257)),IF(OR(F257="GOC",F257="OWC",F257="GWC",F257="OWC_TRANSITION",F257="GOC_TRANSITION"),IF(L257&gt;=K257,"Supports","Conflicts"),"N/A"),"No Sw"))</f>
        <v/>
      </c>
      <c r="O257" s="20">
        <f>IF(G257="","",Settings!$B$6*IF(OR(F257="GOC",F257="OWC",F257="GWC"),1,0.7)+Settings!$B$7*IF(N257="Supports",1,IF(N257="Conflicts",0,0.5))+Settings!$B$8*IF(AND(Master_Data!R257&lt;&gt;"",Master_Data!S257&lt;&gt;"",Master_Data!R258&lt;&gt;"",Master_Data!S258&lt;&gt;""),1,0.5))</f>
        <v/>
      </c>
      <c r="P257" s="19">
        <f>IF(G257="","",IF(N257="Conflicts","SW_CONFLICT",IF(OR(F257="GOC",F257="OWC",F257="GWC"),"DIRECT_FLUID_TRANSITION","TRANSITION_INTERVAL")))</f>
        <v/>
      </c>
      <c r="Q257" s="19">
        <f>IF(G257="","",IF(N257="Conflicts","Investigate contact interpretation / saturation behaviour",IF(OR(F257="OWC",F257="GOC",F257="GWC"),"Candidate contact — validate with logs, pressure and dynamic evidence","Transition zone — do not force to a sharp contact")))</f>
        <v/>
      </c>
    </row>
    <row r="258">
      <c r="A258" s="19">
        <f>IF(AND(Master_Data!A258&lt;&gt;"",Master_Data!A258=Master_Data!A259),Master_Data!A258,"")</f>
        <v/>
      </c>
      <c r="B258" s="19">
        <f>IF($A258="","",Master_Data!B258)</f>
        <v/>
      </c>
      <c r="C258" s="19">
        <f>IF($A258="","",Master_Data!B259)</f>
        <v/>
      </c>
      <c r="D258" s="19">
        <f>IF($A258="","",Master_Data!Q258)</f>
        <v/>
      </c>
      <c r="E258" s="19">
        <f>IF($A258="","",Master_Data!Q259)</f>
        <v/>
      </c>
      <c r="F258" s="19">
        <f>IF($A258="","",IF(AND(D258="GAS",E258="OIL"),"GOC",IF(AND(D258="OIL",E258="WATER"),"OWC",IF(AND(D258="GAS",E258="WATER"),"GWC",IF(AND(D258="OIL",E258="OIL_WATER"),"OWC_TRANSITION",IF(AND(D258="OIL_WATER",E258="WATER"),"OWC_TRANSITION",IF(AND(D258="GAS",E258="GAS_WATER"),"GOC_TRANSITION",IF(AND(D258="GAS_WATER",E258="OIL"),"GOC_TRANSITION",IF(OR(D258="OIL_WATER",D258="GAS_WATER"),"TRANSITION_INTERVAL","")))))))))</f>
        <v/>
      </c>
      <c r="G258" s="20">
        <f>IF(OR(F258="",Master_Data!R258="",Master_Data!S258=""),"",IF(RIGHT(F258,10)="TRANSITION",AVERAGE(Master_Data!R258:Master_Data!S258),AVERAGE(Master_Data!S258,Master_Data!R259)))</f>
        <v/>
      </c>
      <c r="H258" s="20">
        <f>IF(G258="","",MAX(Settings!$B$4,Settings!$B$5*AVERAGE(IF(Master_Data!O258&lt;&gt;"",Master_Data!O258,Master_Data!H258),IF(Master_Data!O259&lt;&gt;"",Master_Data!O259,Master_Data!H259))))</f>
        <v/>
      </c>
      <c r="I258" s="20">
        <f>IF(G258="","",G258-H258)</f>
        <v/>
      </c>
      <c r="J258" s="20">
        <f>IF(G258="","",G258+H258)</f>
        <v/>
      </c>
      <c r="K258" s="20">
        <f>IF($A258="","",Master_Data!G258)</f>
        <v/>
      </c>
      <c r="L258" s="20">
        <f>IF($A258="","",Master_Data!G259)</f>
        <v/>
      </c>
      <c r="M258" s="20">
        <f>IF(AND(ISNUMBER(K258),ISNUMBER(L258)),L258-K258,"")</f>
        <v/>
      </c>
      <c r="N258" s="19">
        <f>IF(G258="","",IF(AND(ISNUMBER(K258),ISNUMBER(L258)),IF(OR(F258="GOC",F258="OWC",F258="GWC",F258="OWC_TRANSITION",F258="GOC_TRANSITION"),IF(L258&gt;=K258,"Supports","Conflicts"),"N/A"),"No Sw"))</f>
        <v/>
      </c>
      <c r="O258" s="20">
        <f>IF(G258="","",Settings!$B$6*IF(OR(F258="GOC",F258="OWC",F258="GWC"),1,0.7)+Settings!$B$7*IF(N258="Supports",1,IF(N258="Conflicts",0,0.5))+Settings!$B$8*IF(AND(Master_Data!R258&lt;&gt;"",Master_Data!S258&lt;&gt;"",Master_Data!R259&lt;&gt;"",Master_Data!S259&lt;&gt;""),1,0.5))</f>
        <v/>
      </c>
      <c r="P258" s="19">
        <f>IF(G258="","",IF(N258="Conflicts","SW_CONFLICT",IF(OR(F258="GOC",F258="OWC",F258="GWC"),"DIRECT_FLUID_TRANSITION","TRANSITION_INTERVAL")))</f>
        <v/>
      </c>
      <c r="Q258" s="19">
        <f>IF(G258="","",IF(N258="Conflicts","Investigate contact interpretation / saturation behaviour",IF(OR(F258="OWC",F258="GOC",F258="GWC"),"Candidate contact — validate with logs, pressure and dynamic evidence","Transition zone — do not force to a sharp contact")))</f>
        <v/>
      </c>
    </row>
    <row r="259">
      <c r="A259" s="19">
        <f>IF(AND(Master_Data!A259&lt;&gt;"",Master_Data!A259=Master_Data!A260),Master_Data!A259,"")</f>
        <v/>
      </c>
      <c r="B259" s="19">
        <f>IF($A259="","",Master_Data!B259)</f>
        <v/>
      </c>
      <c r="C259" s="19">
        <f>IF($A259="","",Master_Data!B260)</f>
        <v/>
      </c>
      <c r="D259" s="19">
        <f>IF($A259="","",Master_Data!Q259)</f>
        <v/>
      </c>
      <c r="E259" s="19">
        <f>IF($A259="","",Master_Data!Q260)</f>
        <v/>
      </c>
      <c r="F259" s="19">
        <f>IF($A259="","",IF(AND(D259="GAS",E259="OIL"),"GOC",IF(AND(D259="OIL",E259="WATER"),"OWC",IF(AND(D259="GAS",E259="WATER"),"GWC",IF(AND(D259="OIL",E259="OIL_WATER"),"OWC_TRANSITION",IF(AND(D259="OIL_WATER",E259="WATER"),"OWC_TRANSITION",IF(AND(D259="GAS",E259="GAS_WATER"),"GOC_TRANSITION",IF(AND(D259="GAS_WATER",E259="OIL"),"GOC_TRANSITION",IF(OR(D259="OIL_WATER",D259="GAS_WATER"),"TRANSITION_INTERVAL","")))))))))</f>
        <v/>
      </c>
      <c r="G259" s="20">
        <f>IF(OR(F259="",Master_Data!R259="",Master_Data!S259=""),"",IF(RIGHT(F259,10)="TRANSITION",AVERAGE(Master_Data!R259:Master_Data!S259),AVERAGE(Master_Data!S259,Master_Data!R260)))</f>
        <v/>
      </c>
      <c r="H259" s="20">
        <f>IF(G259="","",MAX(Settings!$B$4,Settings!$B$5*AVERAGE(IF(Master_Data!O259&lt;&gt;"",Master_Data!O259,Master_Data!H259),IF(Master_Data!O260&lt;&gt;"",Master_Data!O260,Master_Data!H260))))</f>
        <v/>
      </c>
      <c r="I259" s="20">
        <f>IF(G259="","",G259-H259)</f>
        <v/>
      </c>
      <c r="J259" s="20">
        <f>IF(G259="","",G259+H259)</f>
        <v/>
      </c>
      <c r="K259" s="20">
        <f>IF($A259="","",Master_Data!G259)</f>
        <v/>
      </c>
      <c r="L259" s="20">
        <f>IF($A259="","",Master_Data!G260)</f>
        <v/>
      </c>
      <c r="M259" s="20">
        <f>IF(AND(ISNUMBER(K259),ISNUMBER(L259)),L259-K259,"")</f>
        <v/>
      </c>
      <c r="N259" s="19">
        <f>IF(G259="","",IF(AND(ISNUMBER(K259),ISNUMBER(L259)),IF(OR(F259="GOC",F259="OWC",F259="GWC",F259="OWC_TRANSITION",F259="GOC_TRANSITION"),IF(L259&gt;=K259,"Supports","Conflicts"),"N/A"),"No Sw"))</f>
        <v/>
      </c>
      <c r="O259" s="20">
        <f>IF(G259="","",Settings!$B$6*IF(OR(F259="GOC",F259="OWC",F259="GWC"),1,0.7)+Settings!$B$7*IF(N259="Supports",1,IF(N259="Conflicts",0,0.5))+Settings!$B$8*IF(AND(Master_Data!R259&lt;&gt;"",Master_Data!S259&lt;&gt;"",Master_Data!R260&lt;&gt;"",Master_Data!S260&lt;&gt;""),1,0.5))</f>
        <v/>
      </c>
      <c r="P259" s="19">
        <f>IF(G259="","",IF(N259="Conflicts","SW_CONFLICT",IF(OR(F259="GOC",F259="OWC",F259="GWC"),"DIRECT_FLUID_TRANSITION","TRANSITION_INTERVAL")))</f>
        <v/>
      </c>
      <c r="Q259" s="19">
        <f>IF(G259="","",IF(N259="Conflicts","Investigate contact interpretation / saturation behaviour",IF(OR(F259="OWC",F259="GOC",F259="GWC"),"Candidate contact — validate with logs, pressure and dynamic evidence","Transition zone — do not force to a sharp contact")))</f>
        <v/>
      </c>
    </row>
    <row r="260">
      <c r="A260" s="19">
        <f>IF(AND(Master_Data!A260&lt;&gt;"",Master_Data!A260=Master_Data!A261),Master_Data!A260,"")</f>
        <v/>
      </c>
      <c r="B260" s="19">
        <f>IF($A260="","",Master_Data!B260)</f>
        <v/>
      </c>
      <c r="C260" s="19">
        <f>IF($A260="","",Master_Data!B261)</f>
        <v/>
      </c>
      <c r="D260" s="19">
        <f>IF($A260="","",Master_Data!Q260)</f>
        <v/>
      </c>
      <c r="E260" s="19">
        <f>IF($A260="","",Master_Data!Q261)</f>
        <v/>
      </c>
      <c r="F260" s="19">
        <f>IF($A260="","",IF(AND(D260="GAS",E260="OIL"),"GOC",IF(AND(D260="OIL",E260="WATER"),"OWC",IF(AND(D260="GAS",E260="WATER"),"GWC",IF(AND(D260="OIL",E260="OIL_WATER"),"OWC_TRANSITION",IF(AND(D260="OIL_WATER",E260="WATER"),"OWC_TRANSITION",IF(AND(D260="GAS",E260="GAS_WATER"),"GOC_TRANSITION",IF(AND(D260="GAS_WATER",E260="OIL"),"GOC_TRANSITION",IF(OR(D260="OIL_WATER",D260="GAS_WATER"),"TRANSITION_INTERVAL","")))))))))</f>
        <v/>
      </c>
      <c r="G260" s="20">
        <f>IF(OR(F260="",Master_Data!R260="",Master_Data!S260=""),"",IF(RIGHT(F260,10)="TRANSITION",AVERAGE(Master_Data!R260:Master_Data!S260),AVERAGE(Master_Data!S260,Master_Data!R261)))</f>
        <v/>
      </c>
      <c r="H260" s="20">
        <f>IF(G260="","",MAX(Settings!$B$4,Settings!$B$5*AVERAGE(IF(Master_Data!O260&lt;&gt;"",Master_Data!O260,Master_Data!H260),IF(Master_Data!O261&lt;&gt;"",Master_Data!O261,Master_Data!H261))))</f>
        <v/>
      </c>
      <c r="I260" s="20">
        <f>IF(G260="","",G260-H260)</f>
        <v/>
      </c>
      <c r="J260" s="20">
        <f>IF(G260="","",G260+H260)</f>
        <v/>
      </c>
      <c r="K260" s="20">
        <f>IF($A260="","",Master_Data!G260)</f>
        <v/>
      </c>
      <c r="L260" s="20">
        <f>IF($A260="","",Master_Data!G261)</f>
        <v/>
      </c>
      <c r="M260" s="20">
        <f>IF(AND(ISNUMBER(K260),ISNUMBER(L260)),L260-K260,"")</f>
        <v/>
      </c>
      <c r="N260" s="19">
        <f>IF(G260="","",IF(AND(ISNUMBER(K260),ISNUMBER(L260)),IF(OR(F260="GOC",F260="OWC",F260="GWC",F260="OWC_TRANSITION",F260="GOC_TRANSITION"),IF(L260&gt;=K260,"Supports","Conflicts"),"N/A"),"No Sw"))</f>
        <v/>
      </c>
      <c r="O260" s="20">
        <f>IF(G260="","",Settings!$B$6*IF(OR(F260="GOC",F260="OWC",F260="GWC"),1,0.7)+Settings!$B$7*IF(N260="Supports",1,IF(N260="Conflicts",0,0.5))+Settings!$B$8*IF(AND(Master_Data!R260&lt;&gt;"",Master_Data!S260&lt;&gt;"",Master_Data!R261&lt;&gt;"",Master_Data!S261&lt;&gt;""),1,0.5))</f>
        <v/>
      </c>
      <c r="P260" s="19">
        <f>IF(G260="","",IF(N260="Conflicts","SW_CONFLICT",IF(OR(F260="GOC",F260="OWC",F260="GWC"),"DIRECT_FLUID_TRANSITION","TRANSITION_INTERVAL")))</f>
        <v/>
      </c>
      <c r="Q260" s="19">
        <f>IF(G260="","",IF(N260="Conflicts","Investigate contact interpretation / saturation behaviour",IF(OR(F260="OWC",F260="GOC",F260="GWC"),"Candidate contact — validate with logs, pressure and dynamic evidence","Transition zone — do not force to a sharp contact")))</f>
        <v/>
      </c>
    </row>
    <row r="261">
      <c r="A261" s="19">
        <f>IF(AND(Master_Data!A261&lt;&gt;"",Master_Data!A261=Master_Data!A262),Master_Data!A261,"")</f>
        <v/>
      </c>
      <c r="B261" s="19">
        <f>IF($A261="","",Master_Data!B261)</f>
        <v/>
      </c>
      <c r="C261" s="19">
        <f>IF($A261="","",Master_Data!B262)</f>
        <v/>
      </c>
      <c r="D261" s="19">
        <f>IF($A261="","",Master_Data!Q261)</f>
        <v/>
      </c>
      <c r="E261" s="19">
        <f>IF($A261="","",Master_Data!Q262)</f>
        <v/>
      </c>
      <c r="F261" s="19">
        <f>IF($A261="","",IF(AND(D261="GAS",E261="OIL"),"GOC",IF(AND(D261="OIL",E261="WATER"),"OWC",IF(AND(D261="GAS",E261="WATER"),"GWC",IF(AND(D261="OIL",E261="OIL_WATER"),"OWC_TRANSITION",IF(AND(D261="OIL_WATER",E261="WATER"),"OWC_TRANSITION",IF(AND(D261="GAS",E261="GAS_WATER"),"GOC_TRANSITION",IF(AND(D261="GAS_WATER",E261="OIL"),"GOC_TRANSITION",IF(OR(D261="OIL_WATER",D261="GAS_WATER"),"TRANSITION_INTERVAL","")))))))))</f>
        <v/>
      </c>
      <c r="G261" s="20">
        <f>IF(OR(F261="",Master_Data!R261="",Master_Data!S261=""),"",IF(RIGHT(F261,10)="TRANSITION",AVERAGE(Master_Data!R261:Master_Data!S261),AVERAGE(Master_Data!S261,Master_Data!R262)))</f>
        <v/>
      </c>
      <c r="H261" s="20">
        <f>IF(G261="","",MAX(Settings!$B$4,Settings!$B$5*AVERAGE(IF(Master_Data!O261&lt;&gt;"",Master_Data!O261,Master_Data!H261),IF(Master_Data!O262&lt;&gt;"",Master_Data!O262,Master_Data!H262))))</f>
        <v/>
      </c>
      <c r="I261" s="20">
        <f>IF(G261="","",G261-H261)</f>
        <v/>
      </c>
      <c r="J261" s="20">
        <f>IF(G261="","",G261+H261)</f>
        <v/>
      </c>
      <c r="K261" s="20">
        <f>IF($A261="","",Master_Data!G261)</f>
        <v/>
      </c>
      <c r="L261" s="20">
        <f>IF($A261="","",Master_Data!G262)</f>
        <v/>
      </c>
      <c r="M261" s="20">
        <f>IF(AND(ISNUMBER(K261),ISNUMBER(L261)),L261-K261,"")</f>
        <v/>
      </c>
      <c r="N261" s="19">
        <f>IF(G261="","",IF(AND(ISNUMBER(K261),ISNUMBER(L261)),IF(OR(F261="GOC",F261="OWC",F261="GWC",F261="OWC_TRANSITION",F261="GOC_TRANSITION"),IF(L261&gt;=K261,"Supports","Conflicts"),"N/A"),"No Sw"))</f>
        <v/>
      </c>
      <c r="O261" s="20">
        <f>IF(G261="","",Settings!$B$6*IF(OR(F261="GOC",F261="OWC",F261="GWC"),1,0.7)+Settings!$B$7*IF(N261="Supports",1,IF(N261="Conflicts",0,0.5))+Settings!$B$8*IF(AND(Master_Data!R261&lt;&gt;"",Master_Data!S261&lt;&gt;"",Master_Data!R262&lt;&gt;"",Master_Data!S262&lt;&gt;""),1,0.5))</f>
        <v/>
      </c>
      <c r="P261" s="19">
        <f>IF(G261="","",IF(N261="Conflicts","SW_CONFLICT",IF(OR(F261="GOC",F261="OWC",F261="GWC"),"DIRECT_FLUID_TRANSITION","TRANSITION_INTERVAL")))</f>
        <v/>
      </c>
      <c r="Q261" s="19">
        <f>IF(G261="","",IF(N261="Conflicts","Investigate contact interpretation / saturation behaviour",IF(OR(F261="OWC",F261="GOC",F261="GWC"),"Candidate contact — validate with logs, pressure and dynamic evidence","Transition zone — do not force to a sharp contact")))</f>
        <v/>
      </c>
    </row>
    <row r="262">
      <c r="A262" s="19">
        <f>IF(AND(Master_Data!A262&lt;&gt;"",Master_Data!A262=Master_Data!A263),Master_Data!A262,"")</f>
        <v/>
      </c>
      <c r="B262" s="19">
        <f>IF($A262="","",Master_Data!B262)</f>
        <v/>
      </c>
      <c r="C262" s="19">
        <f>IF($A262="","",Master_Data!B263)</f>
        <v/>
      </c>
      <c r="D262" s="19">
        <f>IF($A262="","",Master_Data!Q262)</f>
        <v/>
      </c>
      <c r="E262" s="19">
        <f>IF($A262="","",Master_Data!Q263)</f>
        <v/>
      </c>
      <c r="F262" s="19">
        <f>IF($A262="","",IF(AND(D262="GAS",E262="OIL"),"GOC",IF(AND(D262="OIL",E262="WATER"),"OWC",IF(AND(D262="GAS",E262="WATER"),"GWC",IF(AND(D262="OIL",E262="OIL_WATER"),"OWC_TRANSITION",IF(AND(D262="OIL_WATER",E262="WATER"),"OWC_TRANSITION",IF(AND(D262="GAS",E262="GAS_WATER"),"GOC_TRANSITION",IF(AND(D262="GAS_WATER",E262="OIL"),"GOC_TRANSITION",IF(OR(D262="OIL_WATER",D262="GAS_WATER"),"TRANSITION_INTERVAL","")))))))))</f>
        <v/>
      </c>
      <c r="G262" s="20">
        <f>IF(OR(F262="",Master_Data!R262="",Master_Data!S262=""),"",IF(RIGHT(F262,10)="TRANSITION",AVERAGE(Master_Data!R262:Master_Data!S262),AVERAGE(Master_Data!S262,Master_Data!R263)))</f>
        <v/>
      </c>
      <c r="H262" s="20">
        <f>IF(G262="","",MAX(Settings!$B$4,Settings!$B$5*AVERAGE(IF(Master_Data!O262&lt;&gt;"",Master_Data!O262,Master_Data!H262),IF(Master_Data!O263&lt;&gt;"",Master_Data!O263,Master_Data!H263))))</f>
        <v/>
      </c>
      <c r="I262" s="20">
        <f>IF(G262="","",G262-H262)</f>
        <v/>
      </c>
      <c r="J262" s="20">
        <f>IF(G262="","",G262+H262)</f>
        <v/>
      </c>
      <c r="K262" s="20">
        <f>IF($A262="","",Master_Data!G262)</f>
        <v/>
      </c>
      <c r="L262" s="20">
        <f>IF($A262="","",Master_Data!G263)</f>
        <v/>
      </c>
      <c r="M262" s="20">
        <f>IF(AND(ISNUMBER(K262),ISNUMBER(L262)),L262-K262,"")</f>
        <v/>
      </c>
      <c r="N262" s="19">
        <f>IF(G262="","",IF(AND(ISNUMBER(K262),ISNUMBER(L262)),IF(OR(F262="GOC",F262="OWC",F262="GWC",F262="OWC_TRANSITION",F262="GOC_TRANSITION"),IF(L262&gt;=K262,"Supports","Conflicts"),"N/A"),"No Sw"))</f>
        <v/>
      </c>
      <c r="O262" s="20">
        <f>IF(G262="","",Settings!$B$6*IF(OR(F262="GOC",F262="OWC",F262="GWC"),1,0.7)+Settings!$B$7*IF(N262="Supports",1,IF(N262="Conflicts",0,0.5))+Settings!$B$8*IF(AND(Master_Data!R262&lt;&gt;"",Master_Data!S262&lt;&gt;"",Master_Data!R263&lt;&gt;"",Master_Data!S263&lt;&gt;""),1,0.5))</f>
        <v/>
      </c>
      <c r="P262" s="19">
        <f>IF(G262="","",IF(N262="Conflicts","SW_CONFLICT",IF(OR(F262="GOC",F262="OWC",F262="GWC"),"DIRECT_FLUID_TRANSITION","TRANSITION_INTERVAL")))</f>
        <v/>
      </c>
      <c r="Q262" s="19">
        <f>IF(G262="","",IF(N262="Conflicts","Investigate contact interpretation / saturation behaviour",IF(OR(F262="OWC",F262="GOC",F262="GWC"),"Candidate contact — validate with logs, pressure and dynamic evidence","Transition zone — do not force to a sharp contact")))</f>
        <v/>
      </c>
    </row>
    <row r="263">
      <c r="A263" s="19">
        <f>IF(AND(Master_Data!A263&lt;&gt;"",Master_Data!A263=Master_Data!A264),Master_Data!A263,"")</f>
        <v/>
      </c>
      <c r="B263" s="19">
        <f>IF($A263="","",Master_Data!B263)</f>
        <v/>
      </c>
      <c r="C263" s="19">
        <f>IF($A263="","",Master_Data!B264)</f>
        <v/>
      </c>
      <c r="D263" s="19">
        <f>IF($A263="","",Master_Data!Q263)</f>
        <v/>
      </c>
      <c r="E263" s="19">
        <f>IF($A263="","",Master_Data!Q264)</f>
        <v/>
      </c>
      <c r="F263" s="19">
        <f>IF($A263="","",IF(AND(D263="GAS",E263="OIL"),"GOC",IF(AND(D263="OIL",E263="WATER"),"OWC",IF(AND(D263="GAS",E263="WATER"),"GWC",IF(AND(D263="OIL",E263="OIL_WATER"),"OWC_TRANSITION",IF(AND(D263="OIL_WATER",E263="WATER"),"OWC_TRANSITION",IF(AND(D263="GAS",E263="GAS_WATER"),"GOC_TRANSITION",IF(AND(D263="GAS_WATER",E263="OIL"),"GOC_TRANSITION",IF(OR(D263="OIL_WATER",D263="GAS_WATER"),"TRANSITION_INTERVAL","")))))))))</f>
        <v/>
      </c>
      <c r="G263" s="20">
        <f>IF(OR(F263="",Master_Data!R263="",Master_Data!S263=""),"",IF(RIGHT(F263,10)="TRANSITION",AVERAGE(Master_Data!R263:Master_Data!S263),AVERAGE(Master_Data!S263,Master_Data!R264)))</f>
        <v/>
      </c>
      <c r="H263" s="20">
        <f>IF(G263="","",MAX(Settings!$B$4,Settings!$B$5*AVERAGE(IF(Master_Data!O263&lt;&gt;"",Master_Data!O263,Master_Data!H263),IF(Master_Data!O264&lt;&gt;"",Master_Data!O264,Master_Data!H264))))</f>
        <v/>
      </c>
      <c r="I263" s="20">
        <f>IF(G263="","",G263-H263)</f>
        <v/>
      </c>
      <c r="J263" s="20">
        <f>IF(G263="","",G263+H263)</f>
        <v/>
      </c>
      <c r="K263" s="20">
        <f>IF($A263="","",Master_Data!G263)</f>
        <v/>
      </c>
      <c r="L263" s="20">
        <f>IF($A263="","",Master_Data!G264)</f>
        <v/>
      </c>
      <c r="M263" s="20">
        <f>IF(AND(ISNUMBER(K263),ISNUMBER(L263)),L263-K263,"")</f>
        <v/>
      </c>
      <c r="N263" s="19">
        <f>IF(G263="","",IF(AND(ISNUMBER(K263),ISNUMBER(L263)),IF(OR(F263="GOC",F263="OWC",F263="GWC",F263="OWC_TRANSITION",F263="GOC_TRANSITION"),IF(L263&gt;=K263,"Supports","Conflicts"),"N/A"),"No Sw"))</f>
        <v/>
      </c>
      <c r="O263" s="20">
        <f>IF(G263="","",Settings!$B$6*IF(OR(F263="GOC",F263="OWC",F263="GWC"),1,0.7)+Settings!$B$7*IF(N263="Supports",1,IF(N263="Conflicts",0,0.5))+Settings!$B$8*IF(AND(Master_Data!R263&lt;&gt;"",Master_Data!S263&lt;&gt;"",Master_Data!R264&lt;&gt;"",Master_Data!S264&lt;&gt;""),1,0.5))</f>
        <v/>
      </c>
      <c r="P263" s="19">
        <f>IF(G263="","",IF(N263="Conflicts","SW_CONFLICT",IF(OR(F263="GOC",F263="OWC",F263="GWC"),"DIRECT_FLUID_TRANSITION","TRANSITION_INTERVAL")))</f>
        <v/>
      </c>
      <c r="Q263" s="19">
        <f>IF(G263="","",IF(N263="Conflicts","Investigate contact interpretation / saturation behaviour",IF(OR(F263="OWC",F263="GOC",F263="GWC"),"Candidate contact — validate with logs, pressure and dynamic evidence","Transition zone — do not force to a sharp contact")))</f>
        <v/>
      </c>
    </row>
    <row r="264">
      <c r="A264" s="19">
        <f>IF(AND(Master_Data!A264&lt;&gt;"",Master_Data!A264=Master_Data!A265),Master_Data!A264,"")</f>
        <v/>
      </c>
      <c r="B264" s="19">
        <f>IF($A264="","",Master_Data!B264)</f>
        <v/>
      </c>
      <c r="C264" s="19">
        <f>IF($A264="","",Master_Data!B265)</f>
        <v/>
      </c>
      <c r="D264" s="19">
        <f>IF($A264="","",Master_Data!Q264)</f>
        <v/>
      </c>
      <c r="E264" s="19">
        <f>IF($A264="","",Master_Data!Q265)</f>
        <v/>
      </c>
      <c r="F264" s="19">
        <f>IF($A264="","",IF(AND(D264="GAS",E264="OIL"),"GOC",IF(AND(D264="OIL",E264="WATER"),"OWC",IF(AND(D264="GAS",E264="WATER"),"GWC",IF(AND(D264="OIL",E264="OIL_WATER"),"OWC_TRANSITION",IF(AND(D264="OIL_WATER",E264="WATER"),"OWC_TRANSITION",IF(AND(D264="GAS",E264="GAS_WATER"),"GOC_TRANSITION",IF(AND(D264="GAS_WATER",E264="OIL"),"GOC_TRANSITION",IF(OR(D264="OIL_WATER",D264="GAS_WATER"),"TRANSITION_INTERVAL","")))))))))</f>
        <v/>
      </c>
      <c r="G264" s="20">
        <f>IF(OR(F264="",Master_Data!R264="",Master_Data!S264=""),"",IF(RIGHT(F264,10)="TRANSITION",AVERAGE(Master_Data!R264:Master_Data!S264),AVERAGE(Master_Data!S264,Master_Data!R265)))</f>
        <v/>
      </c>
      <c r="H264" s="20">
        <f>IF(G264="","",MAX(Settings!$B$4,Settings!$B$5*AVERAGE(IF(Master_Data!O264&lt;&gt;"",Master_Data!O264,Master_Data!H264),IF(Master_Data!O265&lt;&gt;"",Master_Data!O265,Master_Data!H265))))</f>
        <v/>
      </c>
      <c r="I264" s="20">
        <f>IF(G264="","",G264-H264)</f>
        <v/>
      </c>
      <c r="J264" s="20">
        <f>IF(G264="","",G264+H264)</f>
        <v/>
      </c>
      <c r="K264" s="20">
        <f>IF($A264="","",Master_Data!G264)</f>
        <v/>
      </c>
      <c r="L264" s="20">
        <f>IF($A264="","",Master_Data!G265)</f>
        <v/>
      </c>
      <c r="M264" s="20">
        <f>IF(AND(ISNUMBER(K264),ISNUMBER(L264)),L264-K264,"")</f>
        <v/>
      </c>
      <c r="N264" s="19">
        <f>IF(G264="","",IF(AND(ISNUMBER(K264),ISNUMBER(L264)),IF(OR(F264="GOC",F264="OWC",F264="GWC",F264="OWC_TRANSITION",F264="GOC_TRANSITION"),IF(L264&gt;=K264,"Supports","Conflicts"),"N/A"),"No Sw"))</f>
        <v/>
      </c>
      <c r="O264" s="20">
        <f>IF(G264="","",Settings!$B$6*IF(OR(F264="GOC",F264="OWC",F264="GWC"),1,0.7)+Settings!$B$7*IF(N264="Supports",1,IF(N264="Conflicts",0,0.5))+Settings!$B$8*IF(AND(Master_Data!R264&lt;&gt;"",Master_Data!S264&lt;&gt;"",Master_Data!R265&lt;&gt;"",Master_Data!S265&lt;&gt;""),1,0.5))</f>
        <v/>
      </c>
      <c r="P264" s="19">
        <f>IF(G264="","",IF(N264="Conflicts","SW_CONFLICT",IF(OR(F264="GOC",F264="OWC",F264="GWC"),"DIRECT_FLUID_TRANSITION","TRANSITION_INTERVAL")))</f>
        <v/>
      </c>
      <c r="Q264" s="19">
        <f>IF(G264="","",IF(N264="Conflicts","Investigate contact interpretation / saturation behaviour",IF(OR(F264="OWC",F264="GOC",F264="GWC"),"Candidate contact — validate with logs, pressure and dynamic evidence","Transition zone — do not force to a sharp contact")))</f>
        <v/>
      </c>
    </row>
    <row r="265">
      <c r="A265" s="19">
        <f>IF(AND(Master_Data!A265&lt;&gt;"",Master_Data!A265=Master_Data!A266),Master_Data!A265,"")</f>
        <v/>
      </c>
      <c r="B265" s="19">
        <f>IF($A265="","",Master_Data!B265)</f>
        <v/>
      </c>
      <c r="C265" s="19">
        <f>IF($A265="","",Master_Data!B266)</f>
        <v/>
      </c>
      <c r="D265" s="19">
        <f>IF($A265="","",Master_Data!Q265)</f>
        <v/>
      </c>
      <c r="E265" s="19">
        <f>IF($A265="","",Master_Data!Q266)</f>
        <v/>
      </c>
      <c r="F265" s="19">
        <f>IF($A265="","",IF(AND(D265="GAS",E265="OIL"),"GOC",IF(AND(D265="OIL",E265="WATER"),"OWC",IF(AND(D265="GAS",E265="WATER"),"GWC",IF(AND(D265="OIL",E265="OIL_WATER"),"OWC_TRANSITION",IF(AND(D265="OIL_WATER",E265="WATER"),"OWC_TRANSITION",IF(AND(D265="GAS",E265="GAS_WATER"),"GOC_TRANSITION",IF(AND(D265="GAS_WATER",E265="OIL"),"GOC_TRANSITION",IF(OR(D265="OIL_WATER",D265="GAS_WATER"),"TRANSITION_INTERVAL","")))))))))</f>
        <v/>
      </c>
      <c r="G265" s="20">
        <f>IF(OR(F265="",Master_Data!R265="",Master_Data!S265=""),"",IF(RIGHT(F265,10)="TRANSITION",AVERAGE(Master_Data!R265:Master_Data!S265),AVERAGE(Master_Data!S265,Master_Data!R266)))</f>
        <v/>
      </c>
      <c r="H265" s="20">
        <f>IF(G265="","",MAX(Settings!$B$4,Settings!$B$5*AVERAGE(IF(Master_Data!O265&lt;&gt;"",Master_Data!O265,Master_Data!H265),IF(Master_Data!O266&lt;&gt;"",Master_Data!O266,Master_Data!H266))))</f>
        <v/>
      </c>
      <c r="I265" s="20">
        <f>IF(G265="","",G265-H265)</f>
        <v/>
      </c>
      <c r="J265" s="20">
        <f>IF(G265="","",G265+H265)</f>
        <v/>
      </c>
      <c r="K265" s="20">
        <f>IF($A265="","",Master_Data!G265)</f>
        <v/>
      </c>
      <c r="L265" s="20">
        <f>IF($A265="","",Master_Data!G266)</f>
        <v/>
      </c>
      <c r="M265" s="20">
        <f>IF(AND(ISNUMBER(K265),ISNUMBER(L265)),L265-K265,"")</f>
        <v/>
      </c>
      <c r="N265" s="19">
        <f>IF(G265="","",IF(AND(ISNUMBER(K265),ISNUMBER(L265)),IF(OR(F265="GOC",F265="OWC",F265="GWC",F265="OWC_TRANSITION",F265="GOC_TRANSITION"),IF(L265&gt;=K265,"Supports","Conflicts"),"N/A"),"No Sw"))</f>
        <v/>
      </c>
      <c r="O265" s="20">
        <f>IF(G265="","",Settings!$B$6*IF(OR(F265="GOC",F265="OWC",F265="GWC"),1,0.7)+Settings!$B$7*IF(N265="Supports",1,IF(N265="Conflicts",0,0.5))+Settings!$B$8*IF(AND(Master_Data!R265&lt;&gt;"",Master_Data!S265&lt;&gt;"",Master_Data!R266&lt;&gt;"",Master_Data!S266&lt;&gt;""),1,0.5))</f>
        <v/>
      </c>
      <c r="P265" s="19">
        <f>IF(G265="","",IF(N265="Conflicts","SW_CONFLICT",IF(OR(F265="GOC",F265="OWC",F265="GWC"),"DIRECT_FLUID_TRANSITION","TRANSITION_INTERVAL")))</f>
        <v/>
      </c>
      <c r="Q265" s="19">
        <f>IF(G265="","",IF(N265="Conflicts","Investigate contact interpretation / saturation behaviour",IF(OR(F265="OWC",F265="GOC",F265="GWC"),"Candidate contact — validate with logs, pressure and dynamic evidence","Transition zone — do not force to a sharp contact")))</f>
        <v/>
      </c>
    </row>
    <row r="266">
      <c r="A266" s="19">
        <f>IF(AND(Master_Data!A266&lt;&gt;"",Master_Data!A266=Master_Data!A267),Master_Data!A266,"")</f>
        <v/>
      </c>
      <c r="B266" s="19">
        <f>IF($A266="","",Master_Data!B266)</f>
        <v/>
      </c>
      <c r="C266" s="19">
        <f>IF($A266="","",Master_Data!B267)</f>
        <v/>
      </c>
      <c r="D266" s="19">
        <f>IF($A266="","",Master_Data!Q266)</f>
        <v/>
      </c>
      <c r="E266" s="19">
        <f>IF($A266="","",Master_Data!Q267)</f>
        <v/>
      </c>
      <c r="F266" s="19">
        <f>IF($A266="","",IF(AND(D266="GAS",E266="OIL"),"GOC",IF(AND(D266="OIL",E266="WATER"),"OWC",IF(AND(D266="GAS",E266="WATER"),"GWC",IF(AND(D266="OIL",E266="OIL_WATER"),"OWC_TRANSITION",IF(AND(D266="OIL_WATER",E266="WATER"),"OWC_TRANSITION",IF(AND(D266="GAS",E266="GAS_WATER"),"GOC_TRANSITION",IF(AND(D266="GAS_WATER",E266="OIL"),"GOC_TRANSITION",IF(OR(D266="OIL_WATER",D266="GAS_WATER"),"TRANSITION_INTERVAL","")))))))))</f>
        <v/>
      </c>
      <c r="G266" s="20">
        <f>IF(OR(F266="",Master_Data!R266="",Master_Data!S266=""),"",IF(RIGHT(F266,10)="TRANSITION",AVERAGE(Master_Data!R266:Master_Data!S266),AVERAGE(Master_Data!S266,Master_Data!R267)))</f>
        <v/>
      </c>
      <c r="H266" s="20">
        <f>IF(G266="","",MAX(Settings!$B$4,Settings!$B$5*AVERAGE(IF(Master_Data!O266&lt;&gt;"",Master_Data!O266,Master_Data!H266),IF(Master_Data!O267&lt;&gt;"",Master_Data!O267,Master_Data!H267))))</f>
        <v/>
      </c>
      <c r="I266" s="20">
        <f>IF(G266="","",G266-H266)</f>
        <v/>
      </c>
      <c r="J266" s="20">
        <f>IF(G266="","",G266+H266)</f>
        <v/>
      </c>
      <c r="K266" s="20">
        <f>IF($A266="","",Master_Data!G266)</f>
        <v/>
      </c>
      <c r="L266" s="20">
        <f>IF($A266="","",Master_Data!G267)</f>
        <v/>
      </c>
      <c r="M266" s="20">
        <f>IF(AND(ISNUMBER(K266),ISNUMBER(L266)),L266-K266,"")</f>
        <v/>
      </c>
      <c r="N266" s="19">
        <f>IF(G266="","",IF(AND(ISNUMBER(K266),ISNUMBER(L266)),IF(OR(F266="GOC",F266="OWC",F266="GWC",F266="OWC_TRANSITION",F266="GOC_TRANSITION"),IF(L266&gt;=K266,"Supports","Conflicts"),"N/A"),"No Sw"))</f>
        <v/>
      </c>
      <c r="O266" s="20">
        <f>IF(G266="","",Settings!$B$6*IF(OR(F266="GOC",F266="OWC",F266="GWC"),1,0.7)+Settings!$B$7*IF(N266="Supports",1,IF(N266="Conflicts",0,0.5))+Settings!$B$8*IF(AND(Master_Data!R266&lt;&gt;"",Master_Data!S266&lt;&gt;"",Master_Data!R267&lt;&gt;"",Master_Data!S267&lt;&gt;""),1,0.5))</f>
        <v/>
      </c>
      <c r="P266" s="19">
        <f>IF(G266="","",IF(N266="Conflicts","SW_CONFLICT",IF(OR(F266="GOC",F266="OWC",F266="GWC"),"DIRECT_FLUID_TRANSITION","TRANSITION_INTERVAL")))</f>
        <v/>
      </c>
      <c r="Q266" s="19">
        <f>IF(G266="","",IF(N266="Conflicts","Investigate contact interpretation / saturation behaviour",IF(OR(F266="OWC",F266="GOC",F266="GWC"),"Candidate contact — validate with logs, pressure and dynamic evidence","Transition zone — do not force to a sharp contact")))</f>
        <v/>
      </c>
    </row>
    <row r="267">
      <c r="A267" s="19">
        <f>IF(AND(Master_Data!A267&lt;&gt;"",Master_Data!A267=Master_Data!A268),Master_Data!A267,"")</f>
        <v/>
      </c>
      <c r="B267" s="19">
        <f>IF($A267="","",Master_Data!B267)</f>
        <v/>
      </c>
      <c r="C267" s="19">
        <f>IF($A267="","",Master_Data!B268)</f>
        <v/>
      </c>
      <c r="D267" s="19">
        <f>IF($A267="","",Master_Data!Q267)</f>
        <v/>
      </c>
      <c r="E267" s="19">
        <f>IF($A267="","",Master_Data!Q268)</f>
        <v/>
      </c>
      <c r="F267" s="19">
        <f>IF($A267="","",IF(AND(D267="GAS",E267="OIL"),"GOC",IF(AND(D267="OIL",E267="WATER"),"OWC",IF(AND(D267="GAS",E267="WATER"),"GWC",IF(AND(D267="OIL",E267="OIL_WATER"),"OWC_TRANSITION",IF(AND(D267="OIL_WATER",E267="WATER"),"OWC_TRANSITION",IF(AND(D267="GAS",E267="GAS_WATER"),"GOC_TRANSITION",IF(AND(D267="GAS_WATER",E267="OIL"),"GOC_TRANSITION",IF(OR(D267="OIL_WATER",D267="GAS_WATER"),"TRANSITION_INTERVAL","")))))))))</f>
        <v/>
      </c>
      <c r="G267" s="20">
        <f>IF(OR(F267="",Master_Data!R267="",Master_Data!S267=""),"",IF(RIGHT(F267,10)="TRANSITION",AVERAGE(Master_Data!R267:Master_Data!S267),AVERAGE(Master_Data!S267,Master_Data!R268)))</f>
        <v/>
      </c>
      <c r="H267" s="20">
        <f>IF(G267="","",MAX(Settings!$B$4,Settings!$B$5*AVERAGE(IF(Master_Data!O267&lt;&gt;"",Master_Data!O267,Master_Data!H267),IF(Master_Data!O268&lt;&gt;"",Master_Data!O268,Master_Data!H268))))</f>
        <v/>
      </c>
      <c r="I267" s="20">
        <f>IF(G267="","",G267-H267)</f>
        <v/>
      </c>
      <c r="J267" s="20">
        <f>IF(G267="","",G267+H267)</f>
        <v/>
      </c>
      <c r="K267" s="20">
        <f>IF($A267="","",Master_Data!G267)</f>
        <v/>
      </c>
      <c r="L267" s="20">
        <f>IF($A267="","",Master_Data!G268)</f>
        <v/>
      </c>
      <c r="M267" s="20">
        <f>IF(AND(ISNUMBER(K267),ISNUMBER(L267)),L267-K267,"")</f>
        <v/>
      </c>
      <c r="N267" s="19">
        <f>IF(G267="","",IF(AND(ISNUMBER(K267),ISNUMBER(L267)),IF(OR(F267="GOC",F267="OWC",F267="GWC",F267="OWC_TRANSITION",F267="GOC_TRANSITION"),IF(L267&gt;=K267,"Supports","Conflicts"),"N/A"),"No Sw"))</f>
        <v/>
      </c>
      <c r="O267" s="20">
        <f>IF(G267="","",Settings!$B$6*IF(OR(F267="GOC",F267="OWC",F267="GWC"),1,0.7)+Settings!$B$7*IF(N267="Supports",1,IF(N267="Conflicts",0,0.5))+Settings!$B$8*IF(AND(Master_Data!R267&lt;&gt;"",Master_Data!S267&lt;&gt;"",Master_Data!R268&lt;&gt;"",Master_Data!S268&lt;&gt;""),1,0.5))</f>
        <v/>
      </c>
      <c r="P267" s="19">
        <f>IF(G267="","",IF(N267="Conflicts","SW_CONFLICT",IF(OR(F267="GOC",F267="OWC",F267="GWC"),"DIRECT_FLUID_TRANSITION","TRANSITION_INTERVAL")))</f>
        <v/>
      </c>
      <c r="Q267" s="19">
        <f>IF(G267="","",IF(N267="Conflicts","Investigate contact interpretation / saturation behaviour",IF(OR(F267="OWC",F267="GOC",F267="GWC"),"Candidate contact — validate with logs, pressure and dynamic evidence","Transition zone — do not force to a sharp contact")))</f>
        <v/>
      </c>
    </row>
    <row r="268">
      <c r="A268" s="19">
        <f>IF(AND(Master_Data!A268&lt;&gt;"",Master_Data!A268=Master_Data!A269),Master_Data!A268,"")</f>
        <v/>
      </c>
      <c r="B268" s="19">
        <f>IF($A268="","",Master_Data!B268)</f>
        <v/>
      </c>
      <c r="C268" s="19">
        <f>IF($A268="","",Master_Data!B269)</f>
        <v/>
      </c>
      <c r="D268" s="19">
        <f>IF($A268="","",Master_Data!Q268)</f>
        <v/>
      </c>
      <c r="E268" s="19">
        <f>IF($A268="","",Master_Data!Q269)</f>
        <v/>
      </c>
      <c r="F268" s="19">
        <f>IF($A268="","",IF(AND(D268="GAS",E268="OIL"),"GOC",IF(AND(D268="OIL",E268="WATER"),"OWC",IF(AND(D268="GAS",E268="WATER"),"GWC",IF(AND(D268="OIL",E268="OIL_WATER"),"OWC_TRANSITION",IF(AND(D268="OIL_WATER",E268="WATER"),"OWC_TRANSITION",IF(AND(D268="GAS",E268="GAS_WATER"),"GOC_TRANSITION",IF(AND(D268="GAS_WATER",E268="OIL"),"GOC_TRANSITION",IF(OR(D268="OIL_WATER",D268="GAS_WATER"),"TRANSITION_INTERVAL","")))))))))</f>
        <v/>
      </c>
      <c r="G268" s="20">
        <f>IF(OR(F268="",Master_Data!R268="",Master_Data!S268=""),"",IF(RIGHT(F268,10)="TRANSITION",AVERAGE(Master_Data!R268:Master_Data!S268),AVERAGE(Master_Data!S268,Master_Data!R269)))</f>
        <v/>
      </c>
      <c r="H268" s="20">
        <f>IF(G268="","",MAX(Settings!$B$4,Settings!$B$5*AVERAGE(IF(Master_Data!O268&lt;&gt;"",Master_Data!O268,Master_Data!H268),IF(Master_Data!O269&lt;&gt;"",Master_Data!O269,Master_Data!H269))))</f>
        <v/>
      </c>
      <c r="I268" s="20">
        <f>IF(G268="","",G268-H268)</f>
        <v/>
      </c>
      <c r="J268" s="20">
        <f>IF(G268="","",G268+H268)</f>
        <v/>
      </c>
      <c r="K268" s="20">
        <f>IF($A268="","",Master_Data!G268)</f>
        <v/>
      </c>
      <c r="L268" s="20">
        <f>IF($A268="","",Master_Data!G269)</f>
        <v/>
      </c>
      <c r="M268" s="20">
        <f>IF(AND(ISNUMBER(K268),ISNUMBER(L268)),L268-K268,"")</f>
        <v/>
      </c>
      <c r="N268" s="19">
        <f>IF(G268="","",IF(AND(ISNUMBER(K268),ISNUMBER(L268)),IF(OR(F268="GOC",F268="OWC",F268="GWC",F268="OWC_TRANSITION",F268="GOC_TRANSITION"),IF(L268&gt;=K268,"Supports","Conflicts"),"N/A"),"No Sw"))</f>
        <v/>
      </c>
      <c r="O268" s="20">
        <f>IF(G268="","",Settings!$B$6*IF(OR(F268="GOC",F268="OWC",F268="GWC"),1,0.7)+Settings!$B$7*IF(N268="Supports",1,IF(N268="Conflicts",0,0.5))+Settings!$B$8*IF(AND(Master_Data!R268&lt;&gt;"",Master_Data!S268&lt;&gt;"",Master_Data!R269&lt;&gt;"",Master_Data!S269&lt;&gt;""),1,0.5))</f>
        <v/>
      </c>
      <c r="P268" s="19">
        <f>IF(G268="","",IF(N268="Conflicts","SW_CONFLICT",IF(OR(F268="GOC",F268="OWC",F268="GWC"),"DIRECT_FLUID_TRANSITION","TRANSITION_INTERVAL")))</f>
        <v/>
      </c>
      <c r="Q268" s="19">
        <f>IF(G268="","",IF(N268="Conflicts","Investigate contact interpretation / saturation behaviour",IF(OR(F268="OWC",F268="GOC",F268="GWC"),"Candidate contact — validate with logs, pressure and dynamic evidence","Transition zone — do not force to a sharp contact")))</f>
        <v/>
      </c>
    </row>
    <row r="269">
      <c r="A269" s="19">
        <f>IF(AND(Master_Data!A269&lt;&gt;"",Master_Data!A269=Master_Data!A270),Master_Data!A269,"")</f>
        <v/>
      </c>
      <c r="B269" s="19">
        <f>IF($A269="","",Master_Data!B269)</f>
        <v/>
      </c>
      <c r="C269" s="19">
        <f>IF($A269="","",Master_Data!B270)</f>
        <v/>
      </c>
      <c r="D269" s="19">
        <f>IF($A269="","",Master_Data!Q269)</f>
        <v/>
      </c>
      <c r="E269" s="19">
        <f>IF($A269="","",Master_Data!Q270)</f>
        <v/>
      </c>
      <c r="F269" s="19">
        <f>IF($A269="","",IF(AND(D269="GAS",E269="OIL"),"GOC",IF(AND(D269="OIL",E269="WATER"),"OWC",IF(AND(D269="GAS",E269="WATER"),"GWC",IF(AND(D269="OIL",E269="OIL_WATER"),"OWC_TRANSITION",IF(AND(D269="OIL_WATER",E269="WATER"),"OWC_TRANSITION",IF(AND(D269="GAS",E269="GAS_WATER"),"GOC_TRANSITION",IF(AND(D269="GAS_WATER",E269="OIL"),"GOC_TRANSITION",IF(OR(D269="OIL_WATER",D269="GAS_WATER"),"TRANSITION_INTERVAL","")))))))))</f>
        <v/>
      </c>
      <c r="G269" s="20">
        <f>IF(OR(F269="",Master_Data!R269="",Master_Data!S269=""),"",IF(RIGHT(F269,10)="TRANSITION",AVERAGE(Master_Data!R269:Master_Data!S269),AVERAGE(Master_Data!S269,Master_Data!R270)))</f>
        <v/>
      </c>
      <c r="H269" s="20">
        <f>IF(G269="","",MAX(Settings!$B$4,Settings!$B$5*AVERAGE(IF(Master_Data!O269&lt;&gt;"",Master_Data!O269,Master_Data!H269),IF(Master_Data!O270&lt;&gt;"",Master_Data!O270,Master_Data!H270))))</f>
        <v/>
      </c>
      <c r="I269" s="20">
        <f>IF(G269="","",G269-H269)</f>
        <v/>
      </c>
      <c r="J269" s="20">
        <f>IF(G269="","",G269+H269)</f>
        <v/>
      </c>
      <c r="K269" s="20">
        <f>IF($A269="","",Master_Data!G269)</f>
        <v/>
      </c>
      <c r="L269" s="20">
        <f>IF($A269="","",Master_Data!G270)</f>
        <v/>
      </c>
      <c r="M269" s="20">
        <f>IF(AND(ISNUMBER(K269),ISNUMBER(L269)),L269-K269,"")</f>
        <v/>
      </c>
      <c r="N269" s="19">
        <f>IF(G269="","",IF(AND(ISNUMBER(K269),ISNUMBER(L269)),IF(OR(F269="GOC",F269="OWC",F269="GWC",F269="OWC_TRANSITION",F269="GOC_TRANSITION"),IF(L269&gt;=K269,"Supports","Conflicts"),"N/A"),"No Sw"))</f>
        <v/>
      </c>
      <c r="O269" s="20">
        <f>IF(G269="","",Settings!$B$6*IF(OR(F269="GOC",F269="OWC",F269="GWC"),1,0.7)+Settings!$B$7*IF(N269="Supports",1,IF(N269="Conflicts",0,0.5))+Settings!$B$8*IF(AND(Master_Data!R269&lt;&gt;"",Master_Data!S269&lt;&gt;"",Master_Data!R270&lt;&gt;"",Master_Data!S270&lt;&gt;""),1,0.5))</f>
        <v/>
      </c>
      <c r="P269" s="19">
        <f>IF(G269="","",IF(N269="Conflicts","SW_CONFLICT",IF(OR(F269="GOC",F269="OWC",F269="GWC"),"DIRECT_FLUID_TRANSITION","TRANSITION_INTERVAL")))</f>
        <v/>
      </c>
      <c r="Q269" s="19">
        <f>IF(G269="","",IF(N269="Conflicts","Investigate contact interpretation / saturation behaviour",IF(OR(F269="OWC",F269="GOC",F269="GWC"),"Candidate contact — validate with logs, pressure and dynamic evidence","Transition zone — do not force to a sharp contact")))</f>
        <v/>
      </c>
    </row>
    <row r="270">
      <c r="A270" s="19">
        <f>IF(AND(Master_Data!A270&lt;&gt;"",Master_Data!A270=Master_Data!A271),Master_Data!A270,"")</f>
        <v/>
      </c>
      <c r="B270" s="19">
        <f>IF($A270="","",Master_Data!B270)</f>
        <v/>
      </c>
      <c r="C270" s="19">
        <f>IF($A270="","",Master_Data!B271)</f>
        <v/>
      </c>
      <c r="D270" s="19">
        <f>IF($A270="","",Master_Data!Q270)</f>
        <v/>
      </c>
      <c r="E270" s="19">
        <f>IF($A270="","",Master_Data!Q271)</f>
        <v/>
      </c>
      <c r="F270" s="19">
        <f>IF($A270="","",IF(AND(D270="GAS",E270="OIL"),"GOC",IF(AND(D270="OIL",E270="WATER"),"OWC",IF(AND(D270="GAS",E270="WATER"),"GWC",IF(AND(D270="OIL",E270="OIL_WATER"),"OWC_TRANSITION",IF(AND(D270="OIL_WATER",E270="WATER"),"OWC_TRANSITION",IF(AND(D270="GAS",E270="GAS_WATER"),"GOC_TRANSITION",IF(AND(D270="GAS_WATER",E270="OIL"),"GOC_TRANSITION",IF(OR(D270="OIL_WATER",D270="GAS_WATER"),"TRANSITION_INTERVAL","")))))))))</f>
        <v/>
      </c>
      <c r="G270" s="20">
        <f>IF(OR(F270="",Master_Data!R270="",Master_Data!S270=""),"",IF(RIGHT(F270,10)="TRANSITION",AVERAGE(Master_Data!R270:Master_Data!S270),AVERAGE(Master_Data!S270,Master_Data!R271)))</f>
        <v/>
      </c>
      <c r="H270" s="20">
        <f>IF(G270="","",MAX(Settings!$B$4,Settings!$B$5*AVERAGE(IF(Master_Data!O270&lt;&gt;"",Master_Data!O270,Master_Data!H270),IF(Master_Data!O271&lt;&gt;"",Master_Data!O271,Master_Data!H271))))</f>
        <v/>
      </c>
      <c r="I270" s="20">
        <f>IF(G270="","",G270-H270)</f>
        <v/>
      </c>
      <c r="J270" s="20">
        <f>IF(G270="","",G270+H270)</f>
        <v/>
      </c>
      <c r="K270" s="20">
        <f>IF($A270="","",Master_Data!G270)</f>
        <v/>
      </c>
      <c r="L270" s="20">
        <f>IF($A270="","",Master_Data!G271)</f>
        <v/>
      </c>
      <c r="M270" s="20">
        <f>IF(AND(ISNUMBER(K270),ISNUMBER(L270)),L270-K270,"")</f>
        <v/>
      </c>
      <c r="N270" s="19">
        <f>IF(G270="","",IF(AND(ISNUMBER(K270),ISNUMBER(L270)),IF(OR(F270="GOC",F270="OWC",F270="GWC",F270="OWC_TRANSITION",F270="GOC_TRANSITION"),IF(L270&gt;=K270,"Supports","Conflicts"),"N/A"),"No Sw"))</f>
        <v/>
      </c>
      <c r="O270" s="20">
        <f>IF(G270="","",Settings!$B$6*IF(OR(F270="GOC",F270="OWC",F270="GWC"),1,0.7)+Settings!$B$7*IF(N270="Supports",1,IF(N270="Conflicts",0,0.5))+Settings!$B$8*IF(AND(Master_Data!R270&lt;&gt;"",Master_Data!S270&lt;&gt;"",Master_Data!R271&lt;&gt;"",Master_Data!S271&lt;&gt;""),1,0.5))</f>
        <v/>
      </c>
      <c r="P270" s="19">
        <f>IF(G270="","",IF(N270="Conflicts","SW_CONFLICT",IF(OR(F270="GOC",F270="OWC",F270="GWC"),"DIRECT_FLUID_TRANSITION","TRANSITION_INTERVAL")))</f>
        <v/>
      </c>
      <c r="Q270" s="19">
        <f>IF(G270="","",IF(N270="Conflicts","Investigate contact interpretation / saturation behaviour",IF(OR(F270="OWC",F270="GOC",F270="GWC"),"Candidate contact — validate with logs, pressure and dynamic evidence","Transition zone — do not force to a sharp contact")))</f>
        <v/>
      </c>
    </row>
    <row r="271">
      <c r="A271" s="19">
        <f>IF(AND(Master_Data!A271&lt;&gt;"",Master_Data!A271=Master_Data!A272),Master_Data!A271,"")</f>
        <v/>
      </c>
      <c r="B271" s="19">
        <f>IF($A271="","",Master_Data!B271)</f>
        <v/>
      </c>
      <c r="C271" s="19">
        <f>IF($A271="","",Master_Data!B272)</f>
        <v/>
      </c>
      <c r="D271" s="19">
        <f>IF($A271="","",Master_Data!Q271)</f>
        <v/>
      </c>
      <c r="E271" s="19">
        <f>IF($A271="","",Master_Data!Q272)</f>
        <v/>
      </c>
      <c r="F271" s="19">
        <f>IF($A271="","",IF(AND(D271="GAS",E271="OIL"),"GOC",IF(AND(D271="OIL",E271="WATER"),"OWC",IF(AND(D271="GAS",E271="WATER"),"GWC",IF(AND(D271="OIL",E271="OIL_WATER"),"OWC_TRANSITION",IF(AND(D271="OIL_WATER",E271="WATER"),"OWC_TRANSITION",IF(AND(D271="GAS",E271="GAS_WATER"),"GOC_TRANSITION",IF(AND(D271="GAS_WATER",E271="OIL"),"GOC_TRANSITION",IF(OR(D271="OIL_WATER",D271="GAS_WATER"),"TRANSITION_INTERVAL","")))))))))</f>
        <v/>
      </c>
      <c r="G271" s="20">
        <f>IF(OR(F271="",Master_Data!R271="",Master_Data!S271=""),"",IF(RIGHT(F271,10)="TRANSITION",AVERAGE(Master_Data!R271:Master_Data!S271),AVERAGE(Master_Data!S271,Master_Data!R272)))</f>
        <v/>
      </c>
      <c r="H271" s="20">
        <f>IF(G271="","",MAX(Settings!$B$4,Settings!$B$5*AVERAGE(IF(Master_Data!O271&lt;&gt;"",Master_Data!O271,Master_Data!H271),IF(Master_Data!O272&lt;&gt;"",Master_Data!O272,Master_Data!H272))))</f>
        <v/>
      </c>
      <c r="I271" s="20">
        <f>IF(G271="","",G271-H271)</f>
        <v/>
      </c>
      <c r="J271" s="20">
        <f>IF(G271="","",G271+H271)</f>
        <v/>
      </c>
      <c r="K271" s="20">
        <f>IF($A271="","",Master_Data!G271)</f>
        <v/>
      </c>
      <c r="L271" s="20">
        <f>IF($A271="","",Master_Data!G272)</f>
        <v/>
      </c>
      <c r="M271" s="20">
        <f>IF(AND(ISNUMBER(K271),ISNUMBER(L271)),L271-K271,"")</f>
        <v/>
      </c>
      <c r="N271" s="19">
        <f>IF(G271="","",IF(AND(ISNUMBER(K271),ISNUMBER(L271)),IF(OR(F271="GOC",F271="OWC",F271="GWC",F271="OWC_TRANSITION",F271="GOC_TRANSITION"),IF(L271&gt;=K271,"Supports","Conflicts"),"N/A"),"No Sw"))</f>
        <v/>
      </c>
      <c r="O271" s="20">
        <f>IF(G271="","",Settings!$B$6*IF(OR(F271="GOC",F271="OWC",F271="GWC"),1,0.7)+Settings!$B$7*IF(N271="Supports",1,IF(N271="Conflicts",0,0.5))+Settings!$B$8*IF(AND(Master_Data!R271&lt;&gt;"",Master_Data!S271&lt;&gt;"",Master_Data!R272&lt;&gt;"",Master_Data!S272&lt;&gt;""),1,0.5))</f>
        <v/>
      </c>
      <c r="P271" s="19">
        <f>IF(G271="","",IF(N271="Conflicts","SW_CONFLICT",IF(OR(F271="GOC",F271="OWC",F271="GWC"),"DIRECT_FLUID_TRANSITION","TRANSITION_INTERVAL")))</f>
        <v/>
      </c>
      <c r="Q271" s="19">
        <f>IF(G271="","",IF(N271="Conflicts","Investigate contact interpretation / saturation behaviour",IF(OR(F271="OWC",F271="GOC",F271="GWC"),"Candidate contact — validate with logs, pressure and dynamic evidence","Transition zone — do not force to a sharp contact")))</f>
        <v/>
      </c>
    </row>
    <row r="272">
      <c r="A272" s="19">
        <f>IF(AND(Master_Data!A272&lt;&gt;"",Master_Data!A272=Master_Data!A273),Master_Data!A272,"")</f>
        <v/>
      </c>
      <c r="B272" s="19">
        <f>IF($A272="","",Master_Data!B272)</f>
        <v/>
      </c>
      <c r="C272" s="19">
        <f>IF($A272="","",Master_Data!B273)</f>
        <v/>
      </c>
      <c r="D272" s="19">
        <f>IF($A272="","",Master_Data!Q272)</f>
        <v/>
      </c>
      <c r="E272" s="19">
        <f>IF($A272="","",Master_Data!Q273)</f>
        <v/>
      </c>
      <c r="F272" s="19">
        <f>IF($A272="","",IF(AND(D272="GAS",E272="OIL"),"GOC",IF(AND(D272="OIL",E272="WATER"),"OWC",IF(AND(D272="GAS",E272="WATER"),"GWC",IF(AND(D272="OIL",E272="OIL_WATER"),"OWC_TRANSITION",IF(AND(D272="OIL_WATER",E272="WATER"),"OWC_TRANSITION",IF(AND(D272="GAS",E272="GAS_WATER"),"GOC_TRANSITION",IF(AND(D272="GAS_WATER",E272="OIL"),"GOC_TRANSITION",IF(OR(D272="OIL_WATER",D272="GAS_WATER"),"TRANSITION_INTERVAL","")))))))))</f>
        <v/>
      </c>
      <c r="G272" s="20">
        <f>IF(OR(F272="",Master_Data!R272="",Master_Data!S272=""),"",IF(RIGHT(F272,10)="TRANSITION",AVERAGE(Master_Data!R272:Master_Data!S272),AVERAGE(Master_Data!S272,Master_Data!R273)))</f>
        <v/>
      </c>
      <c r="H272" s="20">
        <f>IF(G272="","",MAX(Settings!$B$4,Settings!$B$5*AVERAGE(IF(Master_Data!O272&lt;&gt;"",Master_Data!O272,Master_Data!H272),IF(Master_Data!O273&lt;&gt;"",Master_Data!O273,Master_Data!H273))))</f>
        <v/>
      </c>
      <c r="I272" s="20">
        <f>IF(G272="","",G272-H272)</f>
        <v/>
      </c>
      <c r="J272" s="20">
        <f>IF(G272="","",G272+H272)</f>
        <v/>
      </c>
      <c r="K272" s="20">
        <f>IF($A272="","",Master_Data!G272)</f>
        <v/>
      </c>
      <c r="L272" s="20">
        <f>IF($A272="","",Master_Data!G273)</f>
        <v/>
      </c>
      <c r="M272" s="20">
        <f>IF(AND(ISNUMBER(K272),ISNUMBER(L272)),L272-K272,"")</f>
        <v/>
      </c>
      <c r="N272" s="19">
        <f>IF(G272="","",IF(AND(ISNUMBER(K272),ISNUMBER(L272)),IF(OR(F272="GOC",F272="OWC",F272="GWC",F272="OWC_TRANSITION",F272="GOC_TRANSITION"),IF(L272&gt;=K272,"Supports","Conflicts"),"N/A"),"No Sw"))</f>
        <v/>
      </c>
      <c r="O272" s="20">
        <f>IF(G272="","",Settings!$B$6*IF(OR(F272="GOC",F272="OWC",F272="GWC"),1,0.7)+Settings!$B$7*IF(N272="Supports",1,IF(N272="Conflicts",0,0.5))+Settings!$B$8*IF(AND(Master_Data!R272&lt;&gt;"",Master_Data!S272&lt;&gt;"",Master_Data!R273&lt;&gt;"",Master_Data!S273&lt;&gt;""),1,0.5))</f>
        <v/>
      </c>
      <c r="P272" s="19">
        <f>IF(G272="","",IF(N272="Conflicts","SW_CONFLICT",IF(OR(F272="GOC",F272="OWC",F272="GWC"),"DIRECT_FLUID_TRANSITION","TRANSITION_INTERVAL")))</f>
        <v/>
      </c>
      <c r="Q272" s="19">
        <f>IF(G272="","",IF(N272="Conflicts","Investigate contact interpretation / saturation behaviour",IF(OR(F272="OWC",F272="GOC",F272="GWC"),"Candidate contact — validate with logs, pressure and dynamic evidence","Transition zone — do not force to a sharp contact")))</f>
        <v/>
      </c>
    </row>
    <row r="273">
      <c r="A273" s="19">
        <f>IF(AND(Master_Data!A273&lt;&gt;"",Master_Data!A273=Master_Data!A274),Master_Data!A273,"")</f>
        <v/>
      </c>
      <c r="B273" s="19">
        <f>IF($A273="","",Master_Data!B273)</f>
        <v/>
      </c>
      <c r="C273" s="19">
        <f>IF($A273="","",Master_Data!B274)</f>
        <v/>
      </c>
      <c r="D273" s="19">
        <f>IF($A273="","",Master_Data!Q273)</f>
        <v/>
      </c>
      <c r="E273" s="19">
        <f>IF($A273="","",Master_Data!Q274)</f>
        <v/>
      </c>
      <c r="F273" s="19">
        <f>IF($A273="","",IF(AND(D273="GAS",E273="OIL"),"GOC",IF(AND(D273="OIL",E273="WATER"),"OWC",IF(AND(D273="GAS",E273="WATER"),"GWC",IF(AND(D273="OIL",E273="OIL_WATER"),"OWC_TRANSITION",IF(AND(D273="OIL_WATER",E273="WATER"),"OWC_TRANSITION",IF(AND(D273="GAS",E273="GAS_WATER"),"GOC_TRANSITION",IF(AND(D273="GAS_WATER",E273="OIL"),"GOC_TRANSITION",IF(OR(D273="OIL_WATER",D273="GAS_WATER"),"TRANSITION_INTERVAL","")))))))))</f>
        <v/>
      </c>
      <c r="G273" s="20">
        <f>IF(OR(F273="",Master_Data!R273="",Master_Data!S273=""),"",IF(RIGHT(F273,10)="TRANSITION",AVERAGE(Master_Data!R273:Master_Data!S273),AVERAGE(Master_Data!S273,Master_Data!R274)))</f>
        <v/>
      </c>
      <c r="H273" s="20">
        <f>IF(G273="","",MAX(Settings!$B$4,Settings!$B$5*AVERAGE(IF(Master_Data!O273&lt;&gt;"",Master_Data!O273,Master_Data!H273),IF(Master_Data!O274&lt;&gt;"",Master_Data!O274,Master_Data!H274))))</f>
        <v/>
      </c>
      <c r="I273" s="20">
        <f>IF(G273="","",G273-H273)</f>
        <v/>
      </c>
      <c r="J273" s="20">
        <f>IF(G273="","",G273+H273)</f>
        <v/>
      </c>
      <c r="K273" s="20">
        <f>IF($A273="","",Master_Data!G273)</f>
        <v/>
      </c>
      <c r="L273" s="20">
        <f>IF($A273="","",Master_Data!G274)</f>
        <v/>
      </c>
      <c r="M273" s="20">
        <f>IF(AND(ISNUMBER(K273),ISNUMBER(L273)),L273-K273,"")</f>
        <v/>
      </c>
      <c r="N273" s="19">
        <f>IF(G273="","",IF(AND(ISNUMBER(K273),ISNUMBER(L273)),IF(OR(F273="GOC",F273="OWC",F273="GWC",F273="OWC_TRANSITION",F273="GOC_TRANSITION"),IF(L273&gt;=K273,"Supports","Conflicts"),"N/A"),"No Sw"))</f>
        <v/>
      </c>
      <c r="O273" s="20">
        <f>IF(G273="","",Settings!$B$6*IF(OR(F273="GOC",F273="OWC",F273="GWC"),1,0.7)+Settings!$B$7*IF(N273="Supports",1,IF(N273="Conflicts",0,0.5))+Settings!$B$8*IF(AND(Master_Data!R273&lt;&gt;"",Master_Data!S273&lt;&gt;"",Master_Data!R274&lt;&gt;"",Master_Data!S274&lt;&gt;""),1,0.5))</f>
        <v/>
      </c>
      <c r="P273" s="19">
        <f>IF(G273="","",IF(N273="Conflicts","SW_CONFLICT",IF(OR(F273="GOC",F273="OWC",F273="GWC"),"DIRECT_FLUID_TRANSITION","TRANSITION_INTERVAL")))</f>
        <v/>
      </c>
      <c r="Q273" s="19">
        <f>IF(G273="","",IF(N273="Conflicts","Investigate contact interpretation / saturation behaviour",IF(OR(F273="OWC",F273="GOC",F273="GWC"),"Candidate contact — validate with logs, pressure and dynamic evidence","Transition zone — do not force to a sharp contact")))</f>
        <v/>
      </c>
    </row>
    <row r="274">
      <c r="A274" s="19">
        <f>IF(AND(Master_Data!A274&lt;&gt;"",Master_Data!A274=Master_Data!A275),Master_Data!A274,"")</f>
        <v/>
      </c>
      <c r="B274" s="19">
        <f>IF($A274="","",Master_Data!B274)</f>
        <v/>
      </c>
      <c r="C274" s="19">
        <f>IF($A274="","",Master_Data!B275)</f>
        <v/>
      </c>
      <c r="D274" s="19">
        <f>IF($A274="","",Master_Data!Q274)</f>
        <v/>
      </c>
      <c r="E274" s="19">
        <f>IF($A274="","",Master_Data!Q275)</f>
        <v/>
      </c>
      <c r="F274" s="19">
        <f>IF($A274="","",IF(AND(D274="GAS",E274="OIL"),"GOC",IF(AND(D274="OIL",E274="WATER"),"OWC",IF(AND(D274="GAS",E274="WATER"),"GWC",IF(AND(D274="OIL",E274="OIL_WATER"),"OWC_TRANSITION",IF(AND(D274="OIL_WATER",E274="WATER"),"OWC_TRANSITION",IF(AND(D274="GAS",E274="GAS_WATER"),"GOC_TRANSITION",IF(AND(D274="GAS_WATER",E274="OIL"),"GOC_TRANSITION",IF(OR(D274="OIL_WATER",D274="GAS_WATER"),"TRANSITION_INTERVAL","")))))))))</f>
        <v/>
      </c>
      <c r="G274" s="20">
        <f>IF(OR(F274="",Master_Data!R274="",Master_Data!S274=""),"",IF(RIGHT(F274,10)="TRANSITION",AVERAGE(Master_Data!R274:Master_Data!S274),AVERAGE(Master_Data!S274,Master_Data!R275)))</f>
        <v/>
      </c>
      <c r="H274" s="20">
        <f>IF(G274="","",MAX(Settings!$B$4,Settings!$B$5*AVERAGE(IF(Master_Data!O274&lt;&gt;"",Master_Data!O274,Master_Data!H274),IF(Master_Data!O275&lt;&gt;"",Master_Data!O275,Master_Data!H275))))</f>
        <v/>
      </c>
      <c r="I274" s="20">
        <f>IF(G274="","",G274-H274)</f>
        <v/>
      </c>
      <c r="J274" s="20">
        <f>IF(G274="","",G274+H274)</f>
        <v/>
      </c>
      <c r="K274" s="20">
        <f>IF($A274="","",Master_Data!G274)</f>
        <v/>
      </c>
      <c r="L274" s="20">
        <f>IF($A274="","",Master_Data!G275)</f>
        <v/>
      </c>
      <c r="M274" s="20">
        <f>IF(AND(ISNUMBER(K274),ISNUMBER(L274)),L274-K274,"")</f>
        <v/>
      </c>
      <c r="N274" s="19">
        <f>IF(G274="","",IF(AND(ISNUMBER(K274),ISNUMBER(L274)),IF(OR(F274="GOC",F274="OWC",F274="GWC",F274="OWC_TRANSITION",F274="GOC_TRANSITION"),IF(L274&gt;=K274,"Supports","Conflicts"),"N/A"),"No Sw"))</f>
        <v/>
      </c>
      <c r="O274" s="20">
        <f>IF(G274="","",Settings!$B$6*IF(OR(F274="GOC",F274="OWC",F274="GWC"),1,0.7)+Settings!$B$7*IF(N274="Supports",1,IF(N274="Conflicts",0,0.5))+Settings!$B$8*IF(AND(Master_Data!R274&lt;&gt;"",Master_Data!S274&lt;&gt;"",Master_Data!R275&lt;&gt;"",Master_Data!S275&lt;&gt;""),1,0.5))</f>
        <v/>
      </c>
      <c r="P274" s="19">
        <f>IF(G274="","",IF(N274="Conflicts","SW_CONFLICT",IF(OR(F274="GOC",F274="OWC",F274="GWC"),"DIRECT_FLUID_TRANSITION","TRANSITION_INTERVAL")))</f>
        <v/>
      </c>
      <c r="Q274" s="19">
        <f>IF(G274="","",IF(N274="Conflicts","Investigate contact interpretation / saturation behaviour",IF(OR(F274="OWC",F274="GOC",F274="GWC"),"Candidate contact — validate with logs, pressure and dynamic evidence","Transition zone — do not force to a sharp contact")))</f>
        <v/>
      </c>
    </row>
    <row r="275">
      <c r="A275" s="19">
        <f>IF(AND(Master_Data!A275&lt;&gt;"",Master_Data!A275=Master_Data!A276),Master_Data!A275,"")</f>
        <v/>
      </c>
      <c r="B275" s="19">
        <f>IF($A275="","",Master_Data!B275)</f>
        <v/>
      </c>
      <c r="C275" s="19">
        <f>IF($A275="","",Master_Data!B276)</f>
        <v/>
      </c>
      <c r="D275" s="19">
        <f>IF($A275="","",Master_Data!Q275)</f>
        <v/>
      </c>
      <c r="E275" s="19">
        <f>IF($A275="","",Master_Data!Q276)</f>
        <v/>
      </c>
      <c r="F275" s="19">
        <f>IF($A275="","",IF(AND(D275="GAS",E275="OIL"),"GOC",IF(AND(D275="OIL",E275="WATER"),"OWC",IF(AND(D275="GAS",E275="WATER"),"GWC",IF(AND(D275="OIL",E275="OIL_WATER"),"OWC_TRANSITION",IF(AND(D275="OIL_WATER",E275="WATER"),"OWC_TRANSITION",IF(AND(D275="GAS",E275="GAS_WATER"),"GOC_TRANSITION",IF(AND(D275="GAS_WATER",E275="OIL"),"GOC_TRANSITION",IF(OR(D275="OIL_WATER",D275="GAS_WATER"),"TRANSITION_INTERVAL","")))))))))</f>
        <v/>
      </c>
      <c r="G275" s="20">
        <f>IF(OR(F275="",Master_Data!R275="",Master_Data!S275=""),"",IF(RIGHT(F275,10)="TRANSITION",AVERAGE(Master_Data!R275:Master_Data!S275),AVERAGE(Master_Data!S275,Master_Data!R276)))</f>
        <v/>
      </c>
      <c r="H275" s="20">
        <f>IF(G275="","",MAX(Settings!$B$4,Settings!$B$5*AVERAGE(IF(Master_Data!O275&lt;&gt;"",Master_Data!O275,Master_Data!H275),IF(Master_Data!O276&lt;&gt;"",Master_Data!O276,Master_Data!H276))))</f>
        <v/>
      </c>
      <c r="I275" s="20">
        <f>IF(G275="","",G275-H275)</f>
        <v/>
      </c>
      <c r="J275" s="20">
        <f>IF(G275="","",G275+H275)</f>
        <v/>
      </c>
      <c r="K275" s="20">
        <f>IF($A275="","",Master_Data!G275)</f>
        <v/>
      </c>
      <c r="L275" s="20">
        <f>IF($A275="","",Master_Data!G276)</f>
        <v/>
      </c>
      <c r="M275" s="20">
        <f>IF(AND(ISNUMBER(K275),ISNUMBER(L275)),L275-K275,"")</f>
        <v/>
      </c>
      <c r="N275" s="19">
        <f>IF(G275="","",IF(AND(ISNUMBER(K275),ISNUMBER(L275)),IF(OR(F275="GOC",F275="OWC",F275="GWC",F275="OWC_TRANSITION",F275="GOC_TRANSITION"),IF(L275&gt;=K275,"Supports","Conflicts"),"N/A"),"No Sw"))</f>
        <v/>
      </c>
      <c r="O275" s="20">
        <f>IF(G275="","",Settings!$B$6*IF(OR(F275="GOC",F275="OWC",F275="GWC"),1,0.7)+Settings!$B$7*IF(N275="Supports",1,IF(N275="Conflicts",0,0.5))+Settings!$B$8*IF(AND(Master_Data!R275&lt;&gt;"",Master_Data!S275&lt;&gt;"",Master_Data!R276&lt;&gt;"",Master_Data!S276&lt;&gt;""),1,0.5))</f>
        <v/>
      </c>
      <c r="P275" s="19">
        <f>IF(G275="","",IF(N275="Conflicts","SW_CONFLICT",IF(OR(F275="GOC",F275="OWC",F275="GWC"),"DIRECT_FLUID_TRANSITION","TRANSITION_INTERVAL")))</f>
        <v/>
      </c>
      <c r="Q275" s="19">
        <f>IF(G275="","",IF(N275="Conflicts","Investigate contact interpretation / saturation behaviour",IF(OR(F275="OWC",F275="GOC",F275="GWC"),"Candidate contact — validate with logs, pressure and dynamic evidence","Transition zone — do not force to a sharp contact")))</f>
        <v/>
      </c>
    </row>
    <row r="276">
      <c r="A276" s="19">
        <f>IF(AND(Master_Data!A276&lt;&gt;"",Master_Data!A276=Master_Data!A277),Master_Data!A276,"")</f>
        <v/>
      </c>
      <c r="B276" s="19">
        <f>IF($A276="","",Master_Data!B276)</f>
        <v/>
      </c>
      <c r="C276" s="19">
        <f>IF($A276="","",Master_Data!B277)</f>
        <v/>
      </c>
      <c r="D276" s="19">
        <f>IF($A276="","",Master_Data!Q276)</f>
        <v/>
      </c>
      <c r="E276" s="19">
        <f>IF($A276="","",Master_Data!Q277)</f>
        <v/>
      </c>
      <c r="F276" s="19">
        <f>IF($A276="","",IF(AND(D276="GAS",E276="OIL"),"GOC",IF(AND(D276="OIL",E276="WATER"),"OWC",IF(AND(D276="GAS",E276="WATER"),"GWC",IF(AND(D276="OIL",E276="OIL_WATER"),"OWC_TRANSITION",IF(AND(D276="OIL_WATER",E276="WATER"),"OWC_TRANSITION",IF(AND(D276="GAS",E276="GAS_WATER"),"GOC_TRANSITION",IF(AND(D276="GAS_WATER",E276="OIL"),"GOC_TRANSITION",IF(OR(D276="OIL_WATER",D276="GAS_WATER"),"TRANSITION_INTERVAL","")))))))))</f>
        <v/>
      </c>
      <c r="G276" s="20">
        <f>IF(OR(F276="",Master_Data!R276="",Master_Data!S276=""),"",IF(RIGHT(F276,10)="TRANSITION",AVERAGE(Master_Data!R276:Master_Data!S276),AVERAGE(Master_Data!S276,Master_Data!R277)))</f>
        <v/>
      </c>
      <c r="H276" s="20">
        <f>IF(G276="","",MAX(Settings!$B$4,Settings!$B$5*AVERAGE(IF(Master_Data!O276&lt;&gt;"",Master_Data!O276,Master_Data!H276),IF(Master_Data!O277&lt;&gt;"",Master_Data!O277,Master_Data!H277))))</f>
        <v/>
      </c>
      <c r="I276" s="20">
        <f>IF(G276="","",G276-H276)</f>
        <v/>
      </c>
      <c r="J276" s="20">
        <f>IF(G276="","",G276+H276)</f>
        <v/>
      </c>
      <c r="K276" s="20">
        <f>IF($A276="","",Master_Data!G276)</f>
        <v/>
      </c>
      <c r="L276" s="20">
        <f>IF($A276="","",Master_Data!G277)</f>
        <v/>
      </c>
      <c r="M276" s="20">
        <f>IF(AND(ISNUMBER(K276),ISNUMBER(L276)),L276-K276,"")</f>
        <v/>
      </c>
      <c r="N276" s="19">
        <f>IF(G276="","",IF(AND(ISNUMBER(K276),ISNUMBER(L276)),IF(OR(F276="GOC",F276="OWC",F276="GWC",F276="OWC_TRANSITION",F276="GOC_TRANSITION"),IF(L276&gt;=K276,"Supports","Conflicts"),"N/A"),"No Sw"))</f>
        <v/>
      </c>
      <c r="O276" s="20">
        <f>IF(G276="","",Settings!$B$6*IF(OR(F276="GOC",F276="OWC",F276="GWC"),1,0.7)+Settings!$B$7*IF(N276="Supports",1,IF(N276="Conflicts",0,0.5))+Settings!$B$8*IF(AND(Master_Data!R276&lt;&gt;"",Master_Data!S276&lt;&gt;"",Master_Data!R277&lt;&gt;"",Master_Data!S277&lt;&gt;""),1,0.5))</f>
        <v/>
      </c>
      <c r="P276" s="19">
        <f>IF(G276="","",IF(N276="Conflicts","SW_CONFLICT",IF(OR(F276="GOC",F276="OWC",F276="GWC"),"DIRECT_FLUID_TRANSITION","TRANSITION_INTERVAL")))</f>
        <v/>
      </c>
      <c r="Q276" s="19">
        <f>IF(G276="","",IF(N276="Conflicts","Investigate contact interpretation / saturation behaviour",IF(OR(F276="OWC",F276="GOC",F276="GWC"),"Candidate contact — validate with logs, pressure and dynamic evidence","Transition zone — do not force to a sharp contact")))</f>
        <v/>
      </c>
    </row>
    <row r="277">
      <c r="A277" s="19">
        <f>IF(AND(Master_Data!A277&lt;&gt;"",Master_Data!A277=Master_Data!A278),Master_Data!A277,"")</f>
        <v/>
      </c>
      <c r="B277" s="19">
        <f>IF($A277="","",Master_Data!B277)</f>
        <v/>
      </c>
      <c r="C277" s="19">
        <f>IF($A277="","",Master_Data!B278)</f>
        <v/>
      </c>
      <c r="D277" s="19">
        <f>IF($A277="","",Master_Data!Q277)</f>
        <v/>
      </c>
      <c r="E277" s="19">
        <f>IF($A277="","",Master_Data!Q278)</f>
        <v/>
      </c>
      <c r="F277" s="19">
        <f>IF($A277="","",IF(AND(D277="GAS",E277="OIL"),"GOC",IF(AND(D277="OIL",E277="WATER"),"OWC",IF(AND(D277="GAS",E277="WATER"),"GWC",IF(AND(D277="OIL",E277="OIL_WATER"),"OWC_TRANSITION",IF(AND(D277="OIL_WATER",E277="WATER"),"OWC_TRANSITION",IF(AND(D277="GAS",E277="GAS_WATER"),"GOC_TRANSITION",IF(AND(D277="GAS_WATER",E277="OIL"),"GOC_TRANSITION",IF(OR(D277="OIL_WATER",D277="GAS_WATER"),"TRANSITION_INTERVAL","")))))))))</f>
        <v/>
      </c>
      <c r="G277" s="20">
        <f>IF(OR(F277="",Master_Data!R277="",Master_Data!S277=""),"",IF(RIGHT(F277,10)="TRANSITION",AVERAGE(Master_Data!R277:Master_Data!S277),AVERAGE(Master_Data!S277,Master_Data!R278)))</f>
        <v/>
      </c>
      <c r="H277" s="20">
        <f>IF(G277="","",MAX(Settings!$B$4,Settings!$B$5*AVERAGE(IF(Master_Data!O277&lt;&gt;"",Master_Data!O277,Master_Data!H277),IF(Master_Data!O278&lt;&gt;"",Master_Data!O278,Master_Data!H278))))</f>
        <v/>
      </c>
      <c r="I277" s="20">
        <f>IF(G277="","",G277-H277)</f>
        <v/>
      </c>
      <c r="J277" s="20">
        <f>IF(G277="","",G277+H277)</f>
        <v/>
      </c>
      <c r="K277" s="20">
        <f>IF($A277="","",Master_Data!G277)</f>
        <v/>
      </c>
      <c r="L277" s="20">
        <f>IF($A277="","",Master_Data!G278)</f>
        <v/>
      </c>
      <c r="M277" s="20">
        <f>IF(AND(ISNUMBER(K277),ISNUMBER(L277)),L277-K277,"")</f>
        <v/>
      </c>
      <c r="N277" s="19">
        <f>IF(G277="","",IF(AND(ISNUMBER(K277),ISNUMBER(L277)),IF(OR(F277="GOC",F277="OWC",F277="GWC",F277="OWC_TRANSITION",F277="GOC_TRANSITION"),IF(L277&gt;=K277,"Supports","Conflicts"),"N/A"),"No Sw"))</f>
        <v/>
      </c>
      <c r="O277" s="20">
        <f>IF(G277="","",Settings!$B$6*IF(OR(F277="GOC",F277="OWC",F277="GWC"),1,0.7)+Settings!$B$7*IF(N277="Supports",1,IF(N277="Conflicts",0,0.5))+Settings!$B$8*IF(AND(Master_Data!R277&lt;&gt;"",Master_Data!S277&lt;&gt;"",Master_Data!R278&lt;&gt;"",Master_Data!S278&lt;&gt;""),1,0.5))</f>
        <v/>
      </c>
      <c r="P277" s="19">
        <f>IF(G277="","",IF(N277="Conflicts","SW_CONFLICT",IF(OR(F277="GOC",F277="OWC",F277="GWC"),"DIRECT_FLUID_TRANSITION","TRANSITION_INTERVAL")))</f>
        <v/>
      </c>
      <c r="Q277" s="19">
        <f>IF(G277="","",IF(N277="Conflicts","Investigate contact interpretation / saturation behaviour",IF(OR(F277="OWC",F277="GOC",F277="GWC"),"Candidate contact — validate with logs, pressure and dynamic evidence","Transition zone — do not force to a sharp contact")))</f>
        <v/>
      </c>
    </row>
    <row r="278">
      <c r="A278" s="19">
        <f>IF(AND(Master_Data!A278&lt;&gt;"",Master_Data!A278=Master_Data!A279),Master_Data!A278,"")</f>
        <v/>
      </c>
      <c r="B278" s="19">
        <f>IF($A278="","",Master_Data!B278)</f>
        <v/>
      </c>
      <c r="C278" s="19">
        <f>IF($A278="","",Master_Data!B279)</f>
        <v/>
      </c>
      <c r="D278" s="19">
        <f>IF($A278="","",Master_Data!Q278)</f>
        <v/>
      </c>
      <c r="E278" s="19">
        <f>IF($A278="","",Master_Data!Q279)</f>
        <v/>
      </c>
      <c r="F278" s="19">
        <f>IF($A278="","",IF(AND(D278="GAS",E278="OIL"),"GOC",IF(AND(D278="OIL",E278="WATER"),"OWC",IF(AND(D278="GAS",E278="WATER"),"GWC",IF(AND(D278="OIL",E278="OIL_WATER"),"OWC_TRANSITION",IF(AND(D278="OIL_WATER",E278="WATER"),"OWC_TRANSITION",IF(AND(D278="GAS",E278="GAS_WATER"),"GOC_TRANSITION",IF(AND(D278="GAS_WATER",E278="OIL"),"GOC_TRANSITION",IF(OR(D278="OIL_WATER",D278="GAS_WATER"),"TRANSITION_INTERVAL","")))))))))</f>
        <v/>
      </c>
      <c r="G278" s="20">
        <f>IF(OR(F278="",Master_Data!R278="",Master_Data!S278=""),"",IF(RIGHT(F278,10)="TRANSITION",AVERAGE(Master_Data!R278:Master_Data!S278),AVERAGE(Master_Data!S278,Master_Data!R279)))</f>
        <v/>
      </c>
      <c r="H278" s="20">
        <f>IF(G278="","",MAX(Settings!$B$4,Settings!$B$5*AVERAGE(IF(Master_Data!O278&lt;&gt;"",Master_Data!O278,Master_Data!H278),IF(Master_Data!O279&lt;&gt;"",Master_Data!O279,Master_Data!H279))))</f>
        <v/>
      </c>
      <c r="I278" s="20">
        <f>IF(G278="","",G278-H278)</f>
        <v/>
      </c>
      <c r="J278" s="20">
        <f>IF(G278="","",G278+H278)</f>
        <v/>
      </c>
      <c r="K278" s="20">
        <f>IF($A278="","",Master_Data!G278)</f>
        <v/>
      </c>
      <c r="L278" s="20">
        <f>IF($A278="","",Master_Data!G279)</f>
        <v/>
      </c>
      <c r="M278" s="20">
        <f>IF(AND(ISNUMBER(K278),ISNUMBER(L278)),L278-K278,"")</f>
        <v/>
      </c>
      <c r="N278" s="19">
        <f>IF(G278="","",IF(AND(ISNUMBER(K278),ISNUMBER(L278)),IF(OR(F278="GOC",F278="OWC",F278="GWC",F278="OWC_TRANSITION",F278="GOC_TRANSITION"),IF(L278&gt;=K278,"Supports","Conflicts"),"N/A"),"No Sw"))</f>
        <v/>
      </c>
      <c r="O278" s="20">
        <f>IF(G278="","",Settings!$B$6*IF(OR(F278="GOC",F278="OWC",F278="GWC"),1,0.7)+Settings!$B$7*IF(N278="Supports",1,IF(N278="Conflicts",0,0.5))+Settings!$B$8*IF(AND(Master_Data!R278&lt;&gt;"",Master_Data!S278&lt;&gt;"",Master_Data!R279&lt;&gt;"",Master_Data!S279&lt;&gt;""),1,0.5))</f>
        <v/>
      </c>
      <c r="P278" s="19">
        <f>IF(G278="","",IF(N278="Conflicts","SW_CONFLICT",IF(OR(F278="GOC",F278="OWC",F278="GWC"),"DIRECT_FLUID_TRANSITION","TRANSITION_INTERVAL")))</f>
        <v/>
      </c>
      <c r="Q278" s="19">
        <f>IF(G278="","",IF(N278="Conflicts","Investigate contact interpretation / saturation behaviour",IF(OR(F278="OWC",F278="GOC",F278="GWC"),"Candidate contact — validate with logs, pressure and dynamic evidence","Transition zone — do not force to a sharp contact")))</f>
        <v/>
      </c>
    </row>
    <row r="279">
      <c r="A279" s="19">
        <f>IF(AND(Master_Data!A279&lt;&gt;"",Master_Data!A279=Master_Data!A280),Master_Data!A279,"")</f>
        <v/>
      </c>
      <c r="B279" s="19">
        <f>IF($A279="","",Master_Data!B279)</f>
        <v/>
      </c>
      <c r="C279" s="19">
        <f>IF($A279="","",Master_Data!B280)</f>
        <v/>
      </c>
      <c r="D279" s="19">
        <f>IF($A279="","",Master_Data!Q279)</f>
        <v/>
      </c>
      <c r="E279" s="19">
        <f>IF($A279="","",Master_Data!Q280)</f>
        <v/>
      </c>
      <c r="F279" s="19">
        <f>IF($A279="","",IF(AND(D279="GAS",E279="OIL"),"GOC",IF(AND(D279="OIL",E279="WATER"),"OWC",IF(AND(D279="GAS",E279="WATER"),"GWC",IF(AND(D279="OIL",E279="OIL_WATER"),"OWC_TRANSITION",IF(AND(D279="OIL_WATER",E279="WATER"),"OWC_TRANSITION",IF(AND(D279="GAS",E279="GAS_WATER"),"GOC_TRANSITION",IF(AND(D279="GAS_WATER",E279="OIL"),"GOC_TRANSITION",IF(OR(D279="OIL_WATER",D279="GAS_WATER"),"TRANSITION_INTERVAL","")))))))))</f>
        <v/>
      </c>
      <c r="G279" s="20">
        <f>IF(OR(F279="",Master_Data!R279="",Master_Data!S279=""),"",IF(RIGHT(F279,10)="TRANSITION",AVERAGE(Master_Data!R279:Master_Data!S279),AVERAGE(Master_Data!S279,Master_Data!R280)))</f>
        <v/>
      </c>
      <c r="H279" s="20">
        <f>IF(G279="","",MAX(Settings!$B$4,Settings!$B$5*AVERAGE(IF(Master_Data!O279&lt;&gt;"",Master_Data!O279,Master_Data!H279),IF(Master_Data!O280&lt;&gt;"",Master_Data!O280,Master_Data!H280))))</f>
        <v/>
      </c>
      <c r="I279" s="20">
        <f>IF(G279="","",G279-H279)</f>
        <v/>
      </c>
      <c r="J279" s="20">
        <f>IF(G279="","",G279+H279)</f>
        <v/>
      </c>
      <c r="K279" s="20">
        <f>IF($A279="","",Master_Data!G279)</f>
        <v/>
      </c>
      <c r="L279" s="20">
        <f>IF($A279="","",Master_Data!G280)</f>
        <v/>
      </c>
      <c r="M279" s="20">
        <f>IF(AND(ISNUMBER(K279),ISNUMBER(L279)),L279-K279,"")</f>
        <v/>
      </c>
      <c r="N279" s="19">
        <f>IF(G279="","",IF(AND(ISNUMBER(K279),ISNUMBER(L279)),IF(OR(F279="GOC",F279="OWC",F279="GWC",F279="OWC_TRANSITION",F279="GOC_TRANSITION"),IF(L279&gt;=K279,"Supports","Conflicts"),"N/A"),"No Sw"))</f>
        <v/>
      </c>
      <c r="O279" s="20">
        <f>IF(G279="","",Settings!$B$6*IF(OR(F279="GOC",F279="OWC",F279="GWC"),1,0.7)+Settings!$B$7*IF(N279="Supports",1,IF(N279="Conflicts",0,0.5))+Settings!$B$8*IF(AND(Master_Data!R279&lt;&gt;"",Master_Data!S279&lt;&gt;"",Master_Data!R280&lt;&gt;"",Master_Data!S280&lt;&gt;""),1,0.5))</f>
        <v/>
      </c>
      <c r="P279" s="19">
        <f>IF(G279="","",IF(N279="Conflicts","SW_CONFLICT",IF(OR(F279="GOC",F279="OWC",F279="GWC"),"DIRECT_FLUID_TRANSITION","TRANSITION_INTERVAL")))</f>
        <v/>
      </c>
      <c r="Q279" s="19">
        <f>IF(G279="","",IF(N279="Conflicts","Investigate contact interpretation / saturation behaviour",IF(OR(F279="OWC",F279="GOC",F279="GWC"),"Candidate contact — validate with logs, pressure and dynamic evidence","Transition zone — do not force to a sharp contact")))</f>
        <v/>
      </c>
    </row>
    <row r="280">
      <c r="A280" s="19">
        <f>IF(AND(Master_Data!A280&lt;&gt;"",Master_Data!A280=Master_Data!A281),Master_Data!A280,"")</f>
        <v/>
      </c>
      <c r="B280" s="19">
        <f>IF($A280="","",Master_Data!B280)</f>
        <v/>
      </c>
      <c r="C280" s="19">
        <f>IF($A280="","",Master_Data!B281)</f>
        <v/>
      </c>
      <c r="D280" s="19">
        <f>IF($A280="","",Master_Data!Q280)</f>
        <v/>
      </c>
      <c r="E280" s="19">
        <f>IF($A280="","",Master_Data!Q281)</f>
        <v/>
      </c>
      <c r="F280" s="19">
        <f>IF($A280="","",IF(AND(D280="GAS",E280="OIL"),"GOC",IF(AND(D280="OIL",E280="WATER"),"OWC",IF(AND(D280="GAS",E280="WATER"),"GWC",IF(AND(D280="OIL",E280="OIL_WATER"),"OWC_TRANSITION",IF(AND(D280="OIL_WATER",E280="WATER"),"OWC_TRANSITION",IF(AND(D280="GAS",E280="GAS_WATER"),"GOC_TRANSITION",IF(AND(D280="GAS_WATER",E280="OIL"),"GOC_TRANSITION",IF(OR(D280="OIL_WATER",D280="GAS_WATER"),"TRANSITION_INTERVAL","")))))))))</f>
        <v/>
      </c>
      <c r="G280" s="20">
        <f>IF(OR(F280="",Master_Data!R280="",Master_Data!S280=""),"",IF(RIGHT(F280,10)="TRANSITION",AVERAGE(Master_Data!R280:Master_Data!S280),AVERAGE(Master_Data!S280,Master_Data!R281)))</f>
        <v/>
      </c>
      <c r="H280" s="20">
        <f>IF(G280="","",MAX(Settings!$B$4,Settings!$B$5*AVERAGE(IF(Master_Data!O280&lt;&gt;"",Master_Data!O280,Master_Data!H280),IF(Master_Data!O281&lt;&gt;"",Master_Data!O281,Master_Data!H281))))</f>
        <v/>
      </c>
      <c r="I280" s="20">
        <f>IF(G280="","",G280-H280)</f>
        <v/>
      </c>
      <c r="J280" s="20">
        <f>IF(G280="","",G280+H280)</f>
        <v/>
      </c>
      <c r="K280" s="20">
        <f>IF($A280="","",Master_Data!G280)</f>
        <v/>
      </c>
      <c r="L280" s="20">
        <f>IF($A280="","",Master_Data!G281)</f>
        <v/>
      </c>
      <c r="M280" s="20">
        <f>IF(AND(ISNUMBER(K280),ISNUMBER(L280)),L280-K280,"")</f>
        <v/>
      </c>
      <c r="N280" s="19">
        <f>IF(G280="","",IF(AND(ISNUMBER(K280),ISNUMBER(L280)),IF(OR(F280="GOC",F280="OWC",F280="GWC",F280="OWC_TRANSITION",F280="GOC_TRANSITION"),IF(L280&gt;=K280,"Supports","Conflicts"),"N/A"),"No Sw"))</f>
        <v/>
      </c>
      <c r="O280" s="20">
        <f>IF(G280="","",Settings!$B$6*IF(OR(F280="GOC",F280="OWC",F280="GWC"),1,0.7)+Settings!$B$7*IF(N280="Supports",1,IF(N280="Conflicts",0,0.5))+Settings!$B$8*IF(AND(Master_Data!R280&lt;&gt;"",Master_Data!S280&lt;&gt;"",Master_Data!R281&lt;&gt;"",Master_Data!S281&lt;&gt;""),1,0.5))</f>
        <v/>
      </c>
      <c r="P280" s="19">
        <f>IF(G280="","",IF(N280="Conflicts","SW_CONFLICT",IF(OR(F280="GOC",F280="OWC",F280="GWC"),"DIRECT_FLUID_TRANSITION","TRANSITION_INTERVAL")))</f>
        <v/>
      </c>
      <c r="Q280" s="19">
        <f>IF(G280="","",IF(N280="Conflicts","Investigate contact interpretation / saturation behaviour",IF(OR(F280="OWC",F280="GOC",F280="GWC"),"Candidate contact — validate with logs, pressure and dynamic evidence","Transition zone — do not force to a sharp contact")))</f>
        <v/>
      </c>
    </row>
    <row r="281">
      <c r="A281" s="19">
        <f>IF(AND(Master_Data!A281&lt;&gt;"",Master_Data!A281=Master_Data!A282),Master_Data!A281,"")</f>
        <v/>
      </c>
      <c r="B281" s="19">
        <f>IF($A281="","",Master_Data!B281)</f>
        <v/>
      </c>
      <c r="C281" s="19">
        <f>IF($A281="","",Master_Data!B282)</f>
        <v/>
      </c>
      <c r="D281" s="19">
        <f>IF($A281="","",Master_Data!Q281)</f>
        <v/>
      </c>
      <c r="E281" s="19">
        <f>IF($A281="","",Master_Data!Q282)</f>
        <v/>
      </c>
      <c r="F281" s="19">
        <f>IF($A281="","",IF(AND(D281="GAS",E281="OIL"),"GOC",IF(AND(D281="OIL",E281="WATER"),"OWC",IF(AND(D281="GAS",E281="WATER"),"GWC",IF(AND(D281="OIL",E281="OIL_WATER"),"OWC_TRANSITION",IF(AND(D281="OIL_WATER",E281="WATER"),"OWC_TRANSITION",IF(AND(D281="GAS",E281="GAS_WATER"),"GOC_TRANSITION",IF(AND(D281="GAS_WATER",E281="OIL"),"GOC_TRANSITION",IF(OR(D281="OIL_WATER",D281="GAS_WATER"),"TRANSITION_INTERVAL","")))))))))</f>
        <v/>
      </c>
      <c r="G281" s="20">
        <f>IF(OR(F281="",Master_Data!R281="",Master_Data!S281=""),"",IF(RIGHT(F281,10)="TRANSITION",AVERAGE(Master_Data!R281:Master_Data!S281),AVERAGE(Master_Data!S281,Master_Data!R282)))</f>
        <v/>
      </c>
      <c r="H281" s="20">
        <f>IF(G281="","",MAX(Settings!$B$4,Settings!$B$5*AVERAGE(IF(Master_Data!O281&lt;&gt;"",Master_Data!O281,Master_Data!H281),IF(Master_Data!O282&lt;&gt;"",Master_Data!O282,Master_Data!H282))))</f>
        <v/>
      </c>
      <c r="I281" s="20">
        <f>IF(G281="","",G281-H281)</f>
        <v/>
      </c>
      <c r="J281" s="20">
        <f>IF(G281="","",G281+H281)</f>
        <v/>
      </c>
      <c r="K281" s="20">
        <f>IF($A281="","",Master_Data!G281)</f>
        <v/>
      </c>
      <c r="L281" s="20">
        <f>IF($A281="","",Master_Data!G282)</f>
        <v/>
      </c>
      <c r="M281" s="20">
        <f>IF(AND(ISNUMBER(K281),ISNUMBER(L281)),L281-K281,"")</f>
        <v/>
      </c>
      <c r="N281" s="19">
        <f>IF(G281="","",IF(AND(ISNUMBER(K281),ISNUMBER(L281)),IF(OR(F281="GOC",F281="OWC",F281="GWC",F281="OWC_TRANSITION",F281="GOC_TRANSITION"),IF(L281&gt;=K281,"Supports","Conflicts"),"N/A"),"No Sw"))</f>
        <v/>
      </c>
      <c r="O281" s="20">
        <f>IF(G281="","",Settings!$B$6*IF(OR(F281="GOC",F281="OWC",F281="GWC"),1,0.7)+Settings!$B$7*IF(N281="Supports",1,IF(N281="Conflicts",0,0.5))+Settings!$B$8*IF(AND(Master_Data!R281&lt;&gt;"",Master_Data!S281&lt;&gt;"",Master_Data!R282&lt;&gt;"",Master_Data!S282&lt;&gt;""),1,0.5))</f>
        <v/>
      </c>
      <c r="P281" s="19">
        <f>IF(G281="","",IF(N281="Conflicts","SW_CONFLICT",IF(OR(F281="GOC",F281="OWC",F281="GWC"),"DIRECT_FLUID_TRANSITION","TRANSITION_INTERVAL")))</f>
        <v/>
      </c>
      <c r="Q281" s="19">
        <f>IF(G281="","",IF(N281="Conflicts","Investigate contact interpretation / saturation behaviour",IF(OR(F281="OWC",F281="GOC",F281="GWC"),"Candidate contact — validate with logs, pressure and dynamic evidence","Transition zone — do not force to a sharp contact")))</f>
        <v/>
      </c>
    </row>
    <row r="282">
      <c r="A282" s="19">
        <f>IF(AND(Master_Data!A282&lt;&gt;"",Master_Data!A282=Master_Data!A283),Master_Data!A282,"")</f>
        <v/>
      </c>
      <c r="B282" s="19">
        <f>IF($A282="","",Master_Data!B282)</f>
        <v/>
      </c>
      <c r="C282" s="19">
        <f>IF($A282="","",Master_Data!B283)</f>
        <v/>
      </c>
      <c r="D282" s="19">
        <f>IF($A282="","",Master_Data!Q282)</f>
        <v/>
      </c>
      <c r="E282" s="19">
        <f>IF($A282="","",Master_Data!Q283)</f>
        <v/>
      </c>
      <c r="F282" s="19">
        <f>IF($A282="","",IF(AND(D282="GAS",E282="OIL"),"GOC",IF(AND(D282="OIL",E282="WATER"),"OWC",IF(AND(D282="GAS",E282="WATER"),"GWC",IF(AND(D282="OIL",E282="OIL_WATER"),"OWC_TRANSITION",IF(AND(D282="OIL_WATER",E282="WATER"),"OWC_TRANSITION",IF(AND(D282="GAS",E282="GAS_WATER"),"GOC_TRANSITION",IF(AND(D282="GAS_WATER",E282="OIL"),"GOC_TRANSITION",IF(OR(D282="OIL_WATER",D282="GAS_WATER"),"TRANSITION_INTERVAL","")))))))))</f>
        <v/>
      </c>
      <c r="G282" s="20">
        <f>IF(OR(F282="",Master_Data!R282="",Master_Data!S282=""),"",IF(RIGHT(F282,10)="TRANSITION",AVERAGE(Master_Data!R282:Master_Data!S282),AVERAGE(Master_Data!S282,Master_Data!R283)))</f>
        <v/>
      </c>
      <c r="H282" s="20">
        <f>IF(G282="","",MAX(Settings!$B$4,Settings!$B$5*AVERAGE(IF(Master_Data!O282&lt;&gt;"",Master_Data!O282,Master_Data!H282),IF(Master_Data!O283&lt;&gt;"",Master_Data!O283,Master_Data!H283))))</f>
        <v/>
      </c>
      <c r="I282" s="20">
        <f>IF(G282="","",G282-H282)</f>
        <v/>
      </c>
      <c r="J282" s="20">
        <f>IF(G282="","",G282+H282)</f>
        <v/>
      </c>
      <c r="K282" s="20">
        <f>IF($A282="","",Master_Data!G282)</f>
        <v/>
      </c>
      <c r="L282" s="20">
        <f>IF($A282="","",Master_Data!G283)</f>
        <v/>
      </c>
      <c r="M282" s="20">
        <f>IF(AND(ISNUMBER(K282),ISNUMBER(L282)),L282-K282,"")</f>
        <v/>
      </c>
      <c r="N282" s="19">
        <f>IF(G282="","",IF(AND(ISNUMBER(K282),ISNUMBER(L282)),IF(OR(F282="GOC",F282="OWC",F282="GWC",F282="OWC_TRANSITION",F282="GOC_TRANSITION"),IF(L282&gt;=K282,"Supports","Conflicts"),"N/A"),"No Sw"))</f>
        <v/>
      </c>
      <c r="O282" s="20">
        <f>IF(G282="","",Settings!$B$6*IF(OR(F282="GOC",F282="OWC",F282="GWC"),1,0.7)+Settings!$B$7*IF(N282="Supports",1,IF(N282="Conflicts",0,0.5))+Settings!$B$8*IF(AND(Master_Data!R282&lt;&gt;"",Master_Data!S282&lt;&gt;"",Master_Data!R283&lt;&gt;"",Master_Data!S283&lt;&gt;""),1,0.5))</f>
        <v/>
      </c>
      <c r="P282" s="19">
        <f>IF(G282="","",IF(N282="Conflicts","SW_CONFLICT",IF(OR(F282="GOC",F282="OWC",F282="GWC"),"DIRECT_FLUID_TRANSITION","TRANSITION_INTERVAL")))</f>
        <v/>
      </c>
      <c r="Q282" s="19">
        <f>IF(G282="","",IF(N282="Conflicts","Investigate contact interpretation / saturation behaviour",IF(OR(F282="OWC",F282="GOC",F282="GWC"),"Candidate contact — validate with logs, pressure and dynamic evidence","Transition zone — do not force to a sharp contact")))</f>
        <v/>
      </c>
    </row>
    <row r="283">
      <c r="A283" s="19">
        <f>IF(AND(Master_Data!A283&lt;&gt;"",Master_Data!A283=Master_Data!A284),Master_Data!A283,"")</f>
        <v/>
      </c>
      <c r="B283" s="19">
        <f>IF($A283="","",Master_Data!B283)</f>
        <v/>
      </c>
      <c r="C283" s="19">
        <f>IF($A283="","",Master_Data!B284)</f>
        <v/>
      </c>
      <c r="D283" s="19">
        <f>IF($A283="","",Master_Data!Q283)</f>
        <v/>
      </c>
      <c r="E283" s="19">
        <f>IF($A283="","",Master_Data!Q284)</f>
        <v/>
      </c>
      <c r="F283" s="19">
        <f>IF($A283="","",IF(AND(D283="GAS",E283="OIL"),"GOC",IF(AND(D283="OIL",E283="WATER"),"OWC",IF(AND(D283="GAS",E283="WATER"),"GWC",IF(AND(D283="OIL",E283="OIL_WATER"),"OWC_TRANSITION",IF(AND(D283="OIL_WATER",E283="WATER"),"OWC_TRANSITION",IF(AND(D283="GAS",E283="GAS_WATER"),"GOC_TRANSITION",IF(AND(D283="GAS_WATER",E283="OIL"),"GOC_TRANSITION",IF(OR(D283="OIL_WATER",D283="GAS_WATER"),"TRANSITION_INTERVAL","")))))))))</f>
        <v/>
      </c>
      <c r="G283" s="20">
        <f>IF(OR(F283="",Master_Data!R283="",Master_Data!S283=""),"",IF(RIGHT(F283,10)="TRANSITION",AVERAGE(Master_Data!R283:Master_Data!S283),AVERAGE(Master_Data!S283,Master_Data!R284)))</f>
        <v/>
      </c>
      <c r="H283" s="20">
        <f>IF(G283="","",MAX(Settings!$B$4,Settings!$B$5*AVERAGE(IF(Master_Data!O283&lt;&gt;"",Master_Data!O283,Master_Data!H283),IF(Master_Data!O284&lt;&gt;"",Master_Data!O284,Master_Data!H284))))</f>
        <v/>
      </c>
      <c r="I283" s="20">
        <f>IF(G283="","",G283-H283)</f>
        <v/>
      </c>
      <c r="J283" s="20">
        <f>IF(G283="","",G283+H283)</f>
        <v/>
      </c>
      <c r="K283" s="20">
        <f>IF($A283="","",Master_Data!G283)</f>
        <v/>
      </c>
      <c r="L283" s="20">
        <f>IF($A283="","",Master_Data!G284)</f>
        <v/>
      </c>
      <c r="M283" s="20">
        <f>IF(AND(ISNUMBER(K283),ISNUMBER(L283)),L283-K283,"")</f>
        <v/>
      </c>
      <c r="N283" s="19">
        <f>IF(G283="","",IF(AND(ISNUMBER(K283),ISNUMBER(L283)),IF(OR(F283="GOC",F283="OWC",F283="GWC",F283="OWC_TRANSITION",F283="GOC_TRANSITION"),IF(L283&gt;=K283,"Supports","Conflicts"),"N/A"),"No Sw"))</f>
        <v/>
      </c>
      <c r="O283" s="20">
        <f>IF(G283="","",Settings!$B$6*IF(OR(F283="GOC",F283="OWC",F283="GWC"),1,0.7)+Settings!$B$7*IF(N283="Supports",1,IF(N283="Conflicts",0,0.5))+Settings!$B$8*IF(AND(Master_Data!R283&lt;&gt;"",Master_Data!S283&lt;&gt;"",Master_Data!R284&lt;&gt;"",Master_Data!S284&lt;&gt;""),1,0.5))</f>
        <v/>
      </c>
      <c r="P283" s="19">
        <f>IF(G283="","",IF(N283="Conflicts","SW_CONFLICT",IF(OR(F283="GOC",F283="OWC",F283="GWC"),"DIRECT_FLUID_TRANSITION","TRANSITION_INTERVAL")))</f>
        <v/>
      </c>
      <c r="Q283" s="19">
        <f>IF(G283="","",IF(N283="Conflicts","Investigate contact interpretation / saturation behaviour",IF(OR(F283="OWC",F283="GOC",F283="GWC"),"Candidate contact — validate with logs, pressure and dynamic evidence","Transition zone — do not force to a sharp contact")))</f>
        <v/>
      </c>
    </row>
    <row r="284">
      <c r="A284" s="19">
        <f>IF(AND(Master_Data!A284&lt;&gt;"",Master_Data!A284=Master_Data!A285),Master_Data!A284,"")</f>
        <v/>
      </c>
      <c r="B284" s="19">
        <f>IF($A284="","",Master_Data!B284)</f>
        <v/>
      </c>
      <c r="C284" s="19">
        <f>IF($A284="","",Master_Data!B285)</f>
        <v/>
      </c>
      <c r="D284" s="19">
        <f>IF($A284="","",Master_Data!Q284)</f>
        <v/>
      </c>
      <c r="E284" s="19">
        <f>IF($A284="","",Master_Data!Q285)</f>
        <v/>
      </c>
      <c r="F284" s="19">
        <f>IF($A284="","",IF(AND(D284="GAS",E284="OIL"),"GOC",IF(AND(D284="OIL",E284="WATER"),"OWC",IF(AND(D284="GAS",E284="WATER"),"GWC",IF(AND(D284="OIL",E284="OIL_WATER"),"OWC_TRANSITION",IF(AND(D284="OIL_WATER",E284="WATER"),"OWC_TRANSITION",IF(AND(D284="GAS",E284="GAS_WATER"),"GOC_TRANSITION",IF(AND(D284="GAS_WATER",E284="OIL"),"GOC_TRANSITION",IF(OR(D284="OIL_WATER",D284="GAS_WATER"),"TRANSITION_INTERVAL","")))))))))</f>
        <v/>
      </c>
      <c r="G284" s="20">
        <f>IF(OR(F284="",Master_Data!R284="",Master_Data!S284=""),"",IF(RIGHT(F284,10)="TRANSITION",AVERAGE(Master_Data!R284:Master_Data!S284),AVERAGE(Master_Data!S284,Master_Data!R285)))</f>
        <v/>
      </c>
      <c r="H284" s="20">
        <f>IF(G284="","",MAX(Settings!$B$4,Settings!$B$5*AVERAGE(IF(Master_Data!O284&lt;&gt;"",Master_Data!O284,Master_Data!H284),IF(Master_Data!O285&lt;&gt;"",Master_Data!O285,Master_Data!H285))))</f>
        <v/>
      </c>
      <c r="I284" s="20">
        <f>IF(G284="","",G284-H284)</f>
        <v/>
      </c>
      <c r="J284" s="20">
        <f>IF(G284="","",G284+H284)</f>
        <v/>
      </c>
      <c r="K284" s="20">
        <f>IF($A284="","",Master_Data!G284)</f>
        <v/>
      </c>
      <c r="L284" s="20">
        <f>IF($A284="","",Master_Data!G285)</f>
        <v/>
      </c>
      <c r="M284" s="20">
        <f>IF(AND(ISNUMBER(K284),ISNUMBER(L284)),L284-K284,"")</f>
        <v/>
      </c>
      <c r="N284" s="19">
        <f>IF(G284="","",IF(AND(ISNUMBER(K284),ISNUMBER(L284)),IF(OR(F284="GOC",F284="OWC",F284="GWC",F284="OWC_TRANSITION",F284="GOC_TRANSITION"),IF(L284&gt;=K284,"Supports","Conflicts"),"N/A"),"No Sw"))</f>
        <v/>
      </c>
      <c r="O284" s="20">
        <f>IF(G284="","",Settings!$B$6*IF(OR(F284="GOC",F284="OWC",F284="GWC"),1,0.7)+Settings!$B$7*IF(N284="Supports",1,IF(N284="Conflicts",0,0.5))+Settings!$B$8*IF(AND(Master_Data!R284&lt;&gt;"",Master_Data!S284&lt;&gt;"",Master_Data!R285&lt;&gt;"",Master_Data!S285&lt;&gt;""),1,0.5))</f>
        <v/>
      </c>
      <c r="P284" s="19">
        <f>IF(G284="","",IF(N284="Conflicts","SW_CONFLICT",IF(OR(F284="GOC",F284="OWC",F284="GWC"),"DIRECT_FLUID_TRANSITION","TRANSITION_INTERVAL")))</f>
        <v/>
      </c>
      <c r="Q284" s="19">
        <f>IF(G284="","",IF(N284="Conflicts","Investigate contact interpretation / saturation behaviour",IF(OR(F284="OWC",F284="GOC",F284="GWC"),"Candidate contact — validate with logs, pressure and dynamic evidence","Transition zone — do not force to a sharp contact")))</f>
        <v/>
      </c>
    </row>
    <row r="285">
      <c r="A285" s="19">
        <f>IF(AND(Master_Data!A285&lt;&gt;"",Master_Data!A285=Master_Data!A286),Master_Data!A285,"")</f>
        <v/>
      </c>
      <c r="B285" s="19">
        <f>IF($A285="","",Master_Data!B285)</f>
        <v/>
      </c>
      <c r="C285" s="19">
        <f>IF($A285="","",Master_Data!B286)</f>
        <v/>
      </c>
      <c r="D285" s="19">
        <f>IF($A285="","",Master_Data!Q285)</f>
        <v/>
      </c>
      <c r="E285" s="19">
        <f>IF($A285="","",Master_Data!Q286)</f>
        <v/>
      </c>
      <c r="F285" s="19">
        <f>IF($A285="","",IF(AND(D285="GAS",E285="OIL"),"GOC",IF(AND(D285="OIL",E285="WATER"),"OWC",IF(AND(D285="GAS",E285="WATER"),"GWC",IF(AND(D285="OIL",E285="OIL_WATER"),"OWC_TRANSITION",IF(AND(D285="OIL_WATER",E285="WATER"),"OWC_TRANSITION",IF(AND(D285="GAS",E285="GAS_WATER"),"GOC_TRANSITION",IF(AND(D285="GAS_WATER",E285="OIL"),"GOC_TRANSITION",IF(OR(D285="OIL_WATER",D285="GAS_WATER"),"TRANSITION_INTERVAL","")))))))))</f>
        <v/>
      </c>
      <c r="G285" s="20">
        <f>IF(OR(F285="",Master_Data!R285="",Master_Data!S285=""),"",IF(RIGHT(F285,10)="TRANSITION",AVERAGE(Master_Data!R285:Master_Data!S285),AVERAGE(Master_Data!S285,Master_Data!R286)))</f>
        <v/>
      </c>
      <c r="H285" s="20">
        <f>IF(G285="","",MAX(Settings!$B$4,Settings!$B$5*AVERAGE(IF(Master_Data!O285&lt;&gt;"",Master_Data!O285,Master_Data!H285),IF(Master_Data!O286&lt;&gt;"",Master_Data!O286,Master_Data!H286))))</f>
        <v/>
      </c>
      <c r="I285" s="20">
        <f>IF(G285="","",G285-H285)</f>
        <v/>
      </c>
      <c r="J285" s="20">
        <f>IF(G285="","",G285+H285)</f>
        <v/>
      </c>
      <c r="K285" s="20">
        <f>IF($A285="","",Master_Data!G285)</f>
        <v/>
      </c>
      <c r="L285" s="20">
        <f>IF($A285="","",Master_Data!G286)</f>
        <v/>
      </c>
      <c r="M285" s="20">
        <f>IF(AND(ISNUMBER(K285),ISNUMBER(L285)),L285-K285,"")</f>
        <v/>
      </c>
      <c r="N285" s="19">
        <f>IF(G285="","",IF(AND(ISNUMBER(K285),ISNUMBER(L285)),IF(OR(F285="GOC",F285="OWC",F285="GWC",F285="OWC_TRANSITION",F285="GOC_TRANSITION"),IF(L285&gt;=K285,"Supports","Conflicts"),"N/A"),"No Sw"))</f>
        <v/>
      </c>
      <c r="O285" s="20">
        <f>IF(G285="","",Settings!$B$6*IF(OR(F285="GOC",F285="OWC",F285="GWC"),1,0.7)+Settings!$B$7*IF(N285="Supports",1,IF(N285="Conflicts",0,0.5))+Settings!$B$8*IF(AND(Master_Data!R285&lt;&gt;"",Master_Data!S285&lt;&gt;"",Master_Data!R286&lt;&gt;"",Master_Data!S286&lt;&gt;""),1,0.5))</f>
        <v/>
      </c>
      <c r="P285" s="19">
        <f>IF(G285="","",IF(N285="Conflicts","SW_CONFLICT",IF(OR(F285="GOC",F285="OWC",F285="GWC"),"DIRECT_FLUID_TRANSITION","TRANSITION_INTERVAL")))</f>
        <v/>
      </c>
      <c r="Q285" s="19">
        <f>IF(G285="","",IF(N285="Conflicts","Investigate contact interpretation / saturation behaviour",IF(OR(F285="OWC",F285="GOC",F285="GWC"),"Candidate contact — validate with logs, pressure and dynamic evidence","Transition zone — do not force to a sharp contact")))</f>
        <v/>
      </c>
    </row>
    <row r="286">
      <c r="A286" s="19">
        <f>IF(AND(Master_Data!A286&lt;&gt;"",Master_Data!A286=Master_Data!A287),Master_Data!A286,"")</f>
        <v/>
      </c>
      <c r="B286" s="19">
        <f>IF($A286="","",Master_Data!B286)</f>
        <v/>
      </c>
      <c r="C286" s="19">
        <f>IF($A286="","",Master_Data!B287)</f>
        <v/>
      </c>
      <c r="D286" s="19">
        <f>IF($A286="","",Master_Data!Q286)</f>
        <v/>
      </c>
      <c r="E286" s="19">
        <f>IF($A286="","",Master_Data!Q287)</f>
        <v/>
      </c>
      <c r="F286" s="19">
        <f>IF($A286="","",IF(AND(D286="GAS",E286="OIL"),"GOC",IF(AND(D286="OIL",E286="WATER"),"OWC",IF(AND(D286="GAS",E286="WATER"),"GWC",IF(AND(D286="OIL",E286="OIL_WATER"),"OWC_TRANSITION",IF(AND(D286="OIL_WATER",E286="WATER"),"OWC_TRANSITION",IF(AND(D286="GAS",E286="GAS_WATER"),"GOC_TRANSITION",IF(AND(D286="GAS_WATER",E286="OIL"),"GOC_TRANSITION",IF(OR(D286="OIL_WATER",D286="GAS_WATER"),"TRANSITION_INTERVAL","")))))))))</f>
        <v/>
      </c>
      <c r="G286" s="20">
        <f>IF(OR(F286="",Master_Data!R286="",Master_Data!S286=""),"",IF(RIGHT(F286,10)="TRANSITION",AVERAGE(Master_Data!R286:Master_Data!S286),AVERAGE(Master_Data!S286,Master_Data!R287)))</f>
        <v/>
      </c>
      <c r="H286" s="20">
        <f>IF(G286="","",MAX(Settings!$B$4,Settings!$B$5*AVERAGE(IF(Master_Data!O286&lt;&gt;"",Master_Data!O286,Master_Data!H286),IF(Master_Data!O287&lt;&gt;"",Master_Data!O287,Master_Data!H287))))</f>
        <v/>
      </c>
      <c r="I286" s="20">
        <f>IF(G286="","",G286-H286)</f>
        <v/>
      </c>
      <c r="J286" s="20">
        <f>IF(G286="","",G286+H286)</f>
        <v/>
      </c>
      <c r="K286" s="20">
        <f>IF($A286="","",Master_Data!G286)</f>
        <v/>
      </c>
      <c r="L286" s="20">
        <f>IF($A286="","",Master_Data!G287)</f>
        <v/>
      </c>
      <c r="M286" s="20">
        <f>IF(AND(ISNUMBER(K286),ISNUMBER(L286)),L286-K286,"")</f>
        <v/>
      </c>
      <c r="N286" s="19">
        <f>IF(G286="","",IF(AND(ISNUMBER(K286),ISNUMBER(L286)),IF(OR(F286="GOC",F286="OWC",F286="GWC",F286="OWC_TRANSITION",F286="GOC_TRANSITION"),IF(L286&gt;=K286,"Supports","Conflicts"),"N/A"),"No Sw"))</f>
        <v/>
      </c>
      <c r="O286" s="20">
        <f>IF(G286="","",Settings!$B$6*IF(OR(F286="GOC",F286="OWC",F286="GWC"),1,0.7)+Settings!$B$7*IF(N286="Supports",1,IF(N286="Conflicts",0,0.5))+Settings!$B$8*IF(AND(Master_Data!R286&lt;&gt;"",Master_Data!S286&lt;&gt;"",Master_Data!R287&lt;&gt;"",Master_Data!S287&lt;&gt;""),1,0.5))</f>
        <v/>
      </c>
      <c r="P286" s="19">
        <f>IF(G286="","",IF(N286="Conflicts","SW_CONFLICT",IF(OR(F286="GOC",F286="OWC",F286="GWC"),"DIRECT_FLUID_TRANSITION","TRANSITION_INTERVAL")))</f>
        <v/>
      </c>
      <c r="Q286" s="19">
        <f>IF(G286="","",IF(N286="Conflicts","Investigate contact interpretation / saturation behaviour",IF(OR(F286="OWC",F286="GOC",F286="GWC"),"Candidate contact — validate with logs, pressure and dynamic evidence","Transition zone — do not force to a sharp contact")))</f>
        <v/>
      </c>
    </row>
    <row r="287">
      <c r="A287" s="19">
        <f>IF(AND(Master_Data!A287&lt;&gt;"",Master_Data!A287=Master_Data!A288),Master_Data!A287,"")</f>
        <v/>
      </c>
      <c r="B287" s="19">
        <f>IF($A287="","",Master_Data!B287)</f>
        <v/>
      </c>
      <c r="C287" s="19">
        <f>IF($A287="","",Master_Data!B288)</f>
        <v/>
      </c>
      <c r="D287" s="19">
        <f>IF($A287="","",Master_Data!Q287)</f>
        <v/>
      </c>
      <c r="E287" s="19">
        <f>IF($A287="","",Master_Data!Q288)</f>
        <v/>
      </c>
      <c r="F287" s="19">
        <f>IF($A287="","",IF(AND(D287="GAS",E287="OIL"),"GOC",IF(AND(D287="OIL",E287="WATER"),"OWC",IF(AND(D287="GAS",E287="WATER"),"GWC",IF(AND(D287="OIL",E287="OIL_WATER"),"OWC_TRANSITION",IF(AND(D287="OIL_WATER",E287="WATER"),"OWC_TRANSITION",IF(AND(D287="GAS",E287="GAS_WATER"),"GOC_TRANSITION",IF(AND(D287="GAS_WATER",E287="OIL"),"GOC_TRANSITION",IF(OR(D287="OIL_WATER",D287="GAS_WATER"),"TRANSITION_INTERVAL","")))))))))</f>
        <v/>
      </c>
      <c r="G287" s="20">
        <f>IF(OR(F287="",Master_Data!R287="",Master_Data!S287=""),"",IF(RIGHT(F287,10)="TRANSITION",AVERAGE(Master_Data!R287:Master_Data!S287),AVERAGE(Master_Data!S287,Master_Data!R288)))</f>
        <v/>
      </c>
      <c r="H287" s="20">
        <f>IF(G287="","",MAX(Settings!$B$4,Settings!$B$5*AVERAGE(IF(Master_Data!O287&lt;&gt;"",Master_Data!O287,Master_Data!H287),IF(Master_Data!O288&lt;&gt;"",Master_Data!O288,Master_Data!H288))))</f>
        <v/>
      </c>
      <c r="I287" s="20">
        <f>IF(G287="","",G287-H287)</f>
        <v/>
      </c>
      <c r="J287" s="20">
        <f>IF(G287="","",G287+H287)</f>
        <v/>
      </c>
      <c r="K287" s="20">
        <f>IF($A287="","",Master_Data!G287)</f>
        <v/>
      </c>
      <c r="L287" s="20">
        <f>IF($A287="","",Master_Data!G288)</f>
        <v/>
      </c>
      <c r="M287" s="20">
        <f>IF(AND(ISNUMBER(K287),ISNUMBER(L287)),L287-K287,"")</f>
        <v/>
      </c>
      <c r="N287" s="19">
        <f>IF(G287="","",IF(AND(ISNUMBER(K287),ISNUMBER(L287)),IF(OR(F287="GOC",F287="OWC",F287="GWC",F287="OWC_TRANSITION",F287="GOC_TRANSITION"),IF(L287&gt;=K287,"Supports","Conflicts"),"N/A"),"No Sw"))</f>
        <v/>
      </c>
      <c r="O287" s="20">
        <f>IF(G287="","",Settings!$B$6*IF(OR(F287="GOC",F287="OWC",F287="GWC"),1,0.7)+Settings!$B$7*IF(N287="Supports",1,IF(N287="Conflicts",0,0.5))+Settings!$B$8*IF(AND(Master_Data!R287&lt;&gt;"",Master_Data!S287&lt;&gt;"",Master_Data!R288&lt;&gt;"",Master_Data!S288&lt;&gt;""),1,0.5))</f>
        <v/>
      </c>
      <c r="P287" s="19">
        <f>IF(G287="","",IF(N287="Conflicts","SW_CONFLICT",IF(OR(F287="GOC",F287="OWC",F287="GWC"),"DIRECT_FLUID_TRANSITION","TRANSITION_INTERVAL")))</f>
        <v/>
      </c>
      <c r="Q287" s="19">
        <f>IF(G287="","",IF(N287="Conflicts","Investigate contact interpretation / saturation behaviour",IF(OR(F287="OWC",F287="GOC",F287="GWC"),"Candidate contact — validate with logs, pressure and dynamic evidence","Transition zone — do not force to a sharp contact")))</f>
        <v/>
      </c>
    </row>
    <row r="288">
      <c r="A288" s="19">
        <f>IF(AND(Master_Data!A288&lt;&gt;"",Master_Data!A288=Master_Data!A289),Master_Data!A288,"")</f>
        <v/>
      </c>
      <c r="B288" s="19">
        <f>IF($A288="","",Master_Data!B288)</f>
        <v/>
      </c>
      <c r="C288" s="19">
        <f>IF($A288="","",Master_Data!B289)</f>
        <v/>
      </c>
      <c r="D288" s="19">
        <f>IF($A288="","",Master_Data!Q288)</f>
        <v/>
      </c>
      <c r="E288" s="19">
        <f>IF($A288="","",Master_Data!Q289)</f>
        <v/>
      </c>
      <c r="F288" s="19">
        <f>IF($A288="","",IF(AND(D288="GAS",E288="OIL"),"GOC",IF(AND(D288="OIL",E288="WATER"),"OWC",IF(AND(D288="GAS",E288="WATER"),"GWC",IF(AND(D288="OIL",E288="OIL_WATER"),"OWC_TRANSITION",IF(AND(D288="OIL_WATER",E288="WATER"),"OWC_TRANSITION",IF(AND(D288="GAS",E288="GAS_WATER"),"GOC_TRANSITION",IF(AND(D288="GAS_WATER",E288="OIL"),"GOC_TRANSITION",IF(OR(D288="OIL_WATER",D288="GAS_WATER"),"TRANSITION_INTERVAL","")))))))))</f>
        <v/>
      </c>
      <c r="G288" s="20">
        <f>IF(OR(F288="",Master_Data!R288="",Master_Data!S288=""),"",IF(RIGHT(F288,10)="TRANSITION",AVERAGE(Master_Data!R288:Master_Data!S288),AVERAGE(Master_Data!S288,Master_Data!R289)))</f>
        <v/>
      </c>
      <c r="H288" s="20">
        <f>IF(G288="","",MAX(Settings!$B$4,Settings!$B$5*AVERAGE(IF(Master_Data!O288&lt;&gt;"",Master_Data!O288,Master_Data!H288),IF(Master_Data!O289&lt;&gt;"",Master_Data!O289,Master_Data!H289))))</f>
        <v/>
      </c>
      <c r="I288" s="20">
        <f>IF(G288="","",G288-H288)</f>
        <v/>
      </c>
      <c r="J288" s="20">
        <f>IF(G288="","",G288+H288)</f>
        <v/>
      </c>
      <c r="K288" s="20">
        <f>IF($A288="","",Master_Data!G288)</f>
        <v/>
      </c>
      <c r="L288" s="20">
        <f>IF($A288="","",Master_Data!G289)</f>
        <v/>
      </c>
      <c r="M288" s="20">
        <f>IF(AND(ISNUMBER(K288),ISNUMBER(L288)),L288-K288,"")</f>
        <v/>
      </c>
      <c r="N288" s="19">
        <f>IF(G288="","",IF(AND(ISNUMBER(K288),ISNUMBER(L288)),IF(OR(F288="GOC",F288="OWC",F288="GWC",F288="OWC_TRANSITION",F288="GOC_TRANSITION"),IF(L288&gt;=K288,"Supports","Conflicts"),"N/A"),"No Sw"))</f>
        <v/>
      </c>
      <c r="O288" s="20">
        <f>IF(G288="","",Settings!$B$6*IF(OR(F288="GOC",F288="OWC",F288="GWC"),1,0.7)+Settings!$B$7*IF(N288="Supports",1,IF(N288="Conflicts",0,0.5))+Settings!$B$8*IF(AND(Master_Data!R288&lt;&gt;"",Master_Data!S288&lt;&gt;"",Master_Data!R289&lt;&gt;"",Master_Data!S289&lt;&gt;""),1,0.5))</f>
        <v/>
      </c>
      <c r="P288" s="19">
        <f>IF(G288="","",IF(N288="Conflicts","SW_CONFLICT",IF(OR(F288="GOC",F288="OWC",F288="GWC"),"DIRECT_FLUID_TRANSITION","TRANSITION_INTERVAL")))</f>
        <v/>
      </c>
      <c r="Q288" s="19">
        <f>IF(G288="","",IF(N288="Conflicts","Investigate contact interpretation / saturation behaviour",IF(OR(F288="OWC",F288="GOC",F288="GWC"),"Candidate contact — validate with logs, pressure and dynamic evidence","Transition zone — do not force to a sharp contact")))</f>
        <v/>
      </c>
    </row>
    <row r="289">
      <c r="A289" s="19">
        <f>IF(AND(Master_Data!A289&lt;&gt;"",Master_Data!A289=Master_Data!A290),Master_Data!A289,"")</f>
        <v/>
      </c>
      <c r="B289" s="19">
        <f>IF($A289="","",Master_Data!B289)</f>
        <v/>
      </c>
      <c r="C289" s="19">
        <f>IF($A289="","",Master_Data!B290)</f>
        <v/>
      </c>
      <c r="D289" s="19">
        <f>IF($A289="","",Master_Data!Q289)</f>
        <v/>
      </c>
      <c r="E289" s="19">
        <f>IF($A289="","",Master_Data!Q290)</f>
        <v/>
      </c>
      <c r="F289" s="19">
        <f>IF($A289="","",IF(AND(D289="GAS",E289="OIL"),"GOC",IF(AND(D289="OIL",E289="WATER"),"OWC",IF(AND(D289="GAS",E289="WATER"),"GWC",IF(AND(D289="OIL",E289="OIL_WATER"),"OWC_TRANSITION",IF(AND(D289="OIL_WATER",E289="WATER"),"OWC_TRANSITION",IF(AND(D289="GAS",E289="GAS_WATER"),"GOC_TRANSITION",IF(AND(D289="GAS_WATER",E289="OIL"),"GOC_TRANSITION",IF(OR(D289="OIL_WATER",D289="GAS_WATER"),"TRANSITION_INTERVAL","")))))))))</f>
        <v/>
      </c>
      <c r="G289" s="20">
        <f>IF(OR(F289="",Master_Data!R289="",Master_Data!S289=""),"",IF(RIGHT(F289,10)="TRANSITION",AVERAGE(Master_Data!R289:Master_Data!S289),AVERAGE(Master_Data!S289,Master_Data!R290)))</f>
        <v/>
      </c>
      <c r="H289" s="20">
        <f>IF(G289="","",MAX(Settings!$B$4,Settings!$B$5*AVERAGE(IF(Master_Data!O289&lt;&gt;"",Master_Data!O289,Master_Data!H289),IF(Master_Data!O290&lt;&gt;"",Master_Data!O290,Master_Data!H290))))</f>
        <v/>
      </c>
      <c r="I289" s="20">
        <f>IF(G289="","",G289-H289)</f>
        <v/>
      </c>
      <c r="J289" s="20">
        <f>IF(G289="","",G289+H289)</f>
        <v/>
      </c>
      <c r="K289" s="20">
        <f>IF($A289="","",Master_Data!G289)</f>
        <v/>
      </c>
      <c r="L289" s="20">
        <f>IF($A289="","",Master_Data!G290)</f>
        <v/>
      </c>
      <c r="M289" s="20">
        <f>IF(AND(ISNUMBER(K289),ISNUMBER(L289)),L289-K289,"")</f>
        <v/>
      </c>
      <c r="N289" s="19">
        <f>IF(G289="","",IF(AND(ISNUMBER(K289),ISNUMBER(L289)),IF(OR(F289="GOC",F289="OWC",F289="GWC",F289="OWC_TRANSITION",F289="GOC_TRANSITION"),IF(L289&gt;=K289,"Supports","Conflicts"),"N/A"),"No Sw"))</f>
        <v/>
      </c>
      <c r="O289" s="20">
        <f>IF(G289="","",Settings!$B$6*IF(OR(F289="GOC",F289="OWC",F289="GWC"),1,0.7)+Settings!$B$7*IF(N289="Supports",1,IF(N289="Conflicts",0,0.5))+Settings!$B$8*IF(AND(Master_Data!R289&lt;&gt;"",Master_Data!S289&lt;&gt;"",Master_Data!R290&lt;&gt;"",Master_Data!S290&lt;&gt;""),1,0.5))</f>
        <v/>
      </c>
      <c r="P289" s="19">
        <f>IF(G289="","",IF(N289="Conflicts","SW_CONFLICT",IF(OR(F289="GOC",F289="OWC",F289="GWC"),"DIRECT_FLUID_TRANSITION","TRANSITION_INTERVAL")))</f>
        <v/>
      </c>
      <c r="Q289" s="19">
        <f>IF(G289="","",IF(N289="Conflicts","Investigate contact interpretation / saturation behaviour",IF(OR(F289="OWC",F289="GOC",F289="GWC"),"Candidate contact — validate with logs, pressure and dynamic evidence","Transition zone — do not force to a sharp contact")))</f>
        <v/>
      </c>
    </row>
    <row r="290">
      <c r="A290" s="19">
        <f>IF(AND(Master_Data!A290&lt;&gt;"",Master_Data!A290=Master_Data!A291),Master_Data!A290,"")</f>
        <v/>
      </c>
      <c r="B290" s="19">
        <f>IF($A290="","",Master_Data!B290)</f>
        <v/>
      </c>
      <c r="C290" s="19">
        <f>IF($A290="","",Master_Data!B291)</f>
        <v/>
      </c>
      <c r="D290" s="19">
        <f>IF($A290="","",Master_Data!Q290)</f>
        <v/>
      </c>
      <c r="E290" s="19">
        <f>IF($A290="","",Master_Data!Q291)</f>
        <v/>
      </c>
      <c r="F290" s="19">
        <f>IF($A290="","",IF(AND(D290="GAS",E290="OIL"),"GOC",IF(AND(D290="OIL",E290="WATER"),"OWC",IF(AND(D290="GAS",E290="WATER"),"GWC",IF(AND(D290="OIL",E290="OIL_WATER"),"OWC_TRANSITION",IF(AND(D290="OIL_WATER",E290="WATER"),"OWC_TRANSITION",IF(AND(D290="GAS",E290="GAS_WATER"),"GOC_TRANSITION",IF(AND(D290="GAS_WATER",E290="OIL"),"GOC_TRANSITION",IF(OR(D290="OIL_WATER",D290="GAS_WATER"),"TRANSITION_INTERVAL","")))))))))</f>
        <v/>
      </c>
      <c r="G290" s="20">
        <f>IF(OR(F290="",Master_Data!R290="",Master_Data!S290=""),"",IF(RIGHT(F290,10)="TRANSITION",AVERAGE(Master_Data!R290:Master_Data!S290),AVERAGE(Master_Data!S290,Master_Data!R291)))</f>
        <v/>
      </c>
      <c r="H290" s="20">
        <f>IF(G290="","",MAX(Settings!$B$4,Settings!$B$5*AVERAGE(IF(Master_Data!O290&lt;&gt;"",Master_Data!O290,Master_Data!H290),IF(Master_Data!O291&lt;&gt;"",Master_Data!O291,Master_Data!H291))))</f>
        <v/>
      </c>
      <c r="I290" s="20">
        <f>IF(G290="","",G290-H290)</f>
        <v/>
      </c>
      <c r="J290" s="20">
        <f>IF(G290="","",G290+H290)</f>
        <v/>
      </c>
      <c r="K290" s="20">
        <f>IF($A290="","",Master_Data!G290)</f>
        <v/>
      </c>
      <c r="L290" s="20">
        <f>IF($A290="","",Master_Data!G291)</f>
        <v/>
      </c>
      <c r="M290" s="20">
        <f>IF(AND(ISNUMBER(K290),ISNUMBER(L290)),L290-K290,"")</f>
        <v/>
      </c>
      <c r="N290" s="19">
        <f>IF(G290="","",IF(AND(ISNUMBER(K290),ISNUMBER(L290)),IF(OR(F290="GOC",F290="OWC",F290="GWC",F290="OWC_TRANSITION",F290="GOC_TRANSITION"),IF(L290&gt;=K290,"Supports","Conflicts"),"N/A"),"No Sw"))</f>
        <v/>
      </c>
      <c r="O290" s="20">
        <f>IF(G290="","",Settings!$B$6*IF(OR(F290="GOC",F290="OWC",F290="GWC"),1,0.7)+Settings!$B$7*IF(N290="Supports",1,IF(N290="Conflicts",0,0.5))+Settings!$B$8*IF(AND(Master_Data!R290&lt;&gt;"",Master_Data!S290&lt;&gt;"",Master_Data!R291&lt;&gt;"",Master_Data!S291&lt;&gt;""),1,0.5))</f>
        <v/>
      </c>
      <c r="P290" s="19">
        <f>IF(G290="","",IF(N290="Conflicts","SW_CONFLICT",IF(OR(F290="GOC",F290="OWC",F290="GWC"),"DIRECT_FLUID_TRANSITION","TRANSITION_INTERVAL")))</f>
        <v/>
      </c>
      <c r="Q290" s="19">
        <f>IF(G290="","",IF(N290="Conflicts","Investigate contact interpretation / saturation behaviour",IF(OR(F290="OWC",F290="GOC",F290="GWC"),"Candidate contact — validate with logs, pressure and dynamic evidence","Transition zone — do not force to a sharp contact")))</f>
        <v/>
      </c>
    </row>
    <row r="291">
      <c r="A291" s="19">
        <f>IF(AND(Master_Data!A291&lt;&gt;"",Master_Data!A291=Master_Data!A292),Master_Data!A291,"")</f>
        <v/>
      </c>
      <c r="B291" s="19">
        <f>IF($A291="","",Master_Data!B291)</f>
        <v/>
      </c>
      <c r="C291" s="19">
        <f>IF($A291="","",Master_Data!B292)</f>
        <v/>
      </c>
      <c r="D291" s="19">
        <f>IF($A291="","",Master_Data!Q291)</f>
        <v/>
      </c>
      <c r="E291" s="19">
        <f>IF($A291="","",Master_Data!Q292)</f>
        <v/>
      </c>
      <c r="F291" s="19">
        <f>IF($A291="","",IF(AND(D291="GAS",E291="OIL"),"GOC",IF(AND(D291="OIL",E291="WATER"),"OWC",IF(AND(D291="GAS",E291="WATER"),"GWC",IF(AND(D291="OIL",E291="OIL_WATER"),"OWC_TRANSITION",IF(AND(D291="OIL_WATER",E291="WATER"),"OWC_TRANSITION",IF(AND(D291="GAS",E291="GAS_WATER"),"GOC_TRANSITION",IF(AND(D291="GAS_WATER",E291="OIL"),"GOC_TRANSITION",IF(OR(D291="OIL_WATER",D291="GAS_WATER"),"TRANSITION_INTERVAL","")))))))))</f>
        <v/>
      </c>
      <c r="G291" s="20">
        <f>IF(OR(F291="",Master_Data!R291="",Master_Data!S291=""),"",IF(RIGHT(F291,10)="TRANSITION",AVERAGE(Master_Data!R291:Master_Data!S291),AVERAGE(Master_Data!S291,Master_Data!R292)))</f>
        <v/>
      </c>
      <c r="H291" s="20">
        <f>IF(G291="","",MAX(Settings!$B$4,Settings!$B$5*AVERAGE(IF(Master_Data!O291&lt;&gt;"",Master_Data!O291,Master_Data!H291),IF(Master_Data!O292&lt;&gt;"",Master_Data!O292,Master_Data!H292))))</f>
        <v/>
      </c>
      <c r="I291" s="20">
        <f>IF(G291="","",G291-H291)</f>
        <v/>
      </c>
      <c r="J291" s="20">
        <f>IF(G291="","",G291+H291)</f>
        <v/>
      </c>
      <c r="K291" s="20">
        <f>IF($A291="","",Master_Data!G291)</f>
        <v/>
      </c>
      <c r="L291" s="20">
        <f>IF($A291="","",Master_Data!G292)</f>
        <v/>
      </c>
      <c r="M291" s="20">
        <f>IF(AND(ISNUMBER(K291),ISNUMBER(L291)),L291-K291,"")</f>
        <v/>
      </c>
      <c r="N291" s="19">
        <f>IF(G291="","",IF(AND(ISNUMBER(K291),ISNUMBER(L291)),IF(OR(F291="GOC",F291="OWC",F291="GWC",F291="OWC_TRANSITION",F291="GOC_TRANSITION"),IF(L291&gt;=K291,"Supports","Conflicts"),"N/A"),"No Sw"))</f>
        <v/>
      </c>
      <c r="O291" s="20">
        <f>IF(G291="","",Settings!$B$6*IF(OR(F291="GOC",F291="OWC",F291="GWC"),1,0.7)+Settings!$B$7*IF(N291="Supports",1,IF(N291="Conflicts",0,0.5))+Settings!$B$8*IF(AND(Master_Data!R291&lt;&gt;"",Master_Data!S291&lt;&gt;"",Master_Data!R292&lt;&gt;"",Master_Data!S292&lt;&gt;""),1,0.5))</f>
        <v/>
      </c>
      <c r="P291" s="19">
        <f>IF(G291="","",IF(N291="Conflicts","SW_CONFLICT",IF(OR(F291="GOC",F291="OWC",F291="GWC"),"DIRECT_FLUID_TRANSITION","TRANSITION_INTERVAL")))</f>
        <v/>
      </c>
      <c r="Q291" s="19">
        <f>IF(G291="","",IF(N291="Conflicts","Investigate contact interpretation / saturation behaviour",IF(OR(F291="OWC",F291="GOC",F291="GWC"),"Candidate contact — validate with logs, pressure and dynamic evidence","Transition zone — do not force to a sharp contact")))</f>
        <v/>
      </c>
    </row>
    <row r="292">
      <c r="A292" s="19">
        <f>IF(AND(Master_Data!A292&lt;&gt;"",Master_Data!A292=Master_Data!A293),Master_Data!A292,"")</f>
        <v/>
      </c>
      <c r="B292" s="19">
        <f>IF($A292="","",Master_Data!B292)</f>
        <v/>
      </c>
      <c r="C292" s="19">
        <f>IF($A292="","",Master_Data!B293)</f>
        <v/>
      </c>
      <c r="D292" s="19">
        <f>IF($A292="","",Master_Data!Q292)</f>
        <v/>
      </c>
      <c r="E292" s="19">
        <f>IF($A292="","",Master_Data!Q293)</f>
        <v/>
      </c>
      <c r="F292" s="19">
        <f>IF($A292="","",IF(AND(D292="GAS",E292="OIL"),"GOC",IF(AND(D292="OIL",E292="WATER"),"OWC",IF(AND(D292="GAS",E292="WATER"),"GWC",IF(AND(D292="OIL",E292="OIL_WATER"),"OWC_TRANSITION",IF(AND(D292="OIL_WATER",E292="WATER"),"OWC_TRANSITION",IF(AND(D292="GAS",E292="GAS_WATER"),"GOC_TRANSITION",IF(AND(D292="GAS_WATER",E292="OIL"),"GOC_TRANSITION",IF(OR(D292="OIL_WATER",D292="GAS_WATER"),"TRANSITION_INTERVAL","")))))))))</f>
        <v/>
      </c>
      <c r="G292" s="20">
        <f>IF(OR(F292="",Master_Data!R292="",Master_Data!S292=""),"",IF(RIGHT(F292,10)="TRANSITION",AVERAGE(Master_Data!R292:Master_Data!S292),AVERAGE(Master_Data!S292,Master_Data!R293)))</f>
        <v/>
      </c>
      <c r="H292" s="20">
        <f>IF(G292="","",MAX(Settings!$B$4,Settings!$B$5*AVERAGE(IF(Master_Data!O292&lt;&gt;"",Master_Data!O292,Master_Data!H292),IF(Master_Data!O293&lt;&gt;"",Master_Data!O293,Master_Data!H293))))</f>
        <v/>
      </c>
      <c r="I292" s="20">
        <f>IF(G292="","",G292-H292)</f>
        <v/>
      </c>
      <c r="J292" s="20">
        <f>IF(G292="","",G292+H292)</f>
        <v/>
      </c>
      <c r="K292" s="20">
        <f>IF($A292="","",Master_Data!G292)</f>
        <v/>
      </c>
      <c r="L292" s="20">
        <f>IF($A292="","",Master_Data!G293)</f>
        <v/>
      </c>
      <c r="M292" s="20">
        <f>IF(AND(ISNUMBER(K292),ISNUMBER(L292)),L292-K292,"")</f>
        <v/>
      </c>
      <c r="N292" s="19">
        <f>IF(G292="","",IF(AND(ISNUMBER(K292),ISNUMBER(L292)),IF(OR(F292="GOC",F292="OWC",F292="GWC",F292="OWC_TRANSITION",F292="GOC_TRANSITION"),IF(L292&gt;=K292,"Supports","Conflicts"),"N/A"),"No Sw"))</f>
        <v/>
      </c>
      <c r="O292" s="20">
        <f>IF(G292="","",Settings!$B$6*IF(OR(F292="GOC",F292="OWC",F292="GWC"),1,0.7)+Settings!$B$7*IF(N292="Supports",1,IF(N292="Conflicts",0,0.5))+Settings!$B$8*IF(AND(Master_Data!R292&lt;&gt;"",Master_Data!S292&lt;&gt;"",Master_Data!R293&lt;&gt;"",Master_Data!S293&lt;&gt;""),1,0.5))</f>
        <v/>
      </c>
      <c r="P292" s="19">
        <f>IF(G292="","",IF(N292="Conflicts","SW_CONFLICT",IF(OR(F292="GOC",F292="OWC",F292="GWC"),"DIRECT_FLUID_TRANSITION","TRANSITION_INTERVAL")))</f>
        <v/>
      </c>
      <c r="Q292" s="19">
        <f>IF(G292="","",IF(N292="Conflicts","Investigate contact interpretation / saturation behaviour",IF(OR(F292="OWC",F292="GOC",F292="GWC"),"Candidate contact — validate with logs, pressure and dynamic evidence","Transition zone — do not force to a sharp contact")))</f>
        <v/>
      </c>
    </row>
    <row r="293">
      <c r="A293" s="19">
        <f>IF(AND(Master_Data!A293&lt;&gt;"",Master_Data!A293=Master_Data!A294),Master_Data!A293,"")</f>
        <v/>
      </c>
      <c r="B293" s="19">
        <f>IF($A293="","",Master_Data!B293)</f>
        <v/>
      </c>
      <c r="C293" s="19">
        <f>IF($A293="","",Master_Data!B294)</f>
        <v/>
      </c>
      <c r="D293" s="19">
        <f>IF($A293="","",Master_Data!Q293)</f>
        <v/>
      </c>
      <c r="E293" s="19">
        <f>IF($A293="","",Master_Data!Q294)</f>
        <v/>
      </c>
      <c r="F293" s="19">
        <f>IF($A293="","",IF(AND(D293="GAS",E293="OIL"),"GOC",IF(AND(D293="OIL",E293="WATER"),"OWC",IF(AND(D293="GAS",E293="WATER"),"GWC",IF(AND(D293="OIL",E293="OIL_WATER"),"OWC_TRANSITION",IF(AND(D293="OIL_WATER",E293="WATER"),"OWC_TRANSITION",IF(AND(D293="GAS",E293="GAS_WATER"),"GOC_TRANSITION",IF(AND(D293="GAS_WATER",E293="OIL"),"GOC_TRANSITION",IF(OR(D293="OIL_WATER",D293="GAS_WATER"),"TRANSITION_INTERVAL","")))))))))</f>
        <v/>
      </c>
      <c r="G293" s="20">
        <f>IF(OR(F293="",Master_Data!R293="",Master_Data!S293=""),"",IF(RIGHT(F293,10)="TRANSITION",AVERAGE(Master_Data!R293:Master_Data!S293),AVERAGE(Master_Data!S293,Master_Data!R294)))</f>
        <v/>
      </c>
      <c r="H293" s="20">
        <f>IF(G293="","",MAX(Settings!$B$4,Settings!$B$5*AVERAGE(IF(Master_Data!O293&lt;&gt;"",Master_Data!O293,Master_Data!H293),IF(Master_Data!O294&lt;&gt;"",Master_Data!O294,Master_Data!H294))))</f>
        <v/>
      </c>
      <c r="I293" s="20">
        <f>IF(G293="","",G293-H293)</f>
        <v/>
      </c>
      <c r="J293" s="20">
        <f>IF(G293="","",G293+H293)</f>
        <v/>
      </c>
      <c r="K293" s="20">
        <f>IF($A293="","",Master_Data!G293)</f>
        <v/>
      </c>
      <c r="L293" s="20">
        <f>IF($A293="","",Master_Data!G294)</f>
        <v/>
      </c>
      <c r="M293" s="20">
        <f>IF(AND(ISNUMBER(K293),ISNUMBER(L293)),L293-K293,"")</f>
        <v/>
      </c>
      <c r="N293" s="19">
        <f>IF(G293="","",IF(AND(ISNUMBER(K293),ISNUMBER(L293)),IF(OR(F293="GOC",F293="OWC",F293="GWC",F293="OWC_TRANSITION",F293="GOC_TRANSITION"),IF(L293&gt;=K293,"Supports","Conflicts"),"N/A"),"No Sw"))</f>
        <v/>
      </c>
      <c r="O293" s="20">
        <f>IF(G293="","",Settings!$B$6*IF(OR(F293="GOC",F293="OWC",F293="GWC"),1,0.7)+Settings!$B$7*IF(N293="Supports",1,IF(N293="Conflicts",0,0.5))+Settings!$B$8*IF(AND(Master_Data!R293&lt;&gt;"",Master_Data!S293&lt;&gt;"",Master_Data!R294&lt;&gt;"",Master_Data!S294&lt;&gt;""),1,0.5))</f>
        <v/>
      </c>
      <c r="P293" s="19">
        <f>IF(G293="","",IF(N293="Conflicts","SW_CONFLICT",IF(OR(F293="GOC",F293="OWC",F293="GWC"),"DIRECT_FLUID_TRANSITION","TRANSITION_INTERVAL")))</f>
        <v/>
      </c>
      <c r="Q293" s="19">
        <f>IF(G293="","",IF(N293="Conflicts","Investigate contact interpretation / saturation behaviour",IF(OR(F293="OWC",F293="GOC",F293="GWC"),"Candidate contact — validate with logs, pressure and dynamic evidence","Transition zone — do not force to a sharp contact")))</f>
        <v/>
      </c>
    </row>
    <row r="294">
      <c r="A294" s="19">
        <f>IF(AND(Master_Data!A294&lt;&gt;"",Master_Data!A294=Master_Data!A295),Master_Data!A294,"")</f>
        <v/>
      </c>
      <c r="B294" s="19">
        <f>IF($A294="","",Master_Data!B294)</f>
        <v/>
      </c>
      <c r="C294" s="19">
        <f>IF($A294="","",Master_Data!B295)</f>
        <v/>
      </c>
      <c r="D294" s="19">
        <f>IF($A294="","",Master_Data!Q294)</f>
        <v/>
      </c>
      <c r="E294" s="19">
        <f>IF($A294="","",Master_Data!Q295)</f>
        <v/>
      </c>
      <c r="F294" s="19">
        <f>IF($A294="","",IF(AND(D294="GAS",E294="OIL"),"GOC",IF(AND(D294="OIL",E294="WATER"),"OWC",IF(AND(D294="GAS",E294="WATER"),"GWC",IF(AND(D294="OIL",E294="OIL_WATER"),"OWC_TRANSITION",IF(AND(D294="OIL_WATER",E294="WATER"),"OWC_TRANSITION",IF(AND(D294="GAS",E294="GAS_WATER"),"GOC_TRANSITION",IF(AND(D294="GAS_WATER",E294="OIL"),"GOC_TRANSITION",IF(OR(D294="OIL_WATER",D294="GAS_WATER"),"TRANSITION_INTERVAL","")))))))))</f>
        <v/>
      </c>
      <c r="G294" s="20">
        <f>IF(OR(F294="",Master_Data!R294="",Master_Data!S294=""),"",IF(RIGHT(F294,10)="TRANSITION",AVERAGE(Master_Data!R294:Master_Data!S294),AVERAGE(Master_Data!S294,Master_Data!R295)))</f>
        <v/>
      </c>
      <c r="H294" s="20">
        <f>IF(G294="","",MAX(Settings!$B$4,Settings!$B$5*AVERAGE(IF(Master_Data!O294&lt;&gt;"",Master_Data!O294,Master_Data!H294),IF(Master_Data!O295&lt;&gt;"",Master_Data!O295,Master_Data!H295))))</f>
        <v/>
      </c>
      <c r="I294" s="20">
        <f>IF(G294="","",G294-H294)</f>
        <v/>
      </c>
      <c r="J294" s="20">
        <f>IF(G294="","",G294+H294)</f>
        <v/>
      </c>
      <c r="K294" s="20">
        <f>IF($A294="","",Master_Data!G294)</f>
        <v/>
      </c>
      <c r="L294" s="20">
        <f>IF($A294="","",Master_Data!G295)</f>
        <v/>
      </c>
      <c r="M294" s="20">
        <f>IF(AND(ISNUMBER(K294),ISNUMBER(L294)),L294-K294,"")</f>
        <v/>
      </c>
      <c r="N294" s="19">
        <f>IF(G294="","",IF(AND(ISNUMBER(K294),ISNUMBER(L294)),IF(OR(F294="GOC",F294="OWC",F294="GWC",F294="OWC_TRANSITION",F294="GOC_TRANSITION"),IF(L294&gt;=K294,"Supports","Conflicts"),"N/A"),"No Sw"))</f>
        <v/>
      </c>
      <c r="O294" s="20">
        <f>IF(G294="","",Settings!$B$6*IF(OR(F294="GOC",F294="OWC",F294="GWC"),1,0.7)+Settings!$B$7*IF(N294="Supports",1,IF(N294="Conflicts",0,0.5))+Settings!$B$8*IF(AND(Master_Data!R294&lt;&gt;"",Master_Data!S294&lt;&gt;"",Master_Data!R295&lt;&gt;"",Master_Data!S295&lt;&gt;""),1,0.5))</f>
        <v/>
      </c>
      <c r="P294" s="19">
        <f>IF(G294="","",IF(N294="Conflicts","SW_CONFLICT",IF(OR(F294="GOC",F294="OWC",F294="GWC"),"DIRECT_FLUID_TRANSITION","TRANSITION_INTERVAL")))</f>
        <v/>
      </c>
      <c r="Q294" s="19">
        <f>IF(G294="","",IF(N294="Conflicts","Investigate contact interpretation / saturation behaviour",IF(OR(F294="OWC",F294="GOC",F294="GWC"),"Candidate contact — validate with logs, pressure and dynamic evidence","Transition zone — do not force to a sharp contact")))</f>
        <v/>
      </c>
    </row>
    <row r="295">
      <c r="A295" s="19">
        <f>IF(AND(Master_Data!A295&lt;&gt;"",Master_Data!A295=Master_Data!A296),Master_Data!A295,"")</f>
        <v/>
      </c>
      <c r="B295" s="19">
        <f>IF($A295="","",Master_Data!B295)</f>
        <v/>
      </c>
      <c r="C295" s="19">
        <f>IF($A295="","",Master_Data!B296)</f>
        <v/>
      </c>
      <c r="D295" s="19">
        <f>IF($A295="","",Master_Data!Q295)</f>
        <v/>
      </c>
      <c r="E295" s="19">
        <f>IF($A295="","",Master_Data!Q296)</f>
        <v/>
      </c>
      <c r="F295" s="19">
        <f>IF($A295="","",IF(AND(D295="GAS",E295="OIL"),"GOC",IF(AND(D295="OIL",E295="WATER"),"OWC",IF(AND(D295="GAS",E295="WATER"),"GWC",IF(AND(D295="OIL",E295="OIL_WATER"),"OWC_TRANSITION",IF(AND(D295="OIL_WATER",E295="WATER"),"OWC_TRANSITION",IF(AND(D295="GAS",E295="GAS_WATER"),"GOC_TRANSITION",IF(AND(D295="GAS_WATER",E295="OIL"),"GOC_TRANSITION",IF(OR(D295="OIL_WATER",D295="GAS_WATER"),"TRANSITION_INTERVAL","")))))))))</f>
        <v/>
      </c>
      <c r="G295" s="20">
        <f>IF(OR(F295="",Master_Data!R295="",Master_Data!S295=""),"",IF(RIGHT(F295,10)="TRANSITION",AVERAGE(Master_Data!R295:Master_Data!S295),AVERAGE(Master_Data!S295,Master_Data!R296)))</f>
        <v/>
      </c>
      <c r="H295" s="20">
        <f>IF(G295="","",MAX(Settings!$B$4,Settings!$B$5*AVERAGE(IF(Master_Data!O295&lt;&gt;"",Master_Data!O295,Master_Data!H295),IF(Master_Data!O296&lt;&gt;"",Master_Data!O296,Master_Data!H296))))</f>
        <v/>
      </c>
      <c r="I295" s="20">
        <f>IF(G295="","",G295-H295)</f>
        <v/>
      </c>
      <c r="J295" s="20">
        <f>IF(G295="","",G295+H295)</f>
        <v/>
      </c>
      <c r="K295" s="20">
        <f>IF($A295="","",Master_Data!G295)</f>
        <v/>
      </c>
      <c r="L295" s="20">
        <f>IF($A295="","",Master_Data!G296)</f>
        <v/>
      </c>
      <c r="M295" s="20">
        <f>IF(AND(ISNUMBER(K295),ISNUMBER(L295)),L295-K295,"")</f>
        <v/>
      </c>
      <c r="N295" s="19">
        <f>IF(G295="","",IF(AND(ISNUMBER(K295),ISNUMBER(L295)),IF(OR(F295="GOC",F295="OWC",F295="GWC",F295="OWC_TRANSITION",F295="GOC_TRANSITION"),IF(L295&gt;=K295,"Supports","Conflicts"),"N/A"),"No Sw"))</f>
        <v/>
      </c>
      <c r="O295" s="20">
        <f>IF(G295="","",Settings!$B$6*IF(OR(F295="GOC",F295="OWC",F295="GWC"),1,0.7)+Settings!$B$7*IF(N295="Supports",1,IF(N295="Conflicts",0,0.5))+Settings!$B$8*IF(AND(Master_Data!R295&lt;&gt;"",Master_Data!S295&lt;&gt;"",Master_Data!R296&lt;&gt;"",Master_Data!S296&lt;&gt;""),1,0.5))</f>
        <v/>
      </c>
      <c r="P295" s="19">
        <f>IF(G295="","",IF(N295="Conflicts","SW_CONFLICT",IF(OR(F295="GOC",F295="OWC",F295="GWC"),"DIRECT_FLUID_TRANSITION","TRANSITION_INTERVAL")))</f>
        <v/>
      </c>
      <c r="Q295" s="19">
        <f>IF(G295="","",IF(N295="Conflicts","Investigate contact interpretation / saturation behaviour",IF(OR(F295="OWC",F295="GOC",F295="GWC"),"Candidate contact — validate with logs, pressure and dynamic evidence","Transition zone — do not force to a sharp contact")))</f>
        <v/>
      </c>
    </row>
    <row r="296">
      <c r="A296" s="19">
        <f>IF(AND(Master_Data!A296&lt;&gt;"",Master_Data!A296=Master_Data!A297),Master_Data!A296,"")</f>
        <v/>
      </c>
      <c r="B296" s="19">
        <f>IF($A296="","",Master_Data!B296)</f>
        <v/>
      </c>
      <c r="C296" s="19">
        <f>IF($A296="","",Master_Data!B297)</f>
        <v/>
      </c>
      <c r="D296" s="19">
        <f>IF($A296="","",Master_Data!Q296)</f>
        <v/>
      </c>
      <c r="E296" s="19">
        <f>IF($A296="","",Master_Data!Q297)</f>
        <v/>
      </c>
      <c r="F296" s="19">
        <f>IF($A296="","",IF(AND(D296="GAS",E296="OIL"),"GOC",IF(AND(D296="OIL",E296="WATER"),"OWC",IF(AND(D296="GAS",E296="WATER"),"GWC",IF(AND(D296="OIL",E296="OIL_WATER"),"OWC_TRANSITION",IF(AND(D296="OIL_WATER",E296="WATER"),"OWC_TRANSITION",IF(AND(D296="GAS",E296="GAS_WATER"),"GOC_TRANSITION",IF(AND(D296="GAS_WATER",E296="OIL"),"GOC_TRANSITION",IF(OR(D296="OIL_WATER",D296="GAS_WATER"),"TRANSITION_INTERVAL","")))))))))</f>
        <v/>
      </c>
      <c r="G296" s="20">
        <f>IF(OR(F296="",Master_Data!R296="",Master_Data!S296=""),"",IF(RIGHT(F296,10)="TRANSITION",AVERAGE(Master_Data!R296:Master_Data!S296),AVERAGE(Master_Data!S296,Master_Data!R297)))</f>
        <v/>
      </c>
      <c r="H296" s="20">
        <f>IF(G296="","",MAX(Settings!$B$4,Settings!$B$5*AVERAGE(IF(Master_Data!O296&lt;&gt;"",Master_Data!O296,Master_Data!H296),IF(Master_Data!O297&lt;&gt;"",Master_Data!O297,Master_Data!H297))))</f>
        <v/>
      </c>
      <c r="I296" s="20">
        <f>IF(G296="","",G296-H296)</f>
        <v/>
      </c>
      <c r="J296" s="20">
        <f>IF(G296="","",G296+H296)</f>
        <v/>
      </c>
      <c r="K296" s="20">
        <f>IF($A296="","",Master_Data!G296)</f>
        <v/>
      </c>
      <c r="L296" s="20">
        <f>IF($A296="","",Master_Data!G297)</f>
        <v/>
      </c>
      <c r="M296" s="20">
        <f>IF(AND(ISNUMBER(K296),ISNUMBER(L296)),L296-K296,"")</f>
        <v/>
      </c>
      <c r="N296" s="19">
        <f>IF(G296="","",IF(AND(ISNUMBER(K296),ISNUMBER(L296)),IF(OR(F296="GOC",F296="OWC",F296="GWC",F296="OWC_TRANSITION",F296="GOC_TRANSITION"),IF(L296&gt;=K296,"Supports","Conflicts"),"N/A"),"No Sw"))</f>
        <v/>
      </c>
      <c r="O296" s="20">
        <f>IF(G296="","",Settings!$B$6*IF(OR(F296="GOC",F296="OWC",F296="GWC"),1,0.7)+Settings!$B$7*IF(N296="Supports",1,IF(N296="Conflicts",0,0.5))+Settings!$B$8*IF(AND(Master_Data!R296&lt;&gt;"",Master_Data!S296&lt;&gt;"",Master_Data!R297&lt;&gt;"",Master_Data!S297&lt;&gt;""),1,0.5))</f>
        <v/>
      </c>
      <c r="P296" s="19">
        <f>IF(G296="","",IF(N296="Conflicts","SW_CONFLICT",IF(OR(F296="GOC",F296="OWC",F296="GWC"),"DIRECT_FLUID_TRANSITION","TRANSITION_INTERVAL")))</f>
        <v/>
      </c>
      <c r="Q296" s="19">
        <f>IF(G296="","",IF(N296="Conflicts","Investigate contact interpretation / saturation behaviour",IF(OR(F296="OWC",F296="GOC",F296="GWC"),"Candidate contact — validate with logs, pressure and dynamic evidence","Transition zone — do not force to a sharp contact")))</f>
        <v/>
      </c>
    </row>
    <row r="297">
      <c r="A297" s="19">
        <f>IF(AND(Master_Data!A297&lt;&gt;"",Master_Data!A297=Master_Data!A298),Master_Data!A297,"")</f>
        <v/>
      </c>
      <c r="B297" s="19">
        <f>IF($A297="","",Master_Data!B297)</f>
        <v/>
      </c>
      <c r="C297" s="19">
        <f>IF($A297="","",Master_Data!B298)</f>
        <v/>
      </c>
      <c r="D297" s="19">
        <f>IF($A297="","",Master_Data!Q297)</f>
        <v/>
      </c>
      <c r="E297" s="19">
        <f>IF($A297="","",Master_Data!Q298)</f>
        <v/>
      </c>
      <c r="F297" s="19">
        <f>IF($A297="","",IF(AND(D297="GAS",E297="OIL"),"GOC",IF(AND(D297="OIL",E297="WATER"),"OWC",IF(AND(D297="GAS",E297="WATER"),"GWC",IF(AND(D297="OIL",E297="OIL_WATER"),"OWC_TRANSITION",IF(AND(D297="OIL_WATER",E297="WATER"),"OWC_TRANSITION",IF(AND(D297="GAS",E297="GAS_WATER"),"GOC_TRANSITION",IF(AND(D297="GAS_WATER",E297="OIL"),"GOC_TRANSITION",IF(OR(D297="OIL_WATER",D297="GAS_WATER"),"TRANSITION_INTERVAL","")))))))))</f>
        <v/>
      </c>
      <c r="G297" s="20">
        <f>IF(OR(F297="",Master_Data!R297="",Master_Data!S297=""),"",IF(RIGHT(F297,10)="TRANSITION",AVERAGE(Master_Data!R297:Master_Data!S297),AVERAGE(Master_Data!S297,Master_Data!R298)))</f>
        <v/>
      </c>
      <c r="H297" s="20">
        <f>IF(G297="","",MAX(Settings!$B$4,Settings!$B$5*AVERAGE(IF(Master_Data!O297&lt;&gt;"",Master_Data!O297,Master_Data!H297),IF(Master_Data!O298&lt;&gt;"",Master_Data!O298,Master_Data!H298))))</f>
        <v/>
      </c>
      <c r="I297" s="20">
        <f>IF(G297="","",G297-H297)</f>
        <v/>
      </c>
      <c r="J297" s="20">
        <f>IF(G297="","",G297+H297)</f>
        <v/>
      </c>
      <c r="K297" s="20">
        <f>IF($A297="","",Master_Data!G297)</f>
        <v/>
      </c>
      <c r="L297" s="20">
        <f>IF($A297="","",Master_Data!G298)</f>
        <v/>
      </c>
      <c r="M297" s="20">
        <f>IF(AND(ISNUMBER(K297),ISNUMBER(L297)),L297-K297,"")</f>
        <v/>
      </c>
      <c r="N297" s="19">
        <f>IF(G297="","",IF(AND(ISNUMBER(K297),ISNUMBER(L297)),IF(OR(F297="GOC",F297="OWC",F297="GWC",F297="OWC_TRANSITION",F297="GOC_TRANSITION"),IF(L297&gt;=K297,"Supports","Conflicts"),"N/A"),"No Sw"))</f>
        <v/>
      </c>
      <c r="O297" s="20">
        <f>IF(G297="","",Settings!$B$6*IF(OR(F297="GOC",F297="OWC",F297="GWC"),1,0.7)+Settings!$B$7*IF(N297="Supports",1,IF(N297="Conflicts",0,0.5))+Settings!$B$8*IF(AND(Master_Data!R297&lt;&gt;"",Master_Data!S297&lt;&gt;"",Master_Data!R298&lt;&gt;"",Master_Data!S298&lt;&gt;""),1,0.5))</f>
        <v/>
      </c>
      <c r="P297" s="19">
        <f>IF(G297="","",IF(N297="Conflicts","SW_CONFLICT",IF(OR(F297="GOC",F297="OWC",F297="GWC"),"DIRECT_FLUID_TRANSITION","TRANSITION_INTERVAL")))</f>
        <v/>
      </c>
      <c r="Q297" s="19">
        <f>IF(G297="","",IF(N297="Conflicts","Investigate contact interpretation / saturation behaviour",IF(OR(F297="OWC",F297="GOC",F297="GWC"),"Candidate contact — validate with logs, pressure and dynamic evidence","Transition zone — do not force to a sharp contact")))</f>
        <v/>
      </c>
    </row>
    <row r="298">
      <c r="A298" s="19">
        <f>IF(AND(Master_Data!A298&lt;&gt;"",Master_Data!A298=Master_Data!A299),Master_Data!A298,"")</f>
        <v/>
      </c>
      <c r="B298" s="19">
        <f>IF($A298="","",Master_Data!B298)</f>
        <v/>
      </c>
      <c r="C298" s="19">
        <f>IF($A298="","",Master_Data!B299)</f>
        <v/>
      </c>
      <c r="D298" s="19">
        <f>IF($A298="","",Master_Data!Q298)</f>
        <v/>
      </c>
      <c r="E298" s="19">
        <f>IF($A298="","",Master_Data!Q299)</f>
        <v/>
      </c>
      <c r="F298" s="19">
        <f>IF($A298="","",IF(AND(D298="GAS",E298="OIL"),"GOC",IF(AND(D298="OIL",E298="WATER"),"OWC",IF(AND(D298="GAS",E298="WATER"),"GWC",IF(AND(D298="OIL",E298="OIL_WATER"),"OWC_TRANSITION",IF(AND(D298="OIL_WATER",E298="WATER"),"OWC_TRANSITION",IF(AND(D298="GAS",E298="GAS_WATER"),"GOC_TRANSITION",IF(AND(D298="GAS_WATER",E298="OIL"),"GOC_TRANSITION",IF(OR(D298="OIL_WATER",D298="GAS_WATER"),"TRANSITION_INTERVAL","")))))))))</f>
        <v/>
      </c>
      <c r="G298" s="20">
        <f>IF(OR(F298="",Master_Data!R298="",Master_Data!S298=""),"",IF(RIGHT(F298,10)="TRANSITION",AVERAGE(Master_Data!R298:Master_Data!S298),AVERAGE(Master_Data!S298,Master_Data!R299)))</f>
        <v/>
      </c>
      <c r="H298" s="20">
        <f>IF(G298="","",MAX(Settings!$B$4,Settings!$B$5*AVERAGE(IF(Master_Data!O298&lt;&gt;"",Master_Data!O298,Master_Data!H298),IF(Master_Data!O299&lt;&gt;"",Master_Data!O299,Master_Data!H299))))</f>
        <v/>
      </c>
      <c r="I298" s="20">
        <f>IF(G298="","",G298-H298)</f>
        <v/>
      </c>
      <c r="J298" s="20">
        <f>IF(G298="","",G298+H298)</f>
        <v/>
      </c>
      <c r="K298" s="20">
        <f>IF($A298="","",Master_Data!G298)</f>
        <v/>
      </c>
      <c r="L298" s="20">
        <f>IF($A298="","",Master_Data!G299)</f>
        <v/>
      </c>
      <c r="M298" s="20">
        <f>IF(AND(ISNUMBER(K298),ISNUMBER(L298)),L298-K298,"")</f>
        <v/>
      </c>
      <c r="N298" s="19">
        <f>IF(G298="","",IF(AND(ISNUMBER(K298),ISNUMBER(L298)),IF(OR(F298="GOC",F298="OWC",F298="GWC",F298="OWC_TRANSITION",F298="GOC_TRANSITION"),IF(L298&gt;=K298,"Supports","Conflicts"),"N/A"),"No Sw"))</f>
        <v/>
      </c>
      <c r="O298" s="20">
        <f>IF(G298="","",Settings!$B$6*IF(OR(F298="GOC",F298="OWC",F298="GWC"),1,0.7)+Settings!$B$7*IF(N298="Supports",1,IF(N298="Conflicts",0,0.5))+Settings!$B$8*IF(AND(Master_Data!R298&lt;&gt;"",Master_Data!S298&lt;&gt;"",Master_Data!R299&lt;&gt;"",Master_Data!S299&lt;&gt;""),1,0.5))</f>
        <v/>
      </c>
      <c r="P298" s="19">
        <f>IF(G298="","",IF(N298="Conflicts","SW_CONFLICT",IF(OR(F298="GOC",F298="OWC",F298="GWC"),"DIRECT_FLUID_TRANSITION","TRANSITION_INTERVAL")))</f>
        <v/>
      </c>
      <c r="Q298" s="19">
        <f>IF(G298="","",IF(N298="Conflicts","Investigate contact interpretation / saturation behaviour",IF(OR(F298="OWC",F298="GOC",F298="GWC"),"Candidate contact — validate with logs, pressure and dynamic evidence","Transition zone — do not force to a sharp contact")))</f>
        <v/>
      </c>
    </row>
    <row r="299">
      <c r="A299" s="19">
        <f>IF(AND(Master_Data!A299&lt;&gt;"",Master_Data!A299=Master_Data!A300),Master_Data!A299,"")</f>
        <v/>
      </c>
      <c r="B299" s="19">
        <f>IF($A299="","",Master_Data!B299)</f>
        <v/>
      </c>
      <c r="C299" s="19">
        <f>IF($A299="","",Master_Data!B300)</f>
        <v/>
      </c>
      <c r="D299" s="19">
        <f>IF($A299="","",Master_Data!Q299)</f>
        <v/>
      </c>
      <c r="E299" s="19">
        <f>IF($A299="","",Master_Data!Q300)</f>
        <v/>
      </c>
      <c r="F299" s="19">
        <f>IF($A299="","",IF(AND(D299="GAS",E299="OIL"),"GOC",IF(AND(D299="OIL",E299="WATER"),"OWC",IF(AND(D299="GAS",E299="WATER"),"GWC",IF(AND(D299="OIL",E299="OIL_WATER"),"OWC_TRANSITION",IF(AND(D299="OIL_WATER",E299="WATER"),"OWC_TRANSITION",IF(AND(D299="GAS",E299="GAS_WATER"),"GOC_TRANSITION",IF(AND(D299="GAS_WATER",E299="OIL"),"GOC_TRANSITION",IF(OR(D299="OIL_WATER",D299="GAS_WATER"),"TRANSITION_INTERVAL","")))))))))</f>
        <v/>
      </c>
      <c r="G299" s="20">
        <f>IF(OR(F299="",Master_Data!R299="",Master_Data!S299=""),"",IF(RIGHT(F299,10)="TRANSITION",AVERAGE(Master_Data!R299:Master_Data!S299),AVERAGE(Master_Data!S299,Master_Data!R300)))</f>
        <v/>
      </c>
      <c r="H299" s="20">
        <f>IF(G299="","",MAX(Settings!$B$4,Settings!$B$5*AVERAGE(IF(Master_Data!O299&lt;&gt;"",Master_Data!O299,Master_Data!H299),IF(Master_Data!O300&lt;&gt;"",Master_Data!O300,Master_Data!H300))))</f>
        <v/>
      </c>
      <c r="I299" s="20">
        <f>IF(G299="","",G299-H299)</f>
        <v/>
      </c>
      <c r="J299" s="20">
        <f>IF(G299="","",G299+H299)</f>
        <v/>
      </c>
      <c r="K299" s="20">
        <f>IF($A299="","",Master_Data!G299)</f>
        <v/>
      </c>
      <c r="L299" s="20">
        <f>IF($A299="","",Master_Data!G300)</f>
        <v/>
      </c>
      <c r="M299" s="20">
        <f>IF(AND(ISNUMBER(K299),ISNUMBER(L299)),L299-K299,"")</f>
        <v/>
      </c>
      <c r="N299" s="19">
        <f>IF(G299="","",IF(AND(ISNUMBER(K299),ISNUMBER(L299)),IF(OR(F299="GOC",F299="OWC",F299="GWC",F299="OWC_TRANSITION",F299="GOC_TRANSITION"),IF(L299&gt;=K299,"Supports","Conflicts"),"N/A"),"No Sw"))</f>
        <v/>
      </c>
      <c r="O299" s="20">
        <f>IF(G299="","",Settings!$B$6*IF(OR(F299="GOC",F299="OWC",F299="GWC"),1,0.7)+Settings!$B$7*IF(N299="Supports",1,IF(N299="Conflicts",0,0.5))+Settings!$B$8*IF(AND(Master_Data!R299&lt;&gt;"",Master_Data!S299&lt;&gt;"",Master_Data!R300&lt;&gt;"",Master_Data!S300&lt;&gt;""),1,0.5))</f>
        <v/>
      </c>
      <c r="P299" s="19">
        <f>IF(G299="","",IF(N299="Conflicts","SW_CONFLICT",IF(OR(F299="GOC",F299="OWC",F299="GWC"),"DIRECT_FLUID_TRANSITION","TRANSITION_INTERVAL")))</f>
        <v/>
      </c>
      <c r="Q299" s="19">
        <f>IF(G299="","",IF(N299="Conflicts","Investigate contact interpretation / saturation behaviour",IF(OR(F299="OWC",F299="GOC",F299="GWC"),"Candidate contact — validate with logs, pressure and dynamic evidence","Transition zone — do not force to a sharp contact")))</f>
        <v/>
      </c>
    </row>
    <row r="300">
      <c r="A300" s="19">
        <f>IF(AND(Master_Data!A300&lt;&gt;"",Master_Data!A300=Master_Data!A301),Master_Data!A300,"")</f>
        <v/>
      </c>
      <c r="B300" s="19">
        <f>IF($A300="","",Master_Data!B300)</f>
        <v/>
      </c>
      <c r="C300" s="19">
        <f>IF($A300="","",Master_Data!B301)</f>
        <v/>
      </c>
      <c r="D300" s="19">
        <f>IF($A300="","",Master_Data!Q300)</f>
        <v/>
      </c>
      <c r="E300" s="19">
        <f>IF($A300="","",Master_Data!Q301)</f>
        <v/>
      </c>
      <c r="F300" s="19">
        <f>IF($A300="","",IF(AND(D300="GAS",E300="OIL"),"GOC",IF(AND(D300="OIL",E300="WATER"),"OWC",IF(AND(D300="GAS",E300="WATER"),"GWC",IF(AND(D300="OIL",E300="OIL_WATER"),"OWC_TRANSITION",IF(AND(D300="OIL_WATER",E300="WATER"),"OWC_TRANSITION",IF(AND(D300="GAS",E300="GAS_WATER"),"GOC_TRANSITION",IF(AND(D300="GAS_WATER",E300="OIL"),"GOC_TRANSITION",IF(OR(D300="OIL_WATER",D300="GAS_WATER"),"TRANSITION_INTERVAL","")))))))))</f>
        <v/>
      </c>
      <c r="G300" s="20">
        <f>IF(OR(F300="",Master_Data!R300="",Master_Data!S300=""),"",IF(RIGHT(F300,10)="TRANSITION",AVERAGE(Master_Data!R300:Master_Data!S300),AVERAGE(Master_Data!S300,Master_Data!R301)))</f>
        <v/>
      </c>
      <c r="H300" s="20">
        <f>IF(G300="","",MAX(Settings!$B$4,Settings!$B$5*AVERAGE(IF(Master_Data!O300&lt;&gt;"",Master_Data!O300,Master_Data!H300),IF(Master_Data!O301&lt;&gt;"",Master_Data!O301,Master_Data!H301))))</f>
        <v/>
      </c>
      <c r="I300" s="20">
        <f>IF(G300="","",G300-H300)</f>
        <v/>
      </c>
      <c r="J300" s="20">
        <f>IF(G300="","",G300+H300)</f>
        <v/>
      </c>
      <c r="K300" s="20">
        <f>IF($A300="","",Master_Data!G300)</f>
        <v/>
      </c>
      <c r="L300" s="20">
        <f>IF($A300="","",Master_Data!G301)</f>
        <v/>
      </c>
      <c r="M300" s="20">
        <f>IF(AND(ISNUMBER(K300),ISNUMBER(L300)),L300-K300,"")</f>
        <v/>
      </c>
      <c r="N300" s="19">
        <f>IF(G300="","",IF(AND(ISNUMBER(K300),ISNUMBER(L300)),IF(OR(F300="GOC",F300="OWC",F300="GWC",F300="OWC_TRANSITION",F300="GOC_TRANSITION"),IF(L300&gt;=K300,"Supports","Conflicts"),"N/A"),"No Sw"))</f>
        <v/>
      </c>
      <c r="O300" s="20">
        <f>IF(G300="","",Settings!$B$6*IF(OR(F300="GOC",F300="OWC",F300="GWC"),1,0.7)+Settings!$B$7*IF(N300="Supports",1,IF(N300="Conflicts",0,0.5))+Settings!$B$8*IF(AND(Master_Data!R300&lt;&gt;"",Master_Data!S300&lt;&gt;"",Master_Data!R301&lt;&gt;"",Master_Data!S301&lt;&gt;""),1,0.5))</f>
        <v/>
      </c>
      <c r="P300" s="19">
        <f>IF(G300="","",IF(N300="Conflicts","SW_CONFLICT",IF(OR(F300="GOC",F300="OWC",F300="GWC"),"DIRECT_FLUID_TRANSITION","TRANSITION_INTERVAL")))</f>
        <v/>
      </c>
      <c r="Q300" s="19">
        <f>IF(G300="","",IF(N300="Conflicts","Investigate contact interpretation / saturation behaviour",IF(OR(F300="OWC",F300="GOC",F300="GWC"),"Candidate contact — validate with logs, pressure and dynamic evidence","Transition zone — do not force to a sharp contact")))</f>
        <v/>
      </c>
    </row>
    <row r="301">
      <c r="A301" s="19">
        <f>IF(AND(Master_Data!A301&lt;&gt;"",Master_Data!A301=Master_Data!A302),Master_Data!A301,"")</f>
        <v/>
      </c>
      <c r="B301" s="19">
        <f>IF($A301="","",Master_Data!B301)</f>
        <v/>
      </c>
      <c r="C301" s="19">
        <f>IF($A301="","",Master_Data!B302)</f>
        <v/>
      </c>
      <c r="D301" s="19">
        <f>IF($A301="","",Master_Data!Q301)</f>
        <v/>
      </c>
      <c r="E301" s="19">
        <f>IF($A301="","",Master_Data!Q302)</f>
        <v/>
      </c>
      <c r="F301" s="19">
        <f>IF($A301="","",IF(AND(D301="GAS",E301="OIL"),"GOC",IF(AND(D301="OIL",E301="WATER"),"OWC",IF(AND(D301="GAS",E301="WATER"),"GWC",IF(AND(D301="OIL",E301="OIL_WATER"),"OWC_TRANSITION",IF(AND(D301="OIL_WATER",E301="WATER"),"OWC_TRANSITION",IF(AND(D301="GAS",E301="GAS_WATER"),"GOC_TRANSITION",IF(AND(D301="GAS_WATER",E301="OIL"),"GOC_TRANSITION",IF(OR(D301="OIL_WATER",D301="GAS_WATER"),"TRANSITION_INTERVAL","")))))))))</f>
        <v/>
      </c>
      <c r="G301" s="20">
        <f>IF(OR(F301="",Master_Data!R301="",Master_Data!S301=""),"",IF(RIGHT(F301,10)="TRANSITION",AVERAGE(Master_Data!R301:Master_Data!S301),AVERAGE(Master_Data!S301,Master_Data!R302)))</f>
        <v/>
      </c>
      <c r="H301" s="20">
        <f>IF(G301="","",MAX(Settings!$B$4,Settings!$B$5*AVERAGE(IF(Master_Data!O301&lt;&gt;"",Master_Data!O301,Master_Data!H301),IF(Master_Data!O302&lt;&gt;"",Master_Data!O302,Master_Data!H302))))</f>
        <v/>
      </c>
      <c r="I301" s="20">
        <f>IF(G301="","",G301-H301)</f>
        <v/>
      </c>
      <c r="J301" s="20">
        <f>IF(G301="","",G301+H301)</f>
        <v/>
      </c>
      <c r="K301" s="20">
        <f>IF($A301="","",Master_Data!G301)</f>
        <v/>
      </c>
      <c r="L301" s="20">
        <f>IF($A301="","",Master_Data!G302)</f>
        <v/>
      </c>
      <c r="M301" s="20">
        <f>IF(AND(ISNUMBER(K301),ISNUMBER(L301)),L301-K301,"")</f>
        <v/>
      </c>
      <c r="N301" s="19">
        <f>IF(G301="","",IF(AND(ISNUMBER(K301),ISNUMBER(L301)),IF(OR(F301="GOC",F301="OWC",F301="GWC",F301="OWC_TRANSITION",F301="GOC_TRANSITION"),IF(L301&gt;=K301,"Supports","Conflicts"),"N/A"),"No Sw"))</f>
        <v/>
      </c>
      <c r="O301" s="20">
        <f>IF(G301="","",Settings!$B$6*IF(OR(F301="GOC",F301="OWC",F301="GWC"),1,0.7)+Settings!$B$7*IF(N301="Supports",1,IF(N301="Conflicts",0,0.5))+Settings!$B$8*IF(AND(Master_Data!R301&lt;&gt;"",Master_Data!S301&lt;&gt;"",Master_Data!R302&lt;&gt;"",Master_Data!S302&lt;&gt;""),1,0.5))</f>
        <v/>
      </c>
      <c r="P301" s="19">
        <f>IF(G301="","",IF(N301="Conflicts","SW_CONFLICT",IF(OR(F301="GOC",F301="OWC",F301="GWC"),"DIRECT_FLUID_TRANSITION","TRANSITION_INTERVAL")))</f>
        <v/>
      </c>
      <c r="Q301" s="19">
        <f>IF(G301="","",IF(N301="Conflicts","Investigate contact interpretation / saturation behaviour",IF(OR(F301="OWC",F301="GOC",F301="GWC"),"Candidate contact — validate with logs, pressure and dynamic evidence","Transition zone — do not force to a sharp contact")))</f>
        <v/>
      </c>
    </row>
    <row r="302">
      <c r="A302" s="19">
        <f>IF(AND(Master_Data!A302&lt;&gt;"",Master_Data!A302=Master_Data!A303),Master_Data!A302,"")</f>
        <v/>
      </c>
      <c r="B302" s="19">
        <f>IF($A302="","",Master_Data!B302)</f>
        <v/>
      </c>
      <c r="C302" s="19">
        <f>IF($A302="","",Master_Data!B303)</f>
        <v/>
      </c>
      <c r="D302" s="19">
        <f>IF($A302="","",Master_Data!Q302)</f>
        <v/>
      </c>
      <c r="E302" s="19">
        <f>IF($A302="","",Master_Data!Q303)</f>
        <v/>
      </c>
      <c r="F302" s="19">
        <f>IF($A302="","",IF(AND(D302="GAS",E302="OIL"),"GOC",IF(AND(D302="OIL",E302="WATER"),"OWC",IF(AND(D302="GAS",E302="WATER"),"GWC",IF(AND(D302="OIL",E302="OIL_WATER"),"OWC_TRANSITION",IF(AND(D302="OIL_WATER",E302="WATER"),"OWC_TRANSITION",IF(AND(D302="GAS",E302="GAS_WATER"),"GOC_TRANSITION",IF(AND(D302="GAS_WATER",E302="OIL"),"GOC_TRANSITION",IF(OR(D302="OIL_WATER",D302="GAS_WATER"),"TRANSITION_INTERVAL","")))))))))</f>
        <v/>
      </c>
      <c r="G302" s="20">
        <f>IF(OR(F302="",Master_Data!R302="",Master_Data!S302=""),"",IF(RIGHT(F302,10)="TRANSITION",AVERAGE(Master_Data!R302:Master_Data!S302),AVERAGE(Master_Data!S302,Master_Data!R303)))</f>
        <v/>
      </c>
      <c r="H302" s="20">
        <f>IF(G302="","",MAX(Settings!$B$4,Settings!$B$5*AVERAGE(IF(Master_Data!O302&lt;&gt;"",Master_Data!O302,Master_Data!H302),IF(Master_Data!O303&lt;&gt;"",Master_Data!O303,Master_Data!H303))))</f>
        <v/>
      </c>
      <c r="I302" s="20">
        <f>IF(G302="","",G302-H302)</f>
        <v/>
      </c>
      <c r="J302" s="20">
        <f>IF(G302="","",G302+H302)</f>
        <v/>
      </c>
      <c r="K302" s="20">
        <f>IF($A302="","",Master_Data!G302)</f>
        <v/>
      </c>
      <c r="L302" s="20">
        <f>IF($A302="","",Master_Data!G303)</f>
        <v/>
      </c>
      <c r="M302" s="20">
        <f>IF(AND(ISNUMBER(K302),ISNUMBER(L302)),L302-K302,"")</f>
        <v/>
      </c>
      <c r="N302" s="19">
        <f>IF(G302="","",IF(AND(ISNUMBER(K302),ISNUMBER(L302)),IF(OR(F302="GOC",F302="OWC",F302="GWC",F302="OWC_TRANSITION",F302="GOC_TRANSITION"),IF(L302&gt;=K302,"Supports","Conflicts"),"N/A"),"No Sw"))</f>
        <v/>
      </c>
      <c r="O302" s="20">
        <f>IF(G302="","",Settings!$B$6*IF(OR(F302="GOC",F302="OWC",F302="GWC"),1,0.7)+Settings!$B$7*IF(N302="Supports",1,IF(N302="Conflicts",0,0.5))+Settings!$B$8*IF(AND(Master_Data!R302&lt;&gt;"",Master_Data!S302&lt;&gt;"",Master_Data!R303&lt;&gt;"",Master_Data!S303&lt;&gt;""),1,0.5))</f>
        <v/>
      </c>
      <c r="P302" s="19">
        <f>IF(G302="","",IF(N302="Conflicts","SW_CONFLICT",IF(OR(F302="GOC",F302="OWC",F302="GWC"),"DIRECT_FLUID_TRANSITION","TRANSITION_INTERVAL")))</f>
        <v/>
      </c>
      <c r="Q302" s="19">
        <f>IF(G302="","",IF(N302="Conflicts","Investigate contact interpretation / saturation behaviour",IF(OR(F302="OWC",F302="GOC",F302="GWC"),"Candidate contact — validate with logs, pressure and dynamic evidence","Transition zone — do not force to a sharp contact")))</f>
        <v/>
      </c>
    </row>
    <row r="303">
      <c r="A303" s="19">
        <f>IF(AND(Master_Data!A303&lt;&gt;"",Master_Data!A303=Master_Data!A304),Master_Data!A303,"")</f>
        <v/>
      </c>
      <c r="B303" s="19">
        <f>IF($A303="","",Master_Data!B303)</f>
        <v/>
      </c>
      <c r="C303" s="19">
        <f>IF($A303="","",Master_Data!B304)</f>
        <v/>
      </c>
      <c r="D303" s="19">
        <f>IF($A303="","",Master_Data!Q303)</f>
        <v/>
      </c>
      <c r="E303" s="19">
        <f>IF($A303="","",Master_Data!Q304)</f>
        <v/>
      </c>
      <c r="F303" s="19">
        <f>IF($A303="","",IF(AND(D303="GAS",E303="OIL"),"GOC",IF(AND(D303="OIL",E303="WATER"),"OWC",IF(AND(D303="GAS",E303="WATER"),"GWC",IF(AND(D303="OIL",E303="OIL_WATER"),"OWC_TRANSITION",IF(AND(D303="OIL_WATER",E303="WATER"),"OWC_TRANSITION",IF(AND(D303="GAS",E303="GAS_WATER"),"GOC_TRANSITION",IF(AND(D303="GAS_WATER",E303="OIL"),"GOC_TRANSITION",IF(OR(D303="OIL_WATER",D303="GAS_WATER"),"TRANSITION_INTERVAL","")))))))))</f>
        <v/>
      </c>
      <c r="G303" s="20">
        <f>IF(OR(F303="",Master_Data!R303="",Master_Data!S303=""),"",IF(RIGHT(F303,10)="TRANSITION",AVERAGE(Master_Data!R303:Master_Data!S303),AVERAGE(Master_Data!S303,Master_Data!R304)))</f>
        <v/>
      </c>
      <c r="H303" s="20">
        <f>IF(G303="","",MAX(Settings!$B$4,Settings!$B$5*AVERAGE(IF(Master_Data!O303&lt;&gt;"",Master_Data!O303,Master_Data!H303),IF(Master_Data!O304&lt;&gt;"",Master_Data!O304,Master_Data!H304))))</f>
        <v/>
      </c>
      <c r="I303" s="20">
        <f>IF(G303="","",G303-H303)</f>
        <v/>
      </c>
      <c r="J303" s="20">
        <f>IF(G303="","",G303+H303)</f>
        <v/>
      </c>
      <c r="K303" s="20">
        <f>IF($A303="","",Master_Data!G303)</f>
        <v/>
      </c>
      <c r="L303" s="20">
        <f>IF($A303="","",Master_Data!G304)</f>
        <v/>
      </c>
      <c r="M303" s="20">
        <f>IF(AND(ISNUMBER(K303),ISNUMBER(L303)),L303-K303,"")</f>
        <v/>
      </c>
      <c r="N303" s="19">
        <f>IF(G303="","",IF(AND(ISNUMBER(K303),ISNUMBER(L303)),IF(OR(F303="GOC",F303="OWC",F303="GWC",F303="OWC_TRANSITION",F303="GOC_TRANSITION"),IF(L303&gt;=K303,"Supports","Conflicts"),"N/A"),"No Sw"))</f>
        <v/>
      </c>
      <c r="O303" s="20">
        <f>IF(G303="","",Settings!$B$6*IF(OR(F303="GOC",F303="OWC",F303="GWC"),1,0.7)+Settings!$B$7*IF(N303="Supports",1,IF(N303="Conflicts",0,0.5))+Settings!$B$8*IF(AND(Master_Data!R303&lt;&gt;"",Master_Data!S303&lt;&gt;"",Master_Data!R304&lt;&gt;"",Master_Data!S304&lt;&gt;""),1,0.5))</f>
        <v/>
      </c>
      <c r="P303" s="19">
        <f>IF(G303="","",IF(N303="Conflicts","SW_CONFLICT",IF(OR(F303="GOC",F303="OWC",F303="GWC"),"DIRECT_FLUID_TRANSITION","TRANSITION_INTERVAL")))</f>
        <v/>
      </c>
      <c r="Q303" s="19">
        <f>IF(G303="","",IF(N303="Conflicts","Investigate contact interpretation / saturation behaviour",IF(OR(F303="OWC",F303="GOC",F303="GWC"),"Candidate contact — validate with logs, pressure and dynamic evidence","Transition zone — do not force to a sharp contact")))</f>
        <v/>
      </c>
    </row>
    <row r="304">
      <c r="A304" s="19">
        <f>IF(AND(Master_Data!A304&lt;&gt;"",Master_Data!A304=Master_Data!A305),Master_Data!A304,"")</f>
        <v/>
      </c>
      <c r="B304" s="19">
        <f>IF($A304="","",Master_Data!B304)</f>
        <v/>
      </c>
      <c r="C304" s="19">
        <f>IF($A304="","",Master_Data!B305)</f>
        <v/>
      </c>
      <c r="D304" s="19">
        <f>IF($A304="","",Master_Data!Q304)</f>
        <v/>
      </c>
      <c r="E304" s="19">
        <f>IF($A304="","",Master_Data!Q305)</f>
        <v/>
      </c>
      <c r="F304" s="19">
        <f>IF($A304="","",IF(AND(D304="GAS",E304="OIL"),"GOC",IF(AND(D304="OIL",E304="WATER"),"OWC",IF(AND(D304="GAS",E304="WATER"),"GWC",IF(AND(D304="OIL",E304="OIL_WATER"),"OWC_TRANSITION",IF(AND(D304="OIL_WATER",E304="WATER"),"OWC_TRANSITION",IF(AND(D304="GAS",E304="GAS_WATER"),"GOC_TRANSITION",IF(AND(D304="GAS_WATER",E304="OIL"),"GOC_TRANSITION",IF(OR(D304="OIL_WATER",D304="GAS_WATER"),"TRANSITION_INTERVAL","")))))))))</f>
        <v/>
      </c>
      <c r="G304" s="20">
        <f>IF(OR(F304="",Master_Data!R304="",Master_Data!S304=""),"",IF(RIGHT(F304,10)="TRANSITION",AVERAGE(Master_Data!R304:Master_Data!S304),AVERAGE(Master_Data!S304,Master_Data!R305)))</f>
        <v/>
      </c>
      <c r="H304" s="20">
        <f>IF(G304="","",MAX(Settings!$B$4,Settings!$B$5*AVERAGE(IF(Master_Data!O304&lt;&gt;"",Master_Data!O304,Master_Data!H304),IF(Master_Data!O305&lt;&gt;"",Master_Data!O305,Master_Data!H305))))</f>
        <v/>
      </c>
      <c r="I304" s="20">
        <f>IF(G304="","",G304-H304)</f>
        <v/>
      </c>
      <c r="J304" s="20">
        <f>IF(G304="","",G304+H304)</f>
        <v/>
      </c>
      <c r="K304" s="20">
        <f>IF($A304="","",Master_Data!G304)</f>
        <v/>
      </c>
      <c r="L304" s="20">
        <f>IF($A304="","",Master_Data!G305)</f>
        <v/>
      </c>
      <c r="M304" s="20">
        <f>IF(AND(ISNUMBER(K304),ISNUMBER(L304)),L304-K304,"")</f>
        <v/>
      </c>
      <c r="N304" s="19">
        <f>IF(G304="","",IF(AND(ISNUMBER(K304),ISNUMBER(L304)),IF(OR(F304="GOC",F304="OWC",F304="GWC",F304="OWC_TRANSITION",F304="GOC_TRANSITION"),IF(L304&gt;=K304,"Supports","Conflicts"),"N/A"),"No Sw"))</f>
        <v/>
      </c>
      <c r="O304" s="20">
        <f>IF(G304="","",Settings!$B$6*IF(OR(F304="GOC",F304="OWC",F304="GWC"),1,0.7)+Settings!$B$7*IF(N304="Supports",1,IF(N304="Conflicts",0,0.5))+Settings!$B$8*IF(AND(Master_Data!R304&lt;&gt;"",Master_Data!S304&lt;&gt;"",Master_Data!R305&lt;&gt;"",Master_Data!S305&lt;&gt;""),1,0.5))</f>
        <v/>
      </c>
      <c r="P304" s="19">
        <f>IF(G304="","",IF(N304="Conflicts","SW_CONFLICT",IF(OR(F304="GOC",F304="OWC",F304="GWC"),"DIRECT_FLUID_TRANSITION","TRANSITION_INTERVAL")))</f>
        <v/>
      </c>
      <c r="Q304" s="19">
        <f>IF(G304="","",IF(N304="Conflicts","Investigate contact interpretation / saturation behaviour",IF(OR(F304="OWC",F304="GOC",F304="GWC"),"Candidate contact — validate with logs, pressure and dynamic evidence","Transition zone — do not force to a sharp contact")))</f>
        <v/>
      </c>
    </row>
    <row r="305">
      <c r="A305" s="19">
        <f>IF(AND(Master_Data!A305&lt;&gt;"",Master_Data!A305=Master_Data!A306),Master_Data!A305,"")</f>
        <v/>
      </c>
      <c r="B305" s="19">
        <f>IF($A305="","",Master_Data!B305)</f>
        <v/>
      </c>
      <c r="C305" s="19">
        <f>IF($A305="","",Master_Data!B306)</f>
        <v/>
      </c>
      <c r="D305" s="19">
        <f>IF($A305="","",Master_Data!Q305)</f>
        <v/>
      </c>
      <c r="E305" s="19">
        <f>IF($A305="","",Master_Data!Q306)</f>
        <v/>
      </c>
      <c r="F305" s="19">
        <f>IF($A305="","",IF(AND(D305="GAS",E305="OIL"),"GOC",IF(AND(D305="OIL",E305="WATER"),"OWC",IF(AND(D305="GAS",E305="WATER"),"GWC",IF(AND(D305="OIL",E305="OIL_WATER"),"OWC_TRANSITION",IF(AND(D305="OIL_WATER",E305="WATER"),"OWC_TRANSITION",IF(AND(D305="GAS",E305="GAS_WATER"),"GOC_TRANSITION",IF(AND(D305="GAS_WATER",E305="OIL"),"GOC_TRANSITION",IF(OR(D305="OIL_WATER",D305="GAS_WATER"),"TRANSITION_INTERVAL","")))))))))</f>
        <v/>
      </c>
      <c r="G305" s="20">
        <f>IF(OR(F305="",Master_Data!R305="",Master_Data!S305=""),"",IF(RIGHT(F305,10)="TRANSITION",AVERAGE(Master_Data!R305:Master_Data!S305),AVERAGE(Master_Data!S305,Master_Data!R306)))</f>
        <v/>
      </c>
      <c r="H305" s="20">
        <f>IF(G305="","",MAX(Settings!$B$4,Settings!$B$5*AVERAGE(IF(Master_Data!O305&lt;&gt;"",Master_Data!O305,Master_Data!H305),IF(Master_Data!O306&lt;&gt;"",Master_Data!O306,Master_Data!H306))))</f>
        <v/>
      </c>
      <c r="I305" s="20">
        <f>IF(G305="","",G305-H305)</f>
        <v/>
      </c>
      <c r="J305" s="20">
        <f>IF(G305="","",G305+H305)</f>
        <v/>
      </c>
      <c r="K305" s="20">
        <f>IF($A305="","",Master_Data!G305)</f>
        <v/>
      </c>
      <c r="L305" s="20">
        <f>IF($A305="","",Master_Data!G306)</f>
        <v/>
      </c>
      <c r="M305" s="20">
        <f>IF(AND(ISNUMBER(K305),ISNUMBER(L305)),L305-K305,"")</f>
        <v/>
      </c>
      <c r="N305" s="19">
        <f>IF(G305="","",IF(AND(ISNUMBER(K305),ISNUMBER(L305)),IF(OR(F305="GOC",F305="OWC",F305="GWC",F305="OWC_TRANSITION",F305="GOC_TRANSITION"),IF(L305&gt;=K305,"Supports","Conflicts"),"N/A"),"No Sw"))</f>
        <v/>
      </c>
      <c r="O305" s="20">
        <f>IF(G305="","",Settings!$B$6*IF(OR(F305="GOC",F305="OWC",F305="GWC"),1,0.7)+Settings!$B$7*IF(N305="Supports",1,IF(N305="Conflicts",0,0.5))+Settings!$B$8*IF(AND(Master_Data!R305&lt;&gt;"",Master_Data!S305&lt;&gt;"",Master_Data!R306&lt;&gt;"",Master_Data!S306&lt;&gt;""),1,0.5))</f>
        <v/>
      </c>
      <c r="P305" s="19">
        <f>IF(G305="","",IF(N305="Conflicts","SW_CONFLICT",IF(OR(F305="GOC",F305="OWC",F305="GWC"),"DIRECT_FLUID_TRANSITION","TRANSITION_INTERVAL")))</f>
        <v/>
      </c>
      <c r="Q305" s="19">
        <f>IF(G305="","",IF(N305="Conflicts","Investigate contact interpretation / saturation behaviour",IF(OR(F305="OWC",F305="GOC",F305="GWC"),"Candidate contact — validate with logs, pressure and dynamic evidence","Transition zone — do not force to a sharp contact")))</f>
        <v/>
      </c>
    </row>
    <row r="306">
      <c r="A306" s="19">
        <f>IF(AND(Master_Data!A306&lt;&gt;"",Master_Data!A306=Master_Data!A307),Master_Data!A306,"")</f>
        <v/>
      </c>
      <c r="B306" s="19">
        <f>IF($A306="","",Master_Data!B306)</f>
        <v/>
      </c>
      <c r="C306" s="19">
        <f>IF($A306="","",Master_Data!B307)</f>
        <v/>
      </c>
      <c r="D306" s="19">
        <f>IF($A306="","",Master_Data!Q306)</f>
        <v/>
      </c>
      <c r="E306" s="19">
        <f>IF($A306="","",Master_Data!Q307)</f>
        <v/>
      </c>
      <c r="F306" s="19">
        <f>IF($A306="","",IF(AND(D306="GAS",E306="OIL"),"GOC",IF(AND(D306="OIL",E306="WATER"),"OWC",IF(AND(D306="GAS",E306="WATER"),"GWC",IF(AND(D306="OIL",E306="OIL_WATER"),"OWC_TRANSITION",IF(AND(D306="OIL_WATER",E306="WATER"),"OWC_TRANSITION",IF(AND(D306="GAS",E306="GAS_WATER"),"GOC_TRANSITION",IF(AND(D306="GAS_WATER",E306="OIL"),"GOC_TRANSITION",IF(OR(D306="OIL_WATER",D306="GAS_WATER"),"TRANSITION_INTERVAL","")))))))))</f>
        <v/>
      </c>
      <c r="G306" s="20">
        <f>IF(OR(F306="",Master_Data!R306="",Master_Data!S306=""),"",IF(RIGHT(F306,10)="TRANSITION",AVERAGE(Master_Data!R306:Master_Data!S306),AVERAGE(Master_Data!S306,Master_Data!R307)))</f>
        <v/>
      </c>
      <c r="H306" s="20">
        <f>IF(G306="","",MAX(Settings!$B$4,Settings!$B$5*AVERAGE(IF(Master_Data!O306&lt;&gt;"",Master_Data!O306,Master_Data!H306),IF(Master_Data!O307&lt;&gt;"",Master_Data!O307,Master_Data!H307))))</f>
        <v/>
      </c>
      <c r="I306" s="20">
        <f>IF(G306="","",G306-H306)</f>
        <v/>
      </c>
      <c r="J306" s="20">
        <f>IF(G306="","",G306+H306)</f>
        <v/>
      </c>
      <c r="K306" s="20">
        <f>IF($A306="","",Master_Data!G306)</f>
        <v/>
      </c>
      <c r="L306" s="20">
        <f>IF($A306="","",Master_Data!G307)</f>
        <v/>
      </c>
      <c r="M306" s="20">
        <f>IF(AND(ISNUMBER(K306),ISNUMBER(L306)),L306-K306,"")</f>
        <v/>
      </c>
      <c r="N306" s="19">
        <f>IF(G306="","",IF(AND(ISNUMBER(K306),ISNUMBER(L306)),IF(OR(F306="GOC",F306="OWC",F306="GWC",F306="OWC_TRANSITION",F306="GOC_TRANSITION"),IF(L306&gt;=K306,"Supports","Conflicts"),"N/A"),"No Sw"))</f>
        <v/>
      </c>
      <c r="O306" s="20">
        <f>IF(G306="","",Settings!$B$6*IF(OR(F306="GOC",F306="OWC",F306="GWC"),1,0.7)+Settings!$B$7*IF(N306="Supports",1,IF(N306="Conflicts",0,0.5))+Settings!$B$8*IF(AND(Master_Data!R306&lt;&gt;"",Master_Data!S306&lt;&gt;"",Master_Data!R307&lt;&gt;"",Master_Data!S307&lt;&gt;""),1,0.5))</f>
        <v/>
      </c>
      <c r="P306" s="19">
        <f>IF(G306="","",IF(N306="Conflicts","SW_CONFLICT",IF(OR(F306="GOC",F306="OWC",F306="GWC"),"DIRECT_FLUID_TRANSITION","TRANSITION_INTERVAL")))</f>
        <v/>
      </c>
      <c r="Q306" s="19">
        <f>IF(G306="","",IF(N306="Conflicts","Investigate contact interpretation / saturation behaviour",IF(OR(F306="OWC",F306="GOC",F306="GWC"),"Candidate contact — validate with logs, pressure and dynamic evidence","Transition zone — do not force to a sharp contact")))</f>
        <v/>
      </c>
    </row>
    <row r="307">
      <c r="A307" s="19">
        <f>IF(AND(Master_Data!A307&lt;&gt;"",Master_Data!A307=Master_Data!A308),Master_Data!A307,"")</f>
        <v/>
      </c>
      <c r="B307" s="19">
        <f>IF($A307="","",Master_Data!B307)</f>
        <v/>
      </c>
      <c r="C307" s="19">
        <f>IF($A307="","",Master_Data!B308)</f>
        <v/>
      </c>
      <c r="D307" s="19">
        <f>IF($A307="","",Master_Data!Q307)</f>
        <v/>
      </c>
      <c r="E307" s="19">
        <f>IF($A307="","",Master_Data!Q308)</f>
        <v/>
      </c>
      <c r="F307" s="19">
        <f>IF($A307="","",IF(AND(D307="GAS",E307="OIL"),"GOC",IF(AND(D307="OIL",E307="WATER"),"OWC",IF(AND(D307="GAS",E307="WATER"),"GWC",IF(AND(D307="OIL",E307="OIL_WATER"),"OWC_TRANSITION",IF(AND(D307="OIL_WATER",E307="WATER"),"OWC_TRANSITION",IF(AND(D307="GAS",E307="GAS_WATER"),"GOC_TRANSITION",IF(AND(D307="GAS_WATER",E307="OIL"),"GOC_TRANSITION",IF(OR(D307="OIL_WATER",D307="GAS_WATER"),"TRANSITION_INTERVAL","")))))))))</f>
        <v/>
      </c>
      <c r="G307" s="20">
        <f>IF(OR(F307="",Master_Data!R307="",Master_Data!S307=""),"",IF(RIGHT(F307,10)="TRANSITION",AVERAGE(Master_Data!R307:Master_Data!S307),AVERAGE(Master_Data!S307,Master_Data!R308)))</f>
        <v/>
      </c>
      <c r="H307" s="20">
        <f>IF(G307="","",MAX(Settings!$B$4,Settings!$B$5*AVERAGE(IF(Master_Data!O307&lt;&gt;"",Master_Data!O307,Master_Data!H307),IF(Master_Data!O308&lt;&gt;"",Master_Data!O308,Master_Data!H308))))</f>
        <v/>
      </c>
      <c r="I307" s="20">
        <f>IF(G307="","",G307-H307)</f>
        <v/>
      </c>
      <c r="J307" s="20">
        <f>IF(G307="","",G307+H307)</f>
        <v/>
      </c>
      <c r="K307" s="20">
        <f>IF($A307="","",Master_Data!G307)</f>
        <v/>
      </c>
      <c r="L307" s="20">
        <f>IF($A307="","",Master_Data!G308)</f>
        <v/>
      </c>
      <c r="M307" s="20">
        <f>IF(AND(ISNUMBER(K307),ISNUMBER(L307)),L307-K307,"")</f>
        <v/>
      </c>
      <c r="N307" s="19">
        <f>IF(G307="","",IF(AND(ISNUMBER(K307),ISNUMBER(L307)),IF(OR(F307="GOC",F307="OWC",F307="GWC",F307="OWC_TRANSITION",F307="GOC_TRANSITION"),IF(L307&gt;=K307,"Supports","Conflicts"),"N/A"),"No Sw"))</f>
        <v/>
      </c>
      <c r="O307" s="20">
        <f>IF(G307="","",Settings!$B$6*IF(OR(F307="GOC",F307="OWC",F307="GWC"),1,0.7)+Settings!$B$7*IF(N307="Supports",1,IF(N307="Conflicts",0,0.5))+Settings!$B$8*IF(AND(Master_Data!R307&lt;&gt;"",Master_Data!S307&lt;&gt;"",Master_Data!R308&lt;&gt;"",Master_Data!S308&lt;&gt;""),1,0.5))</f>
        <v/>
      </c>
      <c r="P307" s="19">
        <f>IF(G307="","",IF(N307="Conflicts","SW_CONFLICT",IF(OR(F307="GOC",F307="OWC",F307="GWC"),"DIRECT_FLUID_TRANSITION","TRANSITION_INTERVAL")))</f>
        <v/>
      </c>
      <c r="Q307" s="19">
        <f>IF(G307="","",IF(N307="Conflicts","Investigate contact interpretation / saturation behaviour",IF(OR(F307="OWC",F307="GOC",F307="GWC"),"Candidate contact — validate with logs, pressure and dynamic evidence","Transition zone — do not force to a sharp contact")))</f>
        <v/>
      </c>
    </row>
    <row r="308">
      <c r="A308" s="19">
        <f>IF(AND(Master_Data!A308&lt;&gt;"",Master_Data!A308=Master_Data!A309),Master_Data!A308,"")</f>
        <v/>
      </c>
      <c r="B308" s="19">
        <f>IF($A308="","",Master_Data!B308)</f>
        <v/>
      </c>
      <c r="C308" s="19">
        <f>IF($A308="","",Master_Data!B309)</f>
        <v/>
      </c>
      <c r="D308" s="19">
        <f>IF($A308="","",Master_Data!Q308)</f>
        <v/>
      </c>
      <c r="E308" s="19">
        <f>IF($A308="","",Master_Data!Q309)</f>
        <v/>
      </c>
      <c r="F308" s="19">
        <f>IF($A308="","",IF(AND(D308="GAS",E308="OIL"),"GOC",IF(AND(D308="OIL",E308="WATER"),"OWC",IF(AND(D308="GAS",E308="WATER"),"GWC",IF(AND(D308="OIL",E308="OIL_WATER"),"OWC_TRANSITION",IF(AND(D308="OIL_WATER",E308="WATER"),"OWC_TRANSITION",IF(AND(D308="GAS",E308="GAS_WATER"),"GOC_TRANSITION",IF(AND(D308="GAS_WATER",E308="OIL"),"GOC_TRANSITION",IF(OR(D308="OIL_WATER",D308="GAS_WATER"),"TRANSITION_INTERVAL","")))))))))</f>
        <v/>
      </c>
      <c r="G308" s="20">
        <f>IF(OR(F308="",Master_Data!R308="",Master_Data!S308=""),"",IF(RIGHT(F308,10)="TRANSITION",AVERAGE(Master_Data!R308:Master_Data!S308),AVERAGE(Master_Data!S308,Master_Data!R309)))</f>
        <v/>
      </c>
      <c r="H308" s="20">
        <f>IF(G308="","",MAX(Settings!$B$4,Settings!$B$5*AVERAGE(IF(Master_Data!O308&lt;&gt;"",Master_Data!O308,Master_Data!H308),IF(Master_Data!O309&lt;&gt;"",Master_Data!O309,Master_Data!H309))))</f>
        <v/>
      </c>
      <c r="I308" s="20">
        <f>IF(G308="","",G308-H308)</f>
        <v/>
      </c>
      <c r="J308" s="20">
        <f>IF(G308="","",G308+H308)</f>
        <v/>
      </c>
      <c r="K308" s="20">
        <f>IF($A308="","",Master_Data!G308)</f>
        <v/>
      </c>
      <c r="L308" s="20">
        <f>IF($A308="","",Master_Data!G309)</f>
        <v/>
      </c>
      <c r="M308" s="20">
        <f>IF(AND(ISNUMBER(K308),ISNUMBER(L308)),L308-K308,"")</f>
        <v/>
      </c>
      <c r="N308" s="19">
        <f>IF(G308="","",IF(AND(ISNUMBER(K308),ISNUMBER(L308)),IF(OR(F308="GOC",F308="OWC",F308="GWC",F308="OWC_TRANSITION",F308="GOC_TRANSITION"),IF(L308&gt;=K308,"Supports","Conflicts"),"N/A"),"No Sw"))</f>
        <v/>
      </c>
      <c r="O308" s="20">
        <f>IF(G308="","",Settings!$B$6*IF(OR(F308="GOC",F308="OWC",F308="GWC"),1,0.7)+Settings!$B$7*IF(N308="Supports",1,IF(N308="Conflicts",0,0.5))+Settings!$B$8*IF(AND(Master_Data!R308&lt;&gt;"",Master_Data!S308&lt;&gt;"",Master_Data!R309&lt;&gt;"",Master_Data!S309&lt;&gt;""),1,0.5))</f>
        <v/>
      </c>
      <c r="P308" s="19">
        <f>IF(G308="","",IF(N308="Conflicts","SW_CONFLICT",IF(OR(F308="GOC",F308="OWC",F308="GWC"),"DIRECT_FLUID_TRANSITION","TRANSITION_INTERVAL")))</f>
        <v/>
      </c>
      <c r="Q308" s="19">
        <f>IF(G308="","",IF(N308="Conflicts","Investigate contact interpretation / saturation behaviour",IF(OR(F308="OWC",F308="GOC",F308="GWC"),"Candidate contact — validate with logs, pressure and dynamic evidence","Transition zone — do not force to a sharp contact")))</f>
        <v/>
      </c>
    </row>
    <row r="309">
      <c r="A309" s="19">
        <f>IF(AND(Master_Data!A309&lt;&gt;"",Master_Data!A309=Master_Data!A310),Master_Data!A309,"")</f>
        <v/>
      </c>
      <c r="B309" s="19">
        <f>IF($A309="","",Master_Data!B309)</f>
        <v/>
      </c>
      <c r="C309" s="19">
        <f>IF($A309="","",Master_Data!B310)</f>
        <v/>
      </c>
      <c r="D309" s="19">
        <f>IF($A309="","",Master_Data!Q309)</f>
        <v/>
      </c>
      <c r="E309" s="19">
        <f>IF($A309="","",Master_Data!Q310)</f>
        <v/>
      </c>
      <c r="F309" s="19">
        <f>IF($A309="","",IF(AND(D309="GAS",E309="OIL"),"GOC",IF(AND(D309="OIL",E309="WATER"),"OWC",IF(AND(D309="GAS",E309="WATER"),"GWC",IF(AND(D309="OIL",E309="OIL_WATER"),"OWC_TRANSITION",IF(AND(D309="OIL_WATER",E309="WATER"),"OWC_TRANSITION",IF(AND(D309="GAS",E309="GAS_WATER"),"GOC_TRANSITION",IF(AND(D309="GAS_WATER",E309="OIL"),"GOC_TRANSITION",IF(OR(D309="OIL_WATER",D309="GAS_WATER"),"TRANSITION_INTERVAL","")))))))))</f>
        <v/>
      </c>
      <c r="G309" s="20">
        <f>IF(OR(F309="",Master_Data!R309="",Master_Data!S309=""),"",IF(RIGHT(F309,10)="TRANSITION",AVERAGE(Master_Data!R309:Master_Data!S309),AVERAGE(Master_Data!S309,Master_Data!R310)))</f>
        <v/>
      </c>
      <c r="H309" s="20">
        <f>IF(G309="","",MAX(Settings!$B$4,Settings!$B$5*AVERAGE(IF(Master_Data!O309&lt;&gt;"",Master_Data!O309,Master_Data!H309),IF(Master_Data!O310&lt;&gt;"",Master_Data!O310,Master_Data!H310))))</f>
        <v/>
      </c>
      <c r="I309" s="20">
        <f>IF(G309="","",G309-H309)</f>
        <v/>
      </c>
      <c r="J309" s="20">
        <f>IF(G309="","",G309+H309)</f>
        <v/>
      </c>
      <c r="K309" s="20">
        <f>IF($A309="","",Master_Data!G309)</f>
        <v/>
      </c>
      <c r="L309" s="20">
        <f>IF($A309="","",Master_Data!G310)</f>
        <v/>
      </c>
      <c r="M309" s="20">
        <f>IF(AND(ISNUMBER(K309),ISNUMBER(L309)),L309-K309,"")</f>
        <v/>
      </c>
      <c r="N309" s="19">
        <f>IF(G309="","",IF(AND(ISNUMBER(K309),ISNUMBER(L309)),IF(OR(F309="GOC",F309="OWC",F309="GWC",F309="OWC_TRANSITION",F309="GOC_TRANSITION"),IF(L309&gt;=K309,"Supports","Conflicts"),"N/A"),"No Sw"))</f>
        <v/>
      </c>
      <c r="O309" s="20">
        <f>IF(G309="","",Settings!$B$6*IF(OR(F309="GOC",F309="OWC",F309="GWC"),1,0.7)+Settings!$B$7*IF(N309="Supports",1,IF(N309="Conflicts",0,0.5))+Settings!$B$8*IF(AND(Master_Data!R309&lt;&gt;"",Master_Data!S309&lt;&gt;"",Master_Data!R310&lt;&gt;"",Master_Data!S310&lt;&gt;""),1,0.5))</f>
        <v/>
      </c>
      <c r="P309" s="19">
        <f>IF(G309="","",IF(N309="Conflicts","SW_CONFLICT",IF(OR(F309="GOC",F309="OWC",F309="GWC"),"DIRECT_FLUID_TRANSITION","TRANSITION_INTERVAL")))</f>
        <v/>
      </c>
      <c r="Q309" s="19">
        <f>IF(G309="","",IF(N309="Conflicts","Investigate contact interpretation / saturation behaviour",IF(OR(F309="OWC",F309="GOC",F309="GWC"),"Candidate contact — validate with logs, pressure and dynamic evidence","Transition zone — do not force to a sharp contact")))</f>
        <v/>
      </c>
    </row>
    <row r="310">
      <c r="A310" s="19">
        <f>IF(AND(Master_Data!A310&lt;&gt;"",Master_Data!A310=Master_Data!A311),Master_Data!A310,"")</f>
        <v/>
      </c>
      <c r="B310" s="19">
        <f>IF($A310="","",Master_Data!B310)</f>
        <v/>
      </c>
      <c r="C310" s="19">
        <f>IF($A310="","",Master_Data!B311)</f>
        <v/>
      </c>
      <c r="D310" s="19">
        <f>IF($A310="","",Master_Data!Q310)</f>
        <v/>
      </c>
      <c r="E310" s="19">
        <f>IF($A310="","",Master_Data!Q311)</f>
        <v/>
      </c>
      <c r="F310" s="19">
        <f>IF($A310="","",IF(AND(D310="GAS",E310="OIL"),"GOC",IF(AND(D310="OIL",E310="WATER"),"OWC",IF(AND(D310="GAS",E310="WATER"),"GWC",IF(AND(D310="OIL",E310="OIL_WATER"),"OWC_TRANSITION",IF(AND(D310="OIL_WATER",E310="WATER"),"OWC_TRANSITION",IF(AND(D310="GAS",E310="GAS_WATER"),"GOC_TRANSITION",IF(AND(D310="GAS_WATER",E310="OIL"),"GOC_TRANSITION",IF(OR(D310="OIL_WATER",D310="GAS_WATER"),"TRANSITION_INTERVAL","")))))))))</f>
        <v/>
      </c>
      <c r="G310" s="20">
        <f>IF(OR(F310="",Master_Data!R310="",Master_Data!S310=""),"",IF(RIGHT(F310,10)="TRANSITION",AVERAGE(Master_Data!R310:Master_Data!S310),AVERAGE(Master_Data!S310,Master_Data!R311)))</f>
        <v/>
      </c>
      <c r="H310" s="20">
        <f>IF(G310="","",MAX(Settings!$B$4,Settings!$B$5*AVERAGE(IF(Master_Data!O310&lt;&gt;"",Master_Data!O310,Master_Data!H310),IF(Master_Data!O311&lt;&gt;"",Master_Data!O311,Master_Data!H311))))</f>
        <v/>
      </c>
      <c r="I310" s="20">
        <f>IF(G310="","",G310-H310)</f>
        <v/>
      </c>
      <c r="J310" s="20">
        <f>IF(G310="","",G310+H310)</f>
        <v/>
      </c>
      <c r="K310" s="20">
        <f>IF($A310="","",Master_Data!G310)</f>
        <v/>
      </c>
      <c r="L310" s="20">
        <f>IF($A310="","",Master_Data!G311)</f>
        <v/>
      </c>
      <c r="M310" s="20">
        <f>IF(AND(ISNUMBER(K310),ISNUMBER(L310)),L310-K310,"")</f>
        <v/>
      </c>
      <c r="N310" s="19">
        <f>IF(G310="","",IF(AND(ISNUMBER(K310),ISNUMBER(L310)),IF(OR(F310="GOC",F310="OWC",F310="GWC",F310="OWC_TRANSITION",F310="GOC_TRANSITION"),IF(L310&gt;=K310,"Supports","Conflicts"),"N/A"),"No Sw"))</f>
        <v/>
      </c>
      <c r="O310" s="20">
        <f>IF(G310="","",Settings!$B$6*IF(OR(F310="GOC",F310="OWC",F310="GWC"),1,0.7)+Settings!$B$7*IF(N310="Supports",1,IF(N310="Conflicts",0,0.5))+Settings!$B$8*IF(AND(Master_Data!R310&lt;&gt;"",Master_Data!S310&lt;&gt;"",Master_Data!R311&lt;&gt;"",Master_Data!S311&lt;&gt;""),1,0.5))</f>
        <v/>
      </c>
      <c r="P310" s="19">
        <f>IF(G310="","",IF(N310="Conflicts","SW_CONFLICT",IF(OR(F310="GOC",F310="OWC",F310="GWC"),"DIRECT_FLUID_TRANSITION","TRANSITION_INTERVAL")))</f>
        <v/>
      </c>
      <c r="Q310" s="19">
        <f>IF(G310="","",IF(N310="Conflicts","Investigate contact interpretation / saturation behaviour",IF(OR(F310="OWC",F310="GOC",F310="GWC"),"Candidate contact — validate with logs, pressure and dynamic evidence","Transition zone — do not force to a sharp contact")))</f>
        <v/>
      </c>
    </row>
    <row r="311">
      <c r="A311" s="19">
        <f>IF(AND(Master_Data!A311&lt;&gt;"",Master_Data!A311=Master_Data!A312),Master_Data!A311,"")</f>
        <v/>
      </c>
      <c r="B311" s="19">
        <f>IF($A311="","",Master_Data!B311)</f>
        <v/>
      </c>
      <c r="C311" s="19">
        <f>IF($A311="","",Master_Data!B312)</f>
        <v/>
      </c>
      <c r="D311" s="19">
        <f>IF($A311="","",Master_Data!Q311)</f>
        <v/>
      </c>
      <c r="E311" s="19">
        <f>IF($A311="","",Master_Data!Q312)</f>
        <v/>
      </c>
      <c r="F311" s="19">
        <f>IF($A311="","",IF(AND(D311="GAS",E311="OIL"),"GOC",IF(AND(D311="OIL",E311="WATER"),"OWC",IF(AND(D311="GAS",E311="WATER"),"GWC",IF(AND(D311="OIL",E311="OIL_WATER"),"OWC_TRANSITION",IF(AND(D311="OIL_WATER",E311="WATER"),"OWC_TRANSITION",IF(AND(D311="GAS",E311="GAS_WATER"),"GOC_TRANSITION",IF(AND(D311="GAS_WATER",E311="OIL"),"GOC_TRANSITION",IF(OR(D311="OIL_WATER",D311="GAS_WATER"),"TRANSITION_INTERVAL","")))))))))</f>
        <v/>
      </c>
      <c r="G311" s="20">
        <f>IF(OR(F311="",Master_Data!R311="",Master_Data!S311=""),"",IF(RIGHT(F311,10)="TRANSITION",AVERAGE(Master_Data!R311:Master_Data!S311),AVERAGE(Master_Data!S311,Master_Data!R312)))</f>
        <v/>
      </c>
      <c r="H311" s="20">
        <f>IF(G311="","",MAX(Settings!$B$4,Settings!$B$5*AVERAGE(IF(Master_Data!O311&lt;&gt;"",Master_Data!O311,Master_Data!H311),IF(Master_Data!O312&lt;&gt;"",Master_Data!O312,Master_Data!H312))))</f>
        <v/>
      </c>
      <c r="I311" s="20">
        <f>IF(G311="","",G311-H311)</f>
        <v/>
      </c>
      <c r="J311" s="20">
        <f>IF(G311="","",G311+H311)</f>
        <v/>
      </c>
      <c r="K311" s="20">
        <f>IF($A311="","",Master_Data!G311)</f>
        <v/>
      </c>
      <c r="L311" s="20">
        <f>IF($A311="","",Master_Data!G312)</f>
        <v/>
      </c>
      <c r="M311" s="20">
        <f>IF(AND(ISNUMBER(K311),ISNUMBER(L311)),L311-K311,"")</f>
        <v/>
      </c>
      <c r="N311" s="19">
        <f>IF(G311="","",IF(AND(ISNUMBER(K311),ISNUMBER(L311)),IF(OR(F311="GOC",F311="OWC",F311="GWC",F311="OWC_TRANSITION",F311="GOC_TRANSITION"),IF(L311&gt;=K311,"Supports","Conflicts"),"N/A"),"No Sw"))</f>
        <v/>
      </c>
      <c r="O311" s="20">
        <f>IF(G311="","",Settings!$B$6*IF(OR(F311="GOC",F311="OWC",F311="GWC"),1,0.7)+Settings!$B$7*IF(N311="Supports",1,IF(N311="Conflicts",0,0.5))+Settings!$B$8*IF(AND(Master_Data!R311&lt;&gt;"",Master_Data!S311&lt;&gt;"",Master_Data!R312&lt;&gt;"",Master_Data!S312&lt;&gt;""),1,0.5))</f>
        <v/>
      </c>
      <c r="P311" s="19">
        <f>IF(G311="","",IF(N311="Conflicts","SW_CONFLICT",IF(OR(F311="GOC",F311="OWC",F311="GWC"),"DIRECT_FLUID_TRANSITION","TRANSITION_INTERVAL")))</f>
        <v/>
      </c>
      <c r="Q311" s="19">
        <f>IF(G311="","",IF(N311="Conflicts","Investigate contact interpretation / saturation behaviour",IF(OR(F311="OWC",F311="GOC",F311="GWC"),"Candidate contact — validate with logs, pressure and dynamic evidence","Transition zone — do not force to a sharp contact")))</f>
        <v/>
      </c>
    </row>
    <row r="312">
      <c r="A312" s="19">
        <f>IF(AND(Master_Data!A312&lt;&gt;"",Master_Data!A312=Master_Data!A313),Master_Data!A312,"")</f>
        <v/>
      </c>
      <c r="B312" s="19">
        <f>IF($A312="","",Master_Data!B312)</f>
        <v/>
      </c>
      <c r="C312" s="19">
        <f>IF($A312="","",Master_Data!B313)</f>
        <v/>
      </c>
      <c r="D312" s="19">
        <f>IF($A312="","",Master_Data!Q312)</f>
        <v/>
      </c>
      <c r="E312" s="19">
        <f>IF($A312="","",Master_Data!Q313)</f>
        <v/>
      </c>
      <c r="F312" s="19">
        <f>IF($A312="","",IF(AND(D312="GAS",E312="OIL"),"GOC",IF(AND(D312="OIL",E312="WATER"),"OWC",IF(AND(D312="GAS",E312="WATER"),"GWC",IF(AND(D312="OIL",E312="OIL_WATER"),"OWC_TRANSITION",IF(AND(D312="OIL_WATER",E312="WATER"),"OWC_TRANSITION",IF(AND(D312="GAS",E312="GAS_WATER"),"GOC_TRANSITION",IF(AND(D312="GAS_WATER",E312="OIL"),"GOC_TRANSITION",IF(OR(D312="OIL_WATER",D312="GAS_WATER"),"TRANSITION_INTERVAL","")))))))))</f>
        <v/>
      </c>
      <c r="G312" s="20">
        <f>IF(OR(F312="",Master_Data!R312="",Master_Data!S312=""),"",IF(RIGHT(F312,10)="TRANSITION",AVERAGE(Master_Data!R312:Master_Data!S312),AVERAGE(Master_Data!S312,Master_Data!R313)))</f>
        <v/>
      </c>
      <c r="H312" s="20">
        <f>IF(G312="","",MAX(Settings!$B$4,Settings!$B$5*AVERAGE(IF(Master_Data!O312&lt;&gt;"",Master_Data!O312,Master_Data!H312),IF(Master_Data!O313&lt;&gt;"",Master_Data!O313,Master_Data!H313))))</f>
        <v/>
      </c>
      <c r="I312" s="20">
        <f>IF(G312="","",G312-H312)</f>
        <v/>
      </c>
      <c r="J312" s="20">
        <f>IF(G312="","",G312+H312)</f>
        <v/>
      </c>
      <c r="K312" s="20">
        <f>IF($A312="","",Master_Data!G312)</f>
        <v/>
      </c>
      <c r="L312" s="20">
        <f>IF($A312="","",Master_Data!G313)</f>
        <v/>
      </c>
      <c r="M312" s="20">
        <f>IF(AND(ISNUMBER(K312),ISNUMBER(L312)),L312-K312,"")</f>
        <v/>
      </c>
      <c r="N312" s="19">
        <f>IF(G312="","",IF(AND(ISNUMBER(K312),ISNUMBER(L312)),IF(OR(F312="GOC",F312="OWC",F312="GWC",F312="OWC_TRANSITION",F312="GOC_TRANSITION"),IF(L312&gt;=K312,"Supports","Conflicts"),"N/A"),"No Sw"))</f>
        <v/>
      </c>
      <c r="O312" s="20">
        <f>IF(G312="","",Settings!$B$6*IF(OR(F312="GOC",F312="OWC",F312="GWC"),1,0.7)+Settings!$B$7*IF(N312="Supports",1,IF(N312="Conflicts",0,0.5))+Settings!$B$8*IF(AND(Master_Data!R312&lt;&gt;"",Master_Data!S312&lt;&gt;"",Master_Data!R313&lt;&gt;"",Master_Data!S313&lt;&gt;""),1,0.5))</f>
        <v/>
      </c>
      <c r="P312" s="19">
        <f>IF(G312="","",IF(N312="Conflicts","SW_CONFLICT",IF(OR(F312="GOC",F312="OWC",F312="GWC"),"DIRECT_FLUID_TRANSITION","TRANSITION_INTERVAL")))</f>
        <v/>
      </c>
      <c r="Q312" s="19">
        <f>IF(G312="","",IF(N312="Conflicts","Investigate contact interpretation / saturation behaviour",IF(OR(F312="OWC",F312="GOC",F312="GWC"),"Candidate contact — validate with logs, pressure and dynamic evidence","Transition zone — do not force to a sharp contact")))</f>
        <v/>
      </c>
    </row>
    <row r="313">
      <c r="A313" s="19">
        <f>IF(AND(Master_Data!A313&lt;&gt;"",Master_Data!A313=Master_Data!A314),Master_Data!A313,"")</f>
        <v/>
      </c>
      <c r="B313" s="19">
        <f>IF($A313="","",Master_Data!B313)</f>
        <v/>
      </c>
      <c r="C313" s="19">
        <f>IF($A313="","",Master_Data!B314)</f>
        <v/>
      </c>
      <c r="D313" s="19">
        <f>IF($A313="","",Master_Data!Q313)</f>
        <v/>
      </c>
      <c r="E313" s="19">
        <f>IF($A313="","",Master_Data!Q314)</f>
        <v/>
      </c>
      <c r="F313" s="19">
        <f>IF($A313="","",IF(AND(D313="GAS",E313="OIL"),"GOC",IF(AND(D313="OIL",E313="WATER"),"OWC",IF(AND(D313="GAS",E313="WATER"),"GWC",IF(AND(D313="OIL",E313="OIL_WATER"),"OWC_TRANSITION",IF(AND(D313="OIL_WATER",E313="WATER"),"OWC_TRANSITION",IF(AND(D313="GAS",E313="GAS_WATER"),"GOC_TRANSITION",IF(AND(D313="GAS_WATER",E313="OIL"),"GOC_TRANSITION",IF(OR(D313="OIL_WATER",D313="GAS_WATER"),"TRANSITION_INTERVAL","")))))))))</f>
        <v/>
      </c>
      <c r="G313" s="20">
        <f>IF(OR(F313="",Master_Data!R313="",Master_Data!S313=""),"",IF(RIGHT(F313,10)="TRANSITION",AVERAGE(Master_Data!R313:Master_Data!S313),AVERAGE(Master_Data!S313,Master_Data!R314)))</f>
        <v/>
      </c>
      <c r="H313" s="20">
        <f>IF(G313="","",MAX(Settings!$B$4,Settings!$B$5*AVERAGE(IF(Master_Data!O313&lt;&gt;"",Master_Data!O313,Master_Data!H313),IF(Master_Data!O314&lt;&gt;"",Master_Data!O314,Master_Data!H314))))</f>
        <v/>
      </c>
      <c r="I313" s="20">
        <f>IF(G313="","",G313-H313)</f>
        <v/>
      </c>
      <c r="J313" s="20">
        <f>IF(G313="","",G313+H313)</f>
        <v/>
      </c>
      <c r="K313" s="20">
        <f>IF($A313="","",Master_Data!G313)</f>
        <v/>
      </c>
      <c r="L313" s="20">
        <f>IF($A313="","",Master_Data!G314)</f>
        <v/>
      </c>
      <c r="M313" s="20">
        <f>IF(AND(ISNUMBER(K313),ISNUMBER(L313)),L313-K313,"")</f>
        <v/>
      </c>
      <c r="N313" s="19">
        <f>IF(G313="","",IF(AND(ISNUMBER(K313),ISNUMBER(L313)),IF(OR(F313="GOC",F313="OWC",F313="GWC",F313="OWC_TRANSITION",F313="GOC_TRANSITION"),IF(L313&gt;=K313,"Supports","Conflicts"),"N/A"),"No Sw"))</f>
        <v/>
      </c>
      <c r="O313" s="20">
        <f>IF(G313="","",Settings!$B$6*IF(OR(F313="GOC",F313="OWC",F313="GWC"),1,0.7)+Settings!$B$7*IF(N313="Supports",1,IF(N313="Conflicts",0,0.5))+Settings!$B$8*IF(AND(Master_Data!R313&lt;&gt;"",Master_Data!S313&lt;&gt;"",Master_Data!R314&lt;&gt;"",Master_Data!S314&lt;&gt;""),1,0.5))</f>
        <v/>
      </c>
      <c r="P313" s="19">
        <f>IF(G313="","",IF(N313="Conflicts","SW_CONFLICT",IF(OR(F313="GOC",F313="OWC",F313="GWC"),"DIRECT_FLUID_TRANSITION","TRANSITION_INTERVAL")))</f>
        <v/>
      </c>
      <c r="Q313" s="19">
        <f>IF(G313="","",IF(N313="Conflicts","Investigate contact interpretation / saturation behaviour",IF(OR(F313="OWC",F313="GOC",F313="GWC"),"Candidate contact — validate with logs, pressure and dynamic evidence","Transition zone — do not force to a sharp contact")))</f>
        <v/>
      </c>
    </row>
    <row r="314">
      <c r="A314" s="19">
        <f>IF(AND(Master_Data!A314&lt;&gt;"",Master_Data!A314=Master_Data!A315),Master_Data!A314,"")</f>
        <v/>
      </c>
      <c r="B314" s="19">
        <f>IF($A314="","",Master_Data!B314)</f>
        <v/>
      </c>
      <c r="C314" s="19">
        <f>IF($A314="","",Master_Data!B315)</f>
        <v/>
      </c>
      <c r="D314" s="19">
        <f>IF($A314="","",Master_Data!Q314)</f>
        <v/>
      </c>
      <c r="E314" s="19">
        <f>IF($A314="","",Master_Data!Q315)</f>
        <v/>
      </c>
      <c r="F314" s="19">
        <f>IF($A314="","",IF(AND(D314="GAS",E314="OIL"),"GOC",IF(AND(D314="OIL",E314="WATER"),"OWC",IF(AND(D314="GAS",E314="WATER"),"GWC",IF(AND(D314="OIL",E314="OIL_WATER"),"OWC_TRANSITION",IF(AND(D314="OIL_WATER",E314="WATER"),"OWC_TRANSITION",IF(AND(D314="GAS",E314="GAS_WATER"),"GOC_TRANSITION",IF(AND(D314="GAS_WATER",E314="OIL"),"GOC_TRANSITION",IF(OR(D314="OIL_WATER",D314="GAS_WATER"),"TRANSITION_INTERVAL","")))))))))</f>
        <v/>
      </c>
      <c r="G314" s="20">
        <f>IF(OR(F314="",Master_Data!R314="",Master_Data!S314=""),"",IF(RIGHT(F314,10)="TRANSITION",AVERAGE(Master_Data!R314:Master_Data!S314),AVERAGE(Master_Data!S314,Master_Data!R315)))</f>
        <v/>
      </c>
      <c r="H314" s="20">
        <f>IF(G314="","",MAX(Settings!$B$4,Settings!$B$5*AVERAGE(IF(Master_Data!O314&lt;&gt;"",Master_Data!O314,Master_Data!H314),IF(Master_Data!O315&lt;&gt;"",Master_Data!O315,Master_Data!H315))))</f>
        <v/>
      </c>
      <c r="I314" s="20">
        <f>IF(G314="","",G314-H314)</f>
        <v/>
      </c>
      <c r="J314" s="20">
        <f>IF(G314="","",G314+H314)</f>
        <v/>
      </c>
      <c r="K314" s="20">
        <f>IF($A314="","",Master_Data!G314)</f>
        <v/>
      </c>
      <c r="L314" s="20">
        <f>IF($A314="","",Master_Data!G315)</f>
        <v/>
      </c>
      <c r="M314" s="20">
        <f>IF(AND(ISNUMBER(K314),ISNUMBER(L314)),L314-K314,"")</f>
        <v/>
      </c>
      <c r="N314" s="19">
        <f>IF(G314="","",IF(AND(ISNUMBER(K314),ISNUMBER(L314)),IF(OR(F314="GOC",F314="OWC",F314="GWC",F314="OWC_TRANSITION",F314="GOC_TRANSITION"),IF(L314&gt;=K314,"Supports","Conflicts"),"N/A"),"No Sw"))</f>
        <v/>
      </c>
      <c r="O314" s="20">
        <f>IF(G314="","",Settings!$B$6*IF(OR(F314="GOC",F314="OWC",F314="GWC"),1,0.7)+Settings!$B$7*IF(N314="Supports",1,IF(N314="Conflicts",0,0.5))+Settings!$B$8*IF(AND(Master_Data!R314&lt;&gt;"",Master_Data!S314&lt;&gt;"",Master_Data!R315&lt;&gt;"",Master_Data!S315&lt;&gt;""),1,0.5))</f>
        <v/>
      </c>
      <c r="P314" s="19">
        <f>IF(G314="","",IF(N314="Conflicts","SW_CONFLICT",IF(OR(F314="GOC",F314="OWC",F314="GWC"),"DIRECT_FLUID_TRANSITION","TRANSITION_INTERVAL")))</f>
        <v/>
      </c>
      <c r="Q314" s="19">
        <f>IF(G314="","",IF(N314="Conflicts","Investigate contact interpretation / saturation behaviour",IF(OR(F314="OWC",F314="GOC",F314="GWC"),"Candidate contact — validate with logs, pressure and dynamic evidence","Transition zone — do not force to a sharp contact")))</f>
        <v/>
      </c>
    </row>
    <row r="315">
      <c r="A315" s="19">
        <f>IF(AND(Master_Data!A315&lt;&gt;"",Master_Data!A315=Master_Data!A316),Master_Data!A315,"")</f>
        <v/>
      </c>
      <c r="B315" s="19">
        <f>IF($A315="","",Master_Data!B315)</f>
        <v/>
      </c>
      <c r="C315" s="19">
        <f>IF($A315="","",Master_Data!B316)</f>
        <v/>
      </c>
      <c r="D315" s="19">
        <f>IF($A315="","",Master_Data!Q315)</f>
        <v/>
      </c>
      <c r="E315" s="19">
        <f>IF($A315="","",Master_Data!Q316)</f>
        <v/>
      </c>
      <c r="F315" s="19">
        <f>IF($A315="","",IF(AND(D315="GAS",E315="OIL"),"GOC",IF(AND(D315="OIL",E315="WATER"),"OWC",IF(AND(D315="GAS",E315="WATER"),"GWC",IF(AND(D315="OIL",E315="OIL_WATER"),"OWC_TRANSITION",IF(AND(D315="OIL_WATER",E315="WATER"),"OWC_TRANSITION",IF(AND(D315="GAS",E315="GAS_WATER"),"GOC_TRANSITION",IF(AND(D315="GAS_WATER",E315="OIL"),"GOC_TRANSITION",IF(OR(D315="OIL_WATER",D315="GAS_WATER"),"TRANSITION_INTERVAL","")))))))))</f>
        <v/>
      </c>
      <c r="G315" s="20">
        <f>IF(OR(F315="",Master_Data!R315="",Master_Data!S315=""),"",IF(RIGHT(F315,10)="TRANSITION",AVERAGE(Master_Data!R315:Master_Data!S315),AVERAGE(Master_Data!S315,Master_Data!R316)))</f>
        <v/>
      </c>
      <c r="H315" s="20">
        <f>IF(G315="","",MAX(Settings!$B$4,Settings!$B$5*AVERAGE(IF(Master_Data!O315&lt;&gt;"",Master_Data!O315,Master_Data!H315),IF(Master_Data!O316&lt;&gt;"",Master_Data!O316,Master_Data!H316))))</f>
        <v/>
      </c>
      <c r="I315" s="20">
        <f>IF(G315="","",G315-H315)</f>
        <v/>
      </c>
      <c r="J315" s="20">
        <f>IF(G315="","",G315+H315)</f>
        <v/>
      </c>
      <c r="K315" s="20">
        <f>IF($A315="","",Master_Data!G315)</f>
        <v/>
      </c>
      <c r="L315" s="20">
        <f>IF($A315="","",Master_Data!G316)</f>
        <v/>
      </c>
      <c r="M315" s="20">
        <f>IF(AND(ISNUMBER(K315),ISNUMBER(L315)),L315-K315,"")</f>
        <v/>
      </c>
      <c r="N315" s="19">
        <f>IF(G315="","",IF(AND(ISNUMBER(K315),ISNUMBER(L315)),IF(OR(F315="GOC",F315="OWC",F315="GWC",F315="OWC_TRANSITION",F315="GOC_TRANSITION"),IF(L315&gt;=K315,"Supports","Conflicts"),"N/A"),"No Sw"))</f>
        <v/>
      </c>
      <c r="O315" s="20">
        <f>IF(G315="","",Settings!$B$6*IF(OR(F315="GOC",F315="OWC",F315="GWC"),1,0.7)+Settings!$B$7*IF(N315="Supports",1,IF(N315="Conflicts",0,0.5))+Settings!$B$8*IF(AND(Master_Data!R315&lt;&gt;"",Master_Data!S315&lt;&gt;"",Master_Data!R316&lt;&gt;"",Master_Data!S316&lt;&gt;""),1,0.5))</f>
        <v/>
      </c>
      <c r="P315" s="19">
        <f>IF(G315="","",IF(N315="Conflicts","SW_CONFLICT",IF(OR(F315="GOC",F315="OWC",F315="GWC"),"DIRECT_FLUID_TRANSITION","TRANSITION_INTERVAL")))</f>
        <v/>
      </c>
      <c r="Q315" s="19">
        <f>IF(G315="","",IF(N315="Conflicts","Investigate contact interpretation / saturation behaviour",IF(OR(F315="OWC",F315="GOC",F315="GWC"),"Candidate contact — validate with logs, pressure and dynamic evidence","Transition zone — do not force to a sharp contact")))</f>
        <v/>
      </c>
    </row>
    <row r="316">
      <c r="A316" s="19">
        <f>IF(AND(Master_Data!A316&lt;&gt;"",Master_Data!A316=Master_Data!A317),Master_Data!A316,"")</f>
        <v/>
      </c>
      <c r="B316" s="19">
        <f>IF($A316="","",Master_Data!B316)</f>
        <v/>
      </c>
      <c r="C316" s="19">
        <f>IF($A316="","",Master_Data!B317)</f>
        <v/>
      </c>
      <c r="D316" s="19">
        <f>IF($A316="","",Master_Data!Q316)</f>
        <v/>
      </c>
      <c r="E316" s="19">
        <f>IF($A316="","",Master_Data!Q317)</f>
        <v/>
      </c>
      <c r="F316" s="19">
        <f>IF($A316="","",IF(AND(D316="GAS",E316="OIL"),"GOC",IF(AND(D316="OIL",E316="WATER"),"OWC",IF(AND(D316="GAS",E316="WATER"),"GWC",IF(AND(D316="OIL",E316="OIL_WATER"),"OWC_TRANSITION",IF(AND(D316="OIL_WATER",E316="WATER"),"OWC_TRANSITION",IF(AND(D316="GAS",E316="GAS_WATER"),"GOC_TRANSITION",IF(AND(D316="GAS_WATER",E316="OIL"),"GOC_TRANSITION",IF(OR(D316="OIL_WATER",D316="GAS_WATER"),"TRANSITION_INTERVAL","")))))))))</f>
        <v/>
      </c>
      <c r="G316" s="20">
        <f>IF(OR(F316="",Master_Data!R316="",Master_Data!S316=""),"",IF(RIGHT(F316,10)="TRANSITION",AVERAGE(Master_Data!R316:Master_Data!S316),AVERAGE(Master_Data!S316,Master_Data!R317)))</f>
        <v/>
      </c>
      <c r="H316" s="20">
        <f>IF(G316="","",MAX(Settings!$B$4,Settings!$B$5*AVERAGE(IF(Master_Data!O316&lt;&gt;"",Master_Data!O316,Master_Data!H316),IF(Master_Data!O317&lt;&gt;"",Master_Data!O317,Master_Data!H317))))</f>
        <v/>
      </c>
      <c r="I316" s="20">
        <f>IF(G316="","",G316-H316)</f>
        <v/>
      </c>
      <c r="J316" s="20">
        <f>IF(G316="","",G316+H316)</f>
        <v/>
      </c>
      <c r="K316" s="20">
        <f>IF($A316="","",Master_Data!G316)</f>
        <v/>
      </c>
      <c r="L316" s="20">
        <f>IF($A316="","",Master_Data!G317)</f>
        <v/>
      </c>
      <c r="M316" s="20">
        <f>IF(AND(ISNUMBER(K316),ISNUMBER(L316)),L316-K316,"")</f>
        <v/>
      </c>
      <c r="N316" s="19">
        <f>IF(G316="","",IF(AND(ISNUMBER(K316),ISNUMBER(L316)),IF(OR(F316="GOC",F316="OWC",F316="GWC",F316="OWC_TRANSITION",F316="GOC_TRANSITION"),IF(L316&gt;=K316,"Supports","Conflicts"),"N/A"),"No Sw"))</f>
        <v/>
      </c>
      <c r="O316" s="20">
        <f>IF(G316="","",Settings!$B$6*IF(OR(F316="GOC",F316="OWC",F316="GWC"),1,0.7)+Settings!$B$7*IF(N316="Supports",1,IF(N316="Conflicts",0,0.5))+Settings!$B$8*IF(AND(Master_Data!R316&lt;&gt;"",Master_Data!S316&lt;&gt;"",Master_Data!R317&lt;&gt;"",Master_Data!S317&lt;&gt;""),1,0.5))</f>
        <v/>
      </c>
      <c r="P316" s="19">
        <f>IF(G316="","",IF(N316="Conflicts","SW_CONFLICT",IF(OR(F316="GOC",F316="OWC",F316="GWC"),"DIRECT_FLUID_TRANSITION","TRANSITION_INTERVAL")))</f>
        <v/>
      </c>
      <c r="Q316" s="19">
        <f>IF(G316="","",IF(N316="Conflicts","Investigate contact interpretation / saturation behaviour",IF(OR(F316="OWC",F316="GOC",F316="GWC"),"Candidate contact — validate with logs, pressure and dynamic evidence","Transition zone — do not force to a sharp contact")))</f>
        <v/>
      </c>
    </row>
    <row r="317">
      <c r="A317" s="19">
        <f>IF(AND(Master_Data!A317&lt;&gt;"",Master_Data!A317=Master_Data!A318),Master_Data!A317,"")</f>
        <v/>
      </c>
      <c r="B317" s="19">
        <f>IF($A317="","",Master_Data!B317)</f>
        <v/>
      </c>
      <c r="C317" s="19">
        <f>IF($A317="","",Master_Data!B318)</f>
        <v/>
      </c>
      <c r="D317" s="19">
        <f>IF($A317="","",Master_Data!Q317)</f>
        <v/>
      </c>
      <c r="E317" s="19">
        <f>IF($A317="","",Master_Data!Q318)</f>
        <v/>
      </c>
      <c r="F317" s="19">
        <f>IF($A317="","",IF(AND(D317="GAS",E317="OIL"),"GOC",IF(AND(D317="OIL",E317="WATER"),"OWC",IF(AND(D317="GAS",E317="WATER"),"GWC",IF(AND(D317="OIL",E317="OIL_WATER"),"OWC_TRANSITION",IF(AND(D317="OIL_WATER",E317="WATER"),"OWC_TRANSITION",IF(AND(D317="GAS",E317="GAS_WATER"),"GOC_TRANSITION",IF(AND(D317="GAS_WATER",E317="OIL"),"GOC_TRANSITION",IF(OR(D317="OIL_WATER",D317="GAS_WATER"),"TRANSITION_INTERVAL","")))))))))</f>
        <v/>
      </c>
      <c r="G317" s="20">
        <f>IF(OR(F317="",Master_Data!R317="",Master_Data!S317=""),"",IF(RIGHT(F317,10)="TRANSITION",AVERAGE(Master_Data!R317:Master_Data!S317),AVERAGE(Master_Data!S317,Master_Data!R318)))</f>
        <v/>
      </c>
      <c r="H317" s="20">
        <f>IF(G317="","",MAX(Settings!$B$4,Settings!$B$5*AVERAGE(IF(Master_Data!O317&lt;&gt;"",Master_Data!O317,Master_Data!H317),IF(Master_Data!O318&lt;&gt;"",Master_Data!O318,Master_Data!H318))))</f>
        <v/>
      </c>
      <c r="I317" s="20">
        <f>IF(G317="","",G317-H317)</f>
        <v/>
      </c>
      <c r="J317" s="20">
        <f>IF(G317="","",G317+H317)</f>
        <v/>
      </c>
      <c r="K317" s="20">
        <f>IF($A317="","",Master_Data!G317)</f>
        <v/>
      </c>
      <c r="L317" s="20">
        <f>IF($A317="","",Master_Data!G318)</f>
        <v/>
      </c>
      <c r="M317" s="20">
        <f>IF(AND(ISNUMBER(K317),ISNUMBER(L317)),L317-K317,"")</f>
        <v/>
      </c>
      <c r="N317" s="19">
        <f>IF(G317="","",IF(AND(ISNUMBER(K317),ISNUMBER(L317)),IF(OR(F317="GOC",F317="OWC",F317="GWC",F317="OWC_TRANSITION",F317="GOC_TRANSITION"),IF(L317&gt;=K317,"Supports","Conflicts"),"N/A"),"No Sw"))</f>
        <v/>
      </c>
      <c r="O317" s="20">
        <f>IF(G317="","",Settings!$B$6*IF(OR(F317="GOC",F317="OWC",F317="GWC"),1,0.7)+Settings!$B$7*IF(N317="Supports",1,IF(N317="Conflicts",0,0.5))+Settings!$B$8*IF(AND(Master_Data!R317&lt;&gt;"",Master_Data!S317&lt;&gt;"",Master_Data!R318&lt;&gt;"",Master_Data!S318&lt;&gt;""),1,0.5))</f>
        <v/>
      </c>
      <c r="P317" s="19">
        <f>IF(G317="","",IF(N317="Conflicts","SW_CONFLICT",IF(OR(F317="GOC",F317="OWC",F317="GWC"),"DIRECT_FLUID_TRANSITION","TRANSITION_INTERVAL")))</f>
        <v/>
      </c>
      <c r="Q317" s="19">
        <f>IF(G317="","",IF(N317="Conflicts","Investigate contact interpretation / saturation behaviour",IF(OR(F317="OWC",F317="GOC",F317="GWC"),"Candidate contact — validate with logs, pressure and dynamic evidence","Transition zone — do not force to a sharp contact")))</f>
        <v/>
      </c>
    </row>
    <row r="318">
      <c r="A318" s="19">
        <f>IF(AND(Master_Data!A318&lt;&gt;"",Master_Data!A318=Master_Data!A319),Master_Data!A318,"")</f>
        <v/>
      </c>
      <c r="B318" s="19">
        <f>IF($A318="","",Master_Data!B318)</f>
        <v/>
      </c>
      <c r="C318" s="19">
        <f>IF($A318="","",Master_Data!B319)</f>
        <v/>
      </c>
      <c r="D318" s="19">
        <f>IF($A318="","",Master_Data!Q318)</f>
        <v/>
      </c>
      <c r="E318" s="19">
        <f>IF($A318="","",Master_Data!Q319)</f>
        <v/>
      </c>
      <c r="F318" s="19">
        <f>IF($A318="","",IF(AND(D318="GAS",E318="OIL"),"GOC",IF(AND(D318="OIL",E318="WATER"),"OWC",IF(AND(D318="GAS",E318="WATER"),"GWC",IF(AND(D318="OIL",E318="OIL_WATER"),"OWC_TRANSITION",IF(AND(D318="OIL_WATER",E318="WATER"),"OWC_TRANSITION",IF(AND(D318="GAS",E318="GAS_WATER"),"GOC_TRANSITION",IF(AND(D318="GAS_WATER",E318="OIL"),"GOC_TRANSITION",IF(OR(D318="OIL_WATER",D318="GAS_WATER"),"TRANSITION_INTERVAL","")))))))))</f>
        <v/>
      </c>
      <c r="G318" s="20">
        <f>IF(OR(F318="",Master_Data!R318="",Master_Data!S318=""),"",IF(RIGHT(F318,10)="TRANSITION",AVERAGE(Master_Data!R318:Master_Data!S318),AVERAGE(Master_Data!S318,Master_Data!R319)))</f>
        <v/>
      </c>
      <c r="H318" s="20">
        <f>IF(G318="","",MAX(Settings!$B$4,Settings!$B$5*AVERAGE(IF(Master_Data!O318&lt;&gt;"",Master_Data!O318,Master_Data!H318),IF(Master_Data!O319&lt;&gt;"",Master_Data!O319,Master_Data!H319))))</f>
        <v/>
      </c>
      <c r="I318" s="20">
        <f>IF(G318="","",G318-H318)</f>
        <v/>
      </c>
      <c r="J318" s="20">
        <f>IF(G318="","",G318+H318)</f>
        <v/>
      </c>
      <c r="K318" s="20">
        <f>IF($A318="","",Master_Data!G318)</f>
        <v/>
      </c>
      <c r="L318" s="20">
        <f>IF($A318="","",Master_Data!G319)</f>
        <v/>
      </c>
      <c r="M318" s="20">
        <f>IF(AND(ISNUMBER(K318),ISNUMBER(L318)),L318-K318,"")</f>
        <v/>
      </c>
      <c r="N318" s="19">
        <f>IF(G318="","",IF(AND(ISNUMBER(K318),ISNUMBER(L318)),IF(OR(F318="GOC",F318="OWC",F318="GWC",F318="OWC_TRANSITION",F318="GOC_TRANSITION"),IF(L318&gt;=K318,"Supports","Conflicts"),"N/A"),"No Sw"))</f>
        <v/>
      </c>
      <c r="O318" s="20">
        <f>IF(G318="","",Settings!$B$6*IF(OR(F318="GOC",F318="OWC",F318="GWC"),1,0.7)+Settings!$B$7*IF(N318="Supports",1,IF(N318="Conflicts",0,0.5))+Settings!$B$8*IF(AND(Master_Data!R318&lt;&gt;"",Master_Data!S318&lt;&gt;"",Master_Data!R319&lt;&gt;"",Master_Data!S319&lt;&gt;""),1,0.5))</f>
        <v/>
      </c>
      <c r="P318" s="19">
        <f>IF(G318="","",IF(N318="Conflicts","SW_CONFLICT",IF(OR(F318="GOC",F318="OWC",F318="GWC"),"DIRECT_FLUID_TRANSITION","TRANSITION_INTERVAL")))</f>
        <v/>
      </c>
      <c r="Q318" s="19">
        <f>IF(G318="","",IF(N318="Conflicts","Investigate contact interpretation / saturation behaviour",IF(OR(F318="OWC",F318="GOC",F318="GWC"),"Candidate contact — validate with logs, pressure and dynamic evidence","Transition zone — do not force to a sharp contact")))</f>
        <v/>
      </c>
    </row>
    <row r="319">
      <c r="A319" s="19">
        <f>IF(AND(Master_Data!A319&lt;&gt;"",Master_Data!A319=Master_Data!A320),Master_Data!A319,"")</f>
        <v/>
      </c>
      <c r="B319" s="19">
        <f>IF($A319="","",Master_Data!B319)</f>
        <v/>
      </c>
      <c r="C319" s="19">
        <f>IF($A319="","",Master_Data!B320)</f>
        <v/>
      </c>
      <c r="D319" s="19">
        <f>IF($A319="","",Master_Data!Q319)</f>
        <v/>
      </c>
      <c r="E319" s="19">
        <f>IF($A319="","",Master_Data!Q320)</f>
        <v/>
      </c>
      <c r="F319" s="19">
        <f>IF($A319="","",IF(AND(D319="GAS",E319="OIL"),"GOC",IF(AND(D319="OIL",E319="WATER"),"OWC",IF(AND(D319="GAS",E319="WATER"),"GWC",IF(AND(D319="OIL",E319="OIL_WATER"),"OWC_TRANSITION",IF(AND(D319="OIL_WATER",E319="WATER"),"OWC_TRANSITION",IF(AND(D319="GAS",E319="GAS_WATER"),"GOC_TRANSITION",IF(AND(D319="GAS_WATER",E319="OIL"),"GOC_TRANSITION",IF(OR(D319="OIL_WATER",D319="GAS_WATER"),"TRANSITION_INTERVAL","")))))))))</f>
        <v/>
      </c>
      <c r="G319" s="20">
        <f>IF(OR(F319="",Master_Data!R319="",Master_Data!S319=""),"",IF(RIGHT(F319,10)="TRANSITION",AVERAGE(Master_Data!R319:Master_Data!S319),AVERAGE(Master_Data!S319,Master_Data!R320)))</f>
        <v/>
      </c>
      <c r="H319" s="20">
        <f>IF(G319="","",MAX(Settings!$B$4,Settings!$B$5*AVERAGE(IF(Master_Data!O319&lt;&gt;"",Master_Data!O319,Master_Data!H319),IF(Master_Data!O320&lt;&gt;"",Master_Data!O320,Master_Data!H320))))</f>
        <v/>
      </c>
      <c r="I319" s="20">
        <f>IF(G319="","",G319-H319)</f>
        <v/>
      </c>
      <c r="J319" s="20">
        <f>IF(G319="","",G319+H319)</f>
        <v/>
      </c>
      <c r="K319" s="20">
        <f>IF($A319="","",Master_Data!G319)</f>
        <v/>
      </c>
      <c r="L319" s="20">
        <f>IF($A319="","",Master_Data!G320)</f>
        <v/>
      </c>
      <c r="M319" s="20">
        <f>IF(AND(ISNUMBER(K319),ISNUMBER(L319)),L319-K319,"")</f>
        <v/>
      </c>
      <c r="N319" s="19">
        <f>IF(G319="","",IF(AND(ISNUMBER(K319),ISNUMBER(L319)),IF(OR(F319="GOC",F319="OWC",F319="GWC",F319="OWC_TRANSITION",F319="GOC_TRANSITION"),IF(L319&gt;=K319,"Supports","Conflicts"),"N/A"),"No Sw"))</f>
        <v/>
      </c>
      <c r="O319" s="20">
        <f>IF(G319="","",Settings!$B$6*IF(OR(F319="GOC",F319="OWC",F319="GWC"),1,0.7)+Settings!$B$7*IF(N319="Supports",1,IF(N319="Conflicts",0,0.5))+Settings!$B$8*IF(AND(Master_Data!R319&lt;&gt;"",Master_Data!S319&lt;&gt;"",Master_Data!R320&lt;&gt;"",Master_Data!S320&lt;&gt;""),1,0.5))</f>
        <v/>
      </c>
      <c r="P319" s="19">
        <f>IF(G319="","",IF(N319="Conflicts","SW_CONFLICT",IF(OR(F319="GOC",F319="OWC",F319="GWC"),"DIRECT_FLUID_TRANSITION","TRANSITION_INTERVAL")))</f>
        <v/>
      </c>
      <c r="Q319" s="19">
        <f>IF(G319="","",IF(N319="Conflicts","Investigate contact interpretation / saturation behaviour",IF(OR(F319="OWC",F319="GOC",F319="GWC"),"Candidate contact — validate with logs, pressure and dynamic evidence","Transition zone — do not force to a sharp contact")))</f>
        <v/>
      </c>
    </row>
    <row r="320">
      <c r="A320" s="19">
        <f>IF(AND(Master_Data!A320&lt;&gt;"",Master_Data!A320=Master_Data!A321),Master_Data!A320,"")</f>
        <v/>
      </c>
      <c r="B320" s="19">
        <f>IF($A320="","",Master_Data!B320)</f>
        <v/>
      </c>
      <c r="C320" s="19">
        <f>IF($A320="","",Master_Data!B321)</f>
        <v/>
      </c>
      <c r="D320" s="19">
        <f>IF($A320="","",Master_Data!Q320)</f>
        <v/>
      </c>
      <c r="E320" s="19">
        <f>IF($A320="","",Master_Data!Q321)</f>
        <v/>
      </c>
      <c r="F320" s="19">
        <f>IF($A320="","",IF(AND(D320="GAS",E320="OIL"),"GOC",IF(AND(D320="OIL",E320="WATER"),"OWC",IF(AND(D320="GAS",E320="WATER"),"GWC",IF(AND(D320="OIL",E320="OIL_WATER"),"OWC_TRANSITION",IF(AND(D320="OIL_WATER",E320="WATER"),"OWC_TRANSITION",IF(AND(D320="GAS",E320="GAS_WATER"),"GOC_TRANSITION",IF(AND(D320="GAS_WATER",E320="OIL"),"GOC_TRANSITION",IF(OR(D320="OIL_WATER",D320="GAS_WATER"),"TRANSITION_INTERVAL","")))))))))</f>
        <v/>
      </c>
      <c r="G320" s="20">
        <f>IF(OR(F320="",Master_Data!R320="",Master_Data!S320=""),"",IF(RIGHT(F320,10)="TRANSITION",AVERAGE(Master_Data!R320:Master_Data!S320),AVERAGE(Master_Data!S320,Master_Data!R321)))</f>
        <v/>
      </c>
      <c r="H320" s="20">
        <f>IF(G320="","",MAX(Settings!$B$4,Settings!$B$5*AVERAGE(IF(Master_Data!O320&lt;&gt;"",Master_Data!O320,Master_Data!H320),IF(Master_Data!O321&lt;&gt;"",Master_Data!O321,Master_Data!H321))))</f>
        <v/>
      </c>
      <c r="I320" s="20">
        <f>IF(G320="","",G320-H320)</f>
        <v/>
      </c>
      <c r="J320" s="20">
        <f>IF(G320="","",G320+H320)</f>
        <v/>
      </c>
      <c r="K320" s="20">
        <f>IF($A320="","",Master_Data!G320)</f>
        <v/>
      </c>
      <c r="L320" s="20">
        <f>IF($A320="","",Master_Data!G321)</f>
        <v/>
      </c>
      <c r="M320" s="20">
        <f>IF(AND(ISNUMBER(K320),ISNUMBER(L320)),L320-K320,"")</f>
        <v/>
      </c>
      <c r="N320" s="19">
        <f>IF(G320="","",IF(AND(ISNUMBER(K320),ISNUMBER(L320)),IF(OR(F320="GOC",F320="OWC",F320="GWC",F320="OWC_TRANSITION",F320="GOC_TRANSITION"),IF(L320&gt;=K320,"Supports","Conflicts"),"N/A"),"No Sw"))</f>
        <v/>
      </c>
      <c r="O320" s="20">
        <f>IF(G320="","",Settings!$B$6*IF(OR(F320="GOC",F320="OWC",F320="GWC"),1,0.7)+Settings!$B$7*IF(N320="Supports",1,IF(N320="Conflicts",0,0.5))+Settings!$B$8*IF(AND(Master_Data!R320&lt;&gt;"",Master_Data!S320&lt;&gt;"",Master_Data!R321&lt;&gt;"",Master_Data!S321&lt;&gt;""),1,0.5))</f>
        <v/>
      </c>
      <c r="P320" s="19">
        <f>IF(G320="","",IF(N320="Conflicts","SW_CONFLICT",IF(OR(F320="GOC",F320="OWC",F320="GWC"),"DIRECT_FLUID_TRANSITION","TRANSITION_INTERVAL")))</f>
        <v/>
      </c>
      <c r="Q320" s="19">
        <f>IF(G320="","",IF(N320="Conflicts","Investigate contact interpretation / saturation behaviour",IF(OR(F320="OWC",F320="GOC",F320="GWC"),"Candidate contact — validate with logs, pressure and dynamic evidence","Transition zone — do not force to a sharp contact")))</f>
        <v/>
      </c>
    </row>
    <row r="321">
      <c r="A321" s="19">
        <f>IF(AND(Master_Data!A321&lt;&gt;"",Master_Data!A321=Master_Data!A322),Master_Data!A321,"")</f>
        <v/>
      </c>
      <c r="B321" s="19">
        <f>IF($A321="","",Master_Data!B321)</f>
        <v/>
      </c>
      <c r="C321" s="19">
        <f>IF($A321="","",Master_Data!B322)</f>
        <v/>
      </c>
      <c r="D321" s="19">
        <f>IF($A321="","",Master_Data!Q321)</f>
        <v/>
      </c>
      <c r="E321" s="19">
        <f>IF($A321="","",Master_Data!Q322)</f>
        <v/>
      </c>
      <c r="F321" s="19">
        <f>IF($A321="","",IF(AND(D321="GAS",E321="OIL"),"GOC",IF(AND(D321="OIL",E321="WATER"),"OWC",IF(AND(D321="GAS",E321="WATER"),"GWC",IF(AND(D321="OIL",E321="OIL_WATER"),"OWC_TRANSITION",IF(AND(D321="OIL_WATER",E321="WATER"),"OWC_TRANSITION",IF(AND(D321="GAS",E321="GAS_WATER"),"GOC_TRANSITION",IF(AND(D321="GAS_WATER",E321="OIL"),"GOC_TRANSITION",IF(OR(D321="OIL_WATER",D321="GAS_WATER"),"TRANSITION_INTERVAL","")))))))))</f>
        <v/>
      </c>
      <c r="G321" s="20">
        <f>IF(OR(F321="",Master_Data!R321="",Master_Data!S321=""),"",IF(RIGHT(F321,10)="TRANSITION",AVERAGE(Master_Data!R321:Master_Data!S321),AVERAGE(Master_Data!S321,Master_Data!R322)))</f>
        <v/>
      </c>
      <c r="H321" s="20">
        <f>IF(G321="","",MAX(Settings!$B$4,Settings!$B$5*AVERAGE(IF(Master_Data!O321&lt;&gt;"",Master_Data!O321,Master_Data!H321),IF(Master_Data!O322&lt;&gt;"",Master_Data!O322,Master_Data!H322))))</f>
        <v/>
      </c>
      <c r="I321" s="20">
        <f>IF(G321="","",G321-H321)</f>
        <v/>
      </c>
      <c r="J321" s="20">
        <f>IF(G321="","",G321+H321)</f>
        <v/>
      </c>
      <c r="K321" s="20">
        <f>IF($A321="","",Master_Data!G321)</f>
        <v/>
      </c>
      <c r="L321" s="20">
        <f>IF($A321="","",Master_Data!G322)</f>
        <v/>
      </c>
      <c r="M321" s="20">
        <f>IF(AND(ISNUMBER(K321),ISNUMBER(L321)),L321-K321,"")</f>
        <v/>
      </c>
      <c r="N321" s="19">
        <f>IF(G321="","",IF(AND(ISNUMBER(K321),ISNUMBER(L321)),IF(OR(F321="GOC",F321="OWC",F321="GWC",F321="OWC_TRANSITION",F321="GOC_TRANSITION"),IF(L321&gt;=K321,"Supports","Conflicts"),"N/A"),"No Sw"))</f>
        <v/>
      </c>
      <c r="O321" s="20">
        <f>IF(G321="","",Settings!$B$6*IF(OR(F321="GOC",F321="OWC",F321="GWC"),1,0.7)+Settings!$B$7*IF(N321="Supports",1,IF(N321="Conflicts",0,0.5))+Settings!$B$8*IF(AND(Master_Data!R321&lt;&gt;"",Master_Data!S321&lt;&gt;"",Master_Data!R322&lt;&gt;"",Master_Data!S322&lt;&gt;""),1,0.5))</f>
        <v/>
      </c>
      <c r="P321" s="19">
        <f>IF(G321="","",IF(N321="Conflicts","SW_CONFLICT",IF(OR(F321="GOC",F321="OWC",F321="GWC"),"DIRECT_FLUID_TRANSITION","TRANSITION_INTERVAL")))</f>
        <v/>
      </c>
      <c r="Q321" s="19">
        <f>IF(G321="","",IF(N321="Conflicts","Investigate contact interpretation / saturation behaviour",IF(OR(F321="OWC",F321="GOC",F321="GWC"),"Candidate contact — validate with logs, pressure and dynamic evidence","Transition zone — do not force to a sharp contact")))</f>
        <v/>
      </c>
    </row>
    <row r="322">
      <c r="A322" s="19">
        <f>IF(AND(Master_Data!A322&lt;&gt;"",Master_Data!A322=Master_Data!A323),Master_Data!A322,"")</f>
        <v/>
      </c>
      <c r="B322" s="19">
        <f>IF($A322="","",Master_Data!B322)</f>
        <v/>
      </c>
      <c r="C322" s="19">
        <f>IF($A322="","",Master_Data!B323)</f>
        <v/>
      </c>
      <c r="D322" s="19">
        <f>IF($A322="","",Master_Data!Q322)</f>
        <v/>
      </c>
      <c r="E322" s="19">
        <f>IF($A322="","",Master_Data!Q323)</f>
        <v/>
      </c>
      <c r="F322" s="19">
        <f>IF($A322="","",IF(AND(D322="GAS",E322="OIL"),"GOC",IF(AND(D322="OIL",E322="WATER"),"OWC",IF(AND(D322="GAS",E322="WATER"),"GWC",IF(AND(D322="OIL",E322="OIL_WATER"),"OWC_TRANSITION",IF(AND(D322="OIL_WATER",E322="WATER"),"OWC_TRANSITION",IF(AND(D322="GAS",E322="GAS_WATER"),"GOC_TRANSITION",IF(AND(D322="GAS_WATER",E322="OIL"),"GOC_TRANSITION",IF(OR(D322="OIL_WATER",D322="GAS_WATER"),"TRANSITION_INTERVAL","")))))))))</f>
        <v/>
      </c>
      <c r="G322" s="20">
        <f>IF(OR(F322="",Master_Data!R322="",Master_Data!S322=""),"",IF(RIGHT(F322,10)="TRANSITION",AVERAGE(Master_Data!R322:Master_Data!S322),AVERAGE(Master_Data!S322,Master_Data!R323)))</f>
        <v/>
      </c>
      <c r="H322" s="20">
        <f>IF(G322="","",MAX(Settings!$B$4,Settings!$B$5*AVERAGE(IF(Master_Data!O322&lt;&gt;"",Master_Data!O322,Master_Data!H322),IF(Master_Data!O323&lt;&gt;"",Master_Data!O323,Master_Data!H323))))</f>
        <v/>
      </c>
      <c r="I322" s="20">
        <f>IF(G322="","",G322-H322)</f>
        <v/>
      </c>
      <c r="J322" s="20">
        <f>IF(G322="","",G322+H322)</f>
        <v/>
      </c>
      <c r="K322" s="20">
        <f>IF($A322="","",Master_Data!G322)</f>
        <v/>
      </c>
      <c r="L322" s="20">
        <f>IF($A322="","",Master_Data!G323)</f>
        <v/>
      </c>
      <c r="M322" s="20">
        <f>IF(AND(ISNUMBER(K322),ISNUMBER(L322)),L322-K322,"")</f>
        <v/>
      </c>
      <c r="N322" s="19">
        <f>IF(G322="","",IF(AND(ISNUMBER(K322),ISNUMBER(L322)),IF(OR(F322="GOC",F322="OWC",F322="GWC",F322="OWC_TRANSITION",F322="GOC_TRANSITION"),IF(L322&gt;=K322,"Supports","Conflicts"),"N/A"),"No Sw"))</f>
        <v/>
      </c>
      <c r="O322" s="20">
        <f>IF(G322="","",Settings!$B$6*IF(OR(F322="GOC",F322="OWC",F322="GWC"),1,0.7)+Settings!$B$7*IF(N322="Supports",1,IF(N322="Conflicts",0,0.5))+Settings!$B$8*IF(AND(Master_Data!R322&lt;&gt;"",Master_Data!S322&lt;&gt;"",Master_Data!R323&lt;&gt;"",Master_Data!S323&lt;&gt;""),1,0.5))</f>
        <v/>
      </c>
      <c r="P322" s="19">
        <f>IF(G322="","",IF(N322="Conflicts","SW_CONFLICT",IF(OR(F322="GOC",F322="OWC",F322="GWC"),"DIRECT_FLUID_TRANSITION","TRANSITION_INTERVAL")))</f>
        <v/>
      </c>
      <c r="Q322" s="19">
        <f>IF(G322="","",IF(N322="Conflicts","Investigate contact interpretation / saturation behaviour",IF(OR(F322="OWC",F322="GOC",F322="GWC"),"Candidate contact — validate with logs, pressure and dynamic evidence","Transition zone — do not force to a sharp contact")))</f>
        <v/>
      </c>
    </row>
    <row r="323">
      <c r="A323" s="19">
        <f>IF(AND(Master_Data!A323&lt;&gt;"",Master_Data!A323=Master_Data!A324),Master_Data!A323,"")</f>
        <v/>
      </c>
      <c r="B323" s="19">
        <f>IF($A323="","",Master_Data!B323)</f>
        <v/>
      </c>
      <c r="C323" s="19">
        <f>IF($A323="","",Master_Data!B324)</f>
        <v/>
      </c>
      <c r="D323" s="19">
        <f>IF($A323="","",Master_Data!Q323)</f>
        <v/>
      </c>
      <c r="E323" s="19">
        <f>IF($A323="","",Master_Data!Q324)</f>
        <v/>
      </c>
      <c r="F323" s="19">
        <f>IF($A323="","",IF(AND(D323="GAS",E323="OIL"),"GOC",IF(AND(D323="OIL",E323="WATER"),"OWC",IF(AND(D323="GAS",E323="WATER"),"GWC",IF(AND(D323="OIL",E323="OIL_WATER"),"OWC_TRANSITION",IF(AND(D323="OIL_WATER",E323="WATER"),"OWC_TRANSITION",IF(AND(D323="GAS",E323="GAS_WATER"),"GOC_TRANSITION",IF(AND(D323="GAS_WATER",E323="OIL"),"GOC_TRANSITION",IF(OR(D323="OIL_WATER",D323="GAS_WATER"),"TRANSITION_INTERVAL","")))))))))</f>
        <v/>
      </c>
      <c r="G323" s="20">
        <f>IF(OR(F323="",Master_Data!R323="",Master_Data!S323=""),"",IF(RIGHT(F323,10)="TRANSITION",AVERAGE(Master_Data!R323:Master_Data!S323),AVERAGE(Master_Data!S323,Master_Data!R324)))</f>
        <v/>
      </c>
      <c r="H323" s="20">
        <f>IF(G323="","",MAX(Settings!$B$4,Settings!$B$5*AVERAGE(IF(Master_Data!O323&lt;&gt;"",Master_Data!O323,Master_Data!H323),IF(Master_Data!O324&lt;&gt;"",Master_Data!O324,Master_Data!H324))))</f>
        <v/>
      </c>
      <c r="I323" s="20">
        <f>IF(G323="","",G323-H323)</f>
        <v/>
      </c>
      <c r="J323" s="20">
        <f>IF(G323="","",G323+H323)</f>
        <v/>
      </c>
      <c r="K323" s="20">
        <f>IF($A323="","",Master_Data!G323)</f>
        <v/>
      </c>
      <c r="L323" s="20">
        <f>IF($A323="","",Master_Data!G324)</f>
        <v/>
      </c>
      <c r="M323" s="20">
        <f>IF(AND(ISNUMBER(K323),ISNUMBER(L323)),L323-K323,"")</f>
        <v/>
      </c>
      <c r="N323" s="19">
        <f>IF(G323="","",IF(AND(ISNUMBER(K323),ISNUMBER(L323)),IF(OR(F323="GOC",F323="OWC",F323="GWC",F323="OWC_TRANSITION",F323="GOC_TRANSITION"),IF(L323&gt;=K323,"Supports","Conflicts"),"N/A"),"No Sw"))</f>
        <v/>
      </c>
      <c r="O323" s="20">
        <f>IF(G323="","",Settings!$B$6*IF(OR(F323="GOC",F323="OWC",F323="GWC"),1,0.7)+Settings!$B$7*IF(N323="Supports",1,IF(N323="Conflicts",0,0.5))+Settings!$B$8*IF(AND(Master_Data!R323&lt;&gt;"",Master_Data!S323&lt;&gt;"",Master_Data!R324&lt;&gt;"",Master_Data!S324&lt;&gt;""),1,0.5))</f>
        <v/>
      </c>
      <c r="P323" s="19">
        <f>IF(G323="","",IF(N323="Conflicts","SW_CONFLICT",IF(OR(F323="GOC",F323="OWC",F323="GWC"),"DIRECT_FLUID_TRANSITION","TRANSITION_INTERVAL")))</f>
        <v/>
      </c>
      <c r="Q323" s="19">
        <f>IF(G323="","",IF(N323="Conflicts","Investigate contact interpretation / saturation behaviour",IF(OR(F323="OWC",F323="GOC",F323="GWC"),"Candidate contact — validate with logs, pressure and dynamic evidence","Transition zone — do not force to a sharp contact")))</f>
        <v/>
      </c>
    </row>
    <row r="324">
      <c r="A324" s="19">
        <f>IF(AND(Master_Data!A324&lt;&gt;"",Master_Data!A324=Master_Data!A325),Master_Data!A324,"")</f>
        <v/>
      </c>
      <c r="B324" s="19">
        <f>IF($A324="","",Master_Data!B324)</f>
        <v/>
      </c>
      <c r="C324" s="19">
        <f>IF($A324="","",Master_Data!B325)</f>
        <v/>
      </c>
      <c r="D324" s="19">
        <f>IF($A324="","",Master_Data!Q324)</f>
        <v/>
      </c>
      <c r="E324" s="19">
        <f>IF($A324="","",Master_Data!Q325)</f>
        <v/>
      </c>
      <c r="F324" s="19">
        <f>IF($A324="","",IF(AND(D324="GAS",E324="OIL"),"GOC",IF(AND(D324="OIL",E324="WATER"),"OWC",IF(AND(D324="GAS",E324="WATER"),"GWC",IF(AND(D324="OIL",E324="OIL_WATER"),"OWC_TRANSITION",IF(AND(D324="OIL_WATER",E324="WATER"),"OWC_TRANSITION",IF(AND(D324="GAS",E324="GAS_WATER"),"GOC_TRANSITION",IF(AND(D324="GAS_WATER",E324="OIL"),"GOC_TRANSITION",IF(OR(D324="OIL_WATER",D324="GAS_WATER"),"TRANSITION_INTERVAL","")))))))))</f>
        <v/>
      </c>
      <c r="G324" s="20">
        <f>IF(OR(F324="",Master_Data!R324="",Master_Data!S324=""),"",IF(RIGHT(F324,10)="TRANSITION",AVERAGE(Master_Data!R324:Master_Data!S324),AVERAGE(Master_Data!S324,Master_Data!R325)))</f>
        <v/>
      </c>
      <c r="H324" s="20">
        <f>IF(G324="","",MAX(Settings!$B$4,Settings!$B$5*AVERAGE(IF(Master_Data!O324&lt;&gt;"",Master_Data!O324,Master_Data!H324),IF(Master_Data!O325&lt;&gt;"",Master_Data!O325,Master_Data!H325))))</f>
        <v/>
      </c>
      <c r="I324" s="20">
        <f>IF(G324="","",G324-H324)</f>
        <v/>
      </c>
      <c r="J324" s="20">
        <f>IF(G324="","",G324+H324)</f>
        <v/>
      </c>
      <c r="K324" s="20">
        <f>IF($A324="","",Master_Data!G324)</f>
        <v/>
      </c>
      <c r="L324" s="20">
        <f>IF($A324="","",Master_Data!G325)</f>
        <v/>
      </c>
      <c r="M324" s="20">
        <f>IF(AND(ISNUMBER(K324),ISNUMBER(L324)),L324-K324,"")</f>
        <v/>
      </c>
      <c r="N324" s="19">
        <f>IF(G324="","",IF(AND(ISNUMBER(K324),ISNUMBER(L324)),IF(OR(F324="GOC",F324="OWC",F324="GWC",F324="OWC_TRANSITION",F324="GOC_TRANSITION"),IF(L324&gt;=K324,"Supports","Conflicts"),"N/A"),"No Sw"))</f>
        <v/>
      </c>
      <c r="O324" s="20">
        <f>IF(G324="","",Settings!$B$6*IF(OR(F324="GOC",F324="OWC",F324="GWC"),1,0.7)+Settings!$B$7*IF(N324="Supports",1,IF(N324="Conflicts",0,0.5))+Settings!$B$8*IF(AND(Master_Data!R324&lt;&gt;"",Master_Data!S324&lt;&gt;"",Master_Data!R325&lt;&gt;"",Master_Data!S325&lt;&gt;""),1,0.5))</f>
        <v/>
      </c>
      <c r="P324" s="19">
        <f>IF(G324="","",IF(N324="Conflicts","SW_CONFLICT",IF(OR(F324="GOC",F324="OWC",F324="GWC"),"DIRECT_FLUID_TRANSITION","TRANSITION_INTERVAL")))</f>
        <v/>
      </c>
      <c r="Q324" s="19">
        <f>IF(G324="","",IF(N324="Conflicts","Investigate contact interpretation / saturation behaviour",IF(OR(F324="OWC",F324="GOC",F324="GWC"),"Candidate contact — validate with logs, pressure and dynamic evidence","Transition zone — do not force to a sharp contact")))</f>
        <v/>
      </c>
    </row>
    <row r="325">
      <c r="A325" s="19">
        <f>IF(AND(Master_Data!A325&lt;&gt;"",Master_Data!A325=Master_Data!A326),Master_Data!A325,"")</f>
        <v/>
      </c>
      <c r="B325" s="19">
        <f>IF($A325="","",Master_Data!B325)</f>
        <v/>
      </c>
      <c r="C325" s="19">
        <f>IF($A325="","",Master_Data!B326)</f>
        <v/>
      </c>
      <c r="D325" s="19">
        <f>IF($A325="","",Master_Data!Q325)</f>
        <v/>
      </c>
      <c r="E325" s="19">
        <f>IF($A325="","",Master_Data!Q326)</f>
        <v/>
      </c>
      <c r="F325" s="19">
        <f>IF($A325="","",IF(AND(D325="GAS",E325="OIL"),"GOC",IF(AND(D325="OIL",E325="WATER"),"OWC",IF(AND(D325="GAS",E325="WATER"),"GWC",IF(AND(D325="OIL",E325="OIL_WATER"),"OWC_TRANSITION",IF(AND(D325="OIL_WATER",E325="WATER"),"OWC_TRANSITION",IF(AND(D325="GAS",E325="GAS_WATER"),"GOC_TRANSITION",IF(AND(D325="GAS_WATER",E325="OIL"),"GOC_TRANSITION",IF(OR(D325="OIL_WATER",D325="GAS_WATER"),"TRANSITION_INTERVAL","")))))))))</f>
        <v/>
      </c>
      <c r="G325" s="20">
        <f>IF(OR(F325="",Master_Data!R325="",Master_Data!S325=""),"",IF(RIGHT(F325,10)="TRANSITION",AVERAGE(Master_Data!R325:Master_Data!S325),AVERAGE(Master_Data!S325,Master_Data!R326)))</f>
        <v/>
      </c>
      <c r="H325" s="20">
        <f>IF(G325="","",MAX(Settings!$B$4,Settings!$B$5*AVERAGE(IF(Master_Data!O325&lt;&gt;"",Master_Data!O325,Master_Data!H325),IF(Master_Data!O326&lt;&gt;"",Master_Data!O326,Master_Data!H326))))</f>
        <v/>
      </c>
      <c r="I325" s="20">
        <f>IF(G325="","",G325-H325)</f>
        <v/>
      </c>
      <c r="J325" s="20">
        <f>IF(G325="","",G325+H325)</f>
        <v/>
      </c>
      <c r="K325" s="20">
        <f>IF($A325="","",Master_Data!G325)</f>
        <v/>
      </c>
      <c r="L325" s="20">
        <f>IF($A325="","",Master_Data!G326)</f>
        <v/>
      </c>
      <c r="M325" s="20">
        <f>IF(AND(ISNUMBER(K325),ISNUMBER(L325)),L325-K325,"")</f>
        <v/>
      </c>
      <c r="N325" s="19">
        <f>IF(G325="","",IF(AND(ISNUMBER(K325),ISNUMBER(L325)),IF(OR(F325="GOC",F325="OWC",F325="GWC",F325="OWC_TRANSITION",F325="GOC_TRANSITION"),IF(L325&gt;=K325,"Supports","Conflicts"),"N/A"),"No Sw"))</f>
        <v/>
      </c>
      <c r="O325" s="20">
        <f>IF(G325="","",Settings!$B$6*IF(OR(F325="GOC",F325="OWC",F325="GWC"),1,0.7)+Settings!$B$7*IF(N325="Supports",1,IF(N325="Conflicts",0,0.5))+Settings!$B$8*IF(AND(Master_Data!R325&lt;&gt;"",Master_Data!S325&lt;&gt;"",Master_Data!R326&lt;&gt;"",Master_Data!S326&lt;&gt;""),1,0.5))</f>
        <v/>
      </c>
      <c r="P325" s="19">
        <f>IF(G325="","",IF(N325="Conflicts","SW_CONFLICT",IF(OR(F325="GOC",F325="OWC",F325="GWC"),"DIRECT_FLUID_TRANSITION","TRANSITION_INTERVAL")))</f>
        <v/>
      </c>
      <c r="Q325" s="19">
        <f>IF(G325="","",IF(N325="Conflicts","Investigate contact interpretation / saturation behaviour",IF(OR(F325="OWC",F325="GOC",F325="GWC"),"Candidate contact — validate with logs, pressure and dynamic evidence","Transition zone — do not force to a sharp contact")))</f>
        <v/>
      </c>
    </row>
    <row r="326">
      <c r="A326" s="19">
        <f>IF(AND(Master_Data!A326&lt;&gt;"",Master_Data!A326=Master_Data!A327),Master_Data!A326,"")</f>
        <v/>
      </c>
      <c r="B326" s="19">
        <f>IF($A326="","",Master_Data!B326)</f>
        <v/>
      </c>
      <c r="C326" s="19">
        <f>IF($A326="","",Master_Data!B327)</f>
        <v/>
      </c>
      <c r="D326" s="19">
        <f>IF($A326="","",Master_Data!Q326)</f>
        <v/>
      </c>
      <c r="E326" s="19">
        <f>IF($A326="","",Master_Data!Q327)</f>
        <v/>
      </c>
      <c r="F326" s="19">
        <f>IF($A326="","",IF(AND(D326="GAS",E326="OIL"),"GOC",IF(AND(D326="OIL",E326="WATER"),"OWC",IF(AND(D326="GAS",E326="WATER"),"GWC",IF(AND(D326="OIL",E326="OIL_WATER"),"OWC_TRANSITION",IF(AND(D326="OIL_WATER",E326="WATER"),"OWC_TRANSITION",IF(AND(D326="GAS",E326="GAS_WATER"),"GOC_TRANSITION",IF(AND(D326="GAS_WATER",E326="OIL"),"GOC_TRANSITION",IF(OR(D326="OIL_WATER",D326="GAS_WATER"),"TRANSITION_INTERVAL","")))))))))</f>
        <v/>
      </c>
      <c r="G326" s="20">
        <f>IF(OR(F326="",Master_Data!R326="",Master_Data!S326=""),"",IF(RIGHT(F326,10)="TRANSITION",AVERAGE(Master_Data!R326:Master_Data!S326),AVERAGE(Master_Data!S326,Master_Data!R327)))</f>
        <v/>
      </c>
      <c r="H326" s="20">
        <f>IF(G326="","",MAX(Settings!$B$4,Settings!$B$5*AVERAGE(IF(Master_Data!O326&lt;&gt;"",Master_Data!O326,Master_Data!H326),IF(Master_Data!O327&lt;&gt;"",Master_Data!O327,Master_Data!H327))))</f>
        <v/>
      </c>
      <c r="I326" s="20">
        <f>IF(G326="","",G326-H326)</f>
        <v/>
      </c>
      <c r="J326" s="20">
        <f>IF(G326="","",G326+H326)</f>
        <v/>
      </c>
      <c r="K326" s="20">
        <f>IF($A326="","",Master_Data!G326)</f>
        <v/>
      </c>
      <c r="L326" s="20">
        <f>IF($A326="","",Master_Data!G327)</f>
        <v/>
      </c>
      <c r="M326" s="20">
        <f>IF(AND(ISNUMBER(K326),ISNUMBER(L326)),L326-K326,"")</f>
        <v/>
      </c>
      <c r="N326" s="19">
        <f>IF(G326="","",IF(AND(ISNUMBER(K326),ISNUMBER(L326)),IF(OR(F326="GOC",F326="OWC",F326="GWC",F326="OWC_TRANSITION",F326="GOC_TRANSITION"),IF(L326&gt;=K326,"Supports","Conflicts"),"N/A"),"No Sw"))</f>
        <v/>
      </c>
      <c r="O326" s="20">
        <f>IF(G326="","",Settings!$B$6*IF(OR(F326="GOC",F326="OWC",F326="GWC"),1,0.7)+Settings!$B$7*IF(N326="Supports",1,IF(N326="Conflicts",0,0.5))+Settings!$B$8*IF(AND(Master_Data!R326&lt;&gt;"",Master_Data!S326&lt;&gt;"",Master_Data!R327&lt;&gt;"",Master_Data!S327&lt;&gt;""),1,0.5))</f>
        <v/>
      </c>
      <c r="P326" s="19">
        <f>IF(G326="","",IF(N326="Conflicts","SW_CONFLICT",IF(OR(F326="GOC",F326="OWC",F326="GWC"),"DIRECT_FLUID_TRANSITION","TRANSITION_INTERVAL")))</f>
        <v/>
      </c>
      <c r="Q326" s="19">
        <f>IF(G326="","",IF(N326="Conflicts","Investigate contact interpretation / saturation behaviour",IF(OR(F326="OWC",F326="GOC",F326="GWC"),"Candidate contact — validate with logs, pressure and dynamic evidence","Transition zone — do not force to a sharp contact")))</f>
        <v/>
      </c>
    </row>
    <row r="327">
      <c r="A327" s="19">
        <f>IF(AND(Master_Data!A327&lt;&gt;"",Master_Data!A327=Master_Data!A328),Master_Data!A327,"")</f>
        <v/>
      </c>
      <c r="B327" s="19">
        <f>IF($A327="","",Master_Data!B327)</f>
        <v/>
      </c>
      <c r="C327" s="19">
        <f>IF($A327="","",Master_Data!B328)</f>
        <v/>
      </c>
      <c r="D327" s="19">
        <f>IF($A327="","",Master_Data!Q327)</f>
        <v/>
      </c>
      <c r="E327" s="19">
        <f>IF($A327="","",Master_Data!Q328)</f>
        <v/>
      </c>
      <c r="F327" s="19">
        <f>IF($A327="","",IF(AND(D327="GAS",E327="OIL"),"GOC",IF(AND(D327="OIL",E327="WATER"),"OWC",IF(AND(D327="GAS",E327="WATER"),"GWC",IF(AND(D327="OIL",E327="OIL_WATER"),"OWC_TRANSITION",IF(AND(D327="OIL_WATER",E327="WATER"),"OWC_TRANSITION",IF(AND(D327="GAS",E327="GAS_WATER"),"GOC_TRANSITION",IF(AND(D327="GAS_WATER",E327="OIL"),"GOC_TRANSITION",IF(OR(D327="OIL_WATER",D327="GAS_WATER"),"TRANSITION_INTERVAL","")))))))))</f>
        <v/>
      </c>
      <c r="G327" s="20">
        <f>IF(OR(F327="",Master_Data!R327="",Master_Data!S327=""),"",IF(RIGHT(F327,10)="TRANSITION",AVERAGE(Master_Data!R327:Master_Data!S327),AVERAGE(Master_Data!S327,Master_Data!R328)))</f>
        <v/>
      </c>
      <c r="H327" s="20">
        <f>IF(G327="","",MAX(Settings!$B$4,Settings!$B$5*AVERAGE(IF(Master_Data!O327&lt;&gt;"",Master_Data!O327,Master_Data!H327),IF(Master_Data!O328&lt;&gt;"",Master_Data!O328,Master_Data!H328))))</f>
        <v/>
      </c>
      <c r="I327" s="20">
        <f>IF(G327="","",G327-H327)</f>
        <v/>
      </c>
      <c r="J327" s="20">
        <f>IF(G327="","",G327+H327)</f>
        <v/>
      </c>
      <c r="K327" s="20">
        <f>IF($A327="","",Master_Data!G327)</f>
        <v/>
      </c>
      <c r="L327" s="20">
        <f>IF($A327="","",Master_Data!G328)</f>
        <v/>
      </c>
      <c r="M327" s="20">
        <f>IF(AND(ISNUMBER(K327),ISNUMBER(L327)),L327-K327,"")</f>
        <v/>
      </c>
      <c r="N327" s="19">
        <f>IF(G327="","",IF(AND(ISNUMBER(K327),ISNUMBER(L327)),IF(OR(F327="GOC",F327="OWC",F327="GWC",F327="OWC_TRANSITION",F327="GOC_TRANSITION"),IF(L327&gt;=K327,"Supports","Conflicts"),"N/A"),"No Sw"))</f>
        <v/>
      </c>
      <c r="O327" s="20">
        <f>IF(G327="","",Settings!$B$6*IF(OR(F327="GOC",F327="OWC",F327="GWC"),1,0.7)+Settings!$B$7*IF(N327="Supports",1,IF(N327="Conflicts",0,0.5))+Settings!$B$8*IF(AND(Master_Data!R327&lt;&gt;"",Master_Data!S327&lt;&gt;"",Master_Data!R328&lt;&gt;"",Master_Data!S328&lt;&gt;""),1,0.5))</f>
        <v/>
      </c>
      <c r="P327" s="19">
        <f>IF(G327="","",IF(N327="Conflicts","SW_CONFLICT",IF(OR(F327="GOC",F327="OWC",F327="GWC"),"DIRECT_FLUID_TRANSITION","TRANSITION_INTERVAL")))</f>
        <v/>
      </c>
      <c r="Q327" s="19">
        <f>IF(G327="","",IF(N327="Conflicts","Investigate contact interpretation / saturation behaviour",IF(OR(F327="OWC",F327="GOC",F327="GWC"),"Candidate contact — validate with logs, pressure and dynamic evidence","Transition zone — do not force to a sharp contact")))</f>
        <v/>
      </c>
    </row>
    <row r="328">
      <c r="A328" s="19">
        <f>IF(AND(Master_Data!A328&lt;&gt;"",Master_Data!A328=Master_Data!A329),Master_Data!A328,"")</f>
        <v/>
      </c>
      <c r="B328" s="19">
        <f>IF($A328="","",Master_Data!B328)</f>
        <v/>
      </c>
      <c r="C328" s="19">
        <f>IF($A328="","",Master_Data!B329)</f>
        <v/>
      </c>
      <c r="D328" s="19">
        <f>IF($A328="","",Master_Data!Q328)</f>
        <v/>
      </c>
      <c r="E328" s="19">
        <f>IF($A328="","",Master_Data!Q329)</f>
        <v/>
      </c>
      <c r="F328" s="19">
        <f>IF($A328="","",IF(AND(D328="GAS",E328="OIL"),"GOC",IF(AND(D328="OIL",E328="WATER"),"OWC",IF(AND(D328="GAS",E328="WATER"),"GWC",IF(AND(D328="OIL",E328="OIL_WATER"),"OWC_TRANSITION",IF(AND(D328="OIL_WATER",E328="WATER"),"OWC_TRANSITION",IF(AND(D328="GAS",E328="GAS_WATER"),"GOC_TRANSITION",IF(AND(D328="GAS_WATER",E328="OIL"),"GOC_TRANSITION",IF(OR(D328="OIL_WATER",D328="GAS_WATER"),"TRANSITION_INTERVAL","")))))))))</f>
        <v/>
      </c>
      <c r="G328" s="20">
        <f>IF(OR(F328="",Master_Data!R328="",Master_Data!S328=""),"",IF(RIGHT(F328,10)="TRANSITION",AVERAGE(Master_Data!R328:Master_Data!S328),AVERAGE(Master_Data!S328,Master_Data!R329)))</f>
        <v/>
      </c>
      <c r="H328" s="20">
        <f>IF(G328="","",MAX(Settings!$B$4,Settings!$B$5*AVERAGE(IF(Master_Data!O328&lt;&gt;"",Master_Data!O328,Master_Data!H328),IF(Master_Data!O329&lt;&gt;"",Master_Data!O329,Master_Data!H329))))</f>
        <v/>
      </c>
      <c r="I328" s="20">
        <f>IF(G328="","",G328-H328)</f>
        <v/>
      </c>
      <c r="J328" s="20">
        <f>IF(G328="","",G328+H328)</f>
        <v/>
      </c>
      <c r="K328" s="20">
        <f>IF($A328="","",Master_Data!G328)</f>
        <v/>
      </c>
      <c r="L328" s="20">
        <f>IF($A328="","",Master_Data!G329)</f>
        <v/>
      </c>
      <c r="M328" s="20">
        <f>IF(AND(ISNUMBER(K328),ISNUMBER(L328)),L328-K328,"")</f>
        <v/>
      </c>
      <c r="N328" s="19">
        <f>IF(G328="","",IF(AND(ISNUMBER(K328),ISNUMBER(L328)),IF(OR(F328="GOC",F328="OWC",F328="GWC",F328="OWC_TRANSITION",F328="GOC_TRANSITION"),IF(L328&gt;=K328,"Supports","Conflicts"),"N/A"),"No Sw"))</f>
        <v/>
      </c>
      <c r="O328" s="20">
        <f>IF(G328="","",Settings!$B$6*IF(OR(F328="GOC",F328="OWC",F328="GWC"),1,0.7)+Settings!$B$7*IF(N328="Supports",1,IF(N328="Conflicts",0,0.5))+Settings!$B$8*IF(AND(Master_Data!R328&lt;&gt;"",Master_Data!S328&lt;&gt;"",Master_Data!R329&lt;&gt;"",Master_Data!S329&lt;&gt;""),1,0.5))</f>
        <v/>
      </c>
      <c r="P328" s="19">
        <f>IF(G328="","",IF(N328="Conflicts","SW_CONFLICT",IF(OR(F328="GOC",F328="OWC",F328="GWC"),"DIRECT_FLUID_TRANSITION","TRANSITION_INTERVAL")))</f>
        <v/>
      </c>
      <c r="Q328" s="19">
        <f>IF(G328="","",IF(N328="Conflicts","Investigate contact interpretation / saturation behaviour",IF(OR(F328="OWC",F328="GOC",F328="GWC"),"Candidate contact — validate with logs, pressure and dynamic evidence","Transition zone — do not force to a sharp contact")))</f>
        <v/>
      </c>
    </row>
    <row r="329">
      <c r="A329" s="19">
        <f>IF(AND(Master_Data!A329&lt;&gt;"",Master_Data!A329=Master_Data!A330),Master_Data!A329,"")</f>
        <v/>
      </c>
      <c r="B329" s="19">
        <f>IF($A329="","",Master_Data!B329)</f>
        <v/>
      </c>
      <c r="C329" s="19">
        <f>IF($A329="","",Master_Data!B330)</f>
        <v/>
      </c>
      <c r="D329" s="19">
        <f>IF($A329="","",Master_Data!Q329)</f>
        <v/>
      </c>
      <c r="E329" s="19">
        <f>IF($A329="","",Master_Data!Q330)</f>
        <v/>
      </c>
      <c r="F329" s="19">
        <f>IF($A329="","",IF(AND(D329="GAS",E329="OIL"),"GOC",IF(AND(D329="OIL",E329="WATER"),"OWC",IF(AND(D329="GAS",E329="WATER"),"GWC",IF(AND(D329="OIL",E329="OIL_WATER"),"OWC_TRANSITION",IF(AND(D329="OIL_WATER",E329="WATER"),"OWC_TRANSITION",IF(AND(D329="GAS",E329="GAS_WATER"),"GOC_TRANSITION",IF(AND(D329="GAS_WATER",E329="OIL"),"GOC_TRANSITION",IF(OR(D329="OIL_WATER",D329="GAS_WATER"),"TRANSITION_INTERVAL","")))))))))</f>
        <v/>
      </c>
      <c r="G329" s="20">
        <f>IF(OR(F329="",Master_Data!R329="",Master_Data!S329=""),"",IF(RIGHT(F329,10)="TRANSITION",AVERAGE(Master_Data!R329:Master_Data!S329),AVERAGE(Master_Data!S329,Master_Data!R330)))</f>
        <v/>
      </c>
      <c r="H329" s="20">
        <f>IF(G329="","",MAX(Settings!$B$4,Settings!$B$5*AVERAGE(IF(Master_Data!O329&lt;&gt;"",Master_Data!O329,Master_Data!H329),IF(Master_Data!O330&lt;&gt;"",Master_Data!O330,Master_Data!H330))))</f>
        <v/>
      </c>
      <c r="I329" s="20">
        <f>IF(G329="","",G329-H329)</f>
        <v/>
      </c>
      <c r="J329" s="20">
        <f>IF(G329="","",G329+H329)</f>
        <v/>
      </c>
      <c r="K329" s="20">
        <f>IF($A329="","",Master_Data!G329)</f>
        <v/>
      </c>
      <c r="L329" s="20">
        <f>IF($A329="","",Master_Data!G330)</f>
        <v/>
      </c>
      <c r="M329" s="20">
        <f>IF(AND(ISNUMBER(K329),ISNUMBER(L329)),L329-K329,"")</f>
        <v/>
      </c>
      <c r="N329" s="19">
        <f>IF(G329="","",IF(AND(ISNUMBER(K329),ISNUMBER(L329)),IF(OR(F329="GOC",F329="OWC",F329="GWC",F329="OWC_TRANSITION",F329="GOC_TRANSITION"),IF(L329&gt;=K329,"Supports","Conflicts"),"N/A"),"No Sw"))</f>
        <v/>
      </c>
      <c r="O329" s="20">
        <f>IF(G329="","",Settings!$B$6*IF(OR(F329="GOC",F329="OWC",F329="GWC"),1,0.7)+Settings!$B$7*IF(N329="Supports",1,IF(N329="Conflicts",0,0.5))+Settings!$B$8*IF(AND(Master_Data!R329&lt;&gt;"",Master_Data!S329&lt;&gt;"",Master_Data!R330&lt;&gt;"",Master_Data!S330&lt;&gt;""),1,0.5))</f>
        <v/>
      </c>
      <c r="P329" s="19">
        <f>IF(G329="","",IF(N329="Conflicts","SW_CONFLICT",IF(OR(F329="GOC",F329="OWC",F329="GWC"),"DIRECT_FLUID_TRANSITION","TRANSITION_INTERVAL")))</f>
        <v/>
      </c>
      <c r="Q329" s="19">
        <f>IF(G329="","",IF(N329="Conflicts","Investigate contact interpretation / saturation behaviour",IF(OR(F329="OWC",F329="GOC",F329="GWC"),"Candidate contact — validate with logs, pressure and dynamic evidence","Transition zone — do not force to a sharp contact")))</f>
        <v/>
      </c>
    </row>
    <row r="330">
      <c r="A330" s="19">
        <f>IF(AND(Master_Data!A330&lt;&gt;"",Master_Data!A330=Master_Data!A331),Master_Data!A330,"")</f>
        <v/>
      </c>
      <c r="B330" s="19">
        <f>IF($A330="","",Master_Data!B330)</f>
        <v/>
      </c>
      <c r="C330" s="19">
        <f>IF($A330="","",Master_Data!B331)</f>
        <v/>
      </c>
      <c r="D330" s="19">
        <f>IF($A330="","",Master_Data!Q330)</f>
        <v/>
      </c>
      <c r="E330" s="19">
        <f>IF($A330="","",Master_Data!Q331)</f>
        <v/>
      </c>
      <c r="F330" s="19">
        <f>IF($A330="","",IF(AND(D330="GAS",E330="OIL"),"GOC",IF(AND(D330="OIL",E330="WATER"),"OWC",IF(AND(D330="GAS",E330="WATER"),"GWC",IF(AND(D330="OIL",E330="OIL_WATER"),"OWC_TRANSITION",IF(AND(D330="OIL_WATER",E330="WATER"),"OWC_TRANSITION",IF(AND(D330="GAS",E330="GAS_WATER"),"GOC_TRANSITION",IF(AND(D330="GAS_WATER",E330="OIL"),"GOC_TRANSITION",IF(OR(D330="OIL_WATER",D330="GAS_WATER"),"TRANSITION_INTERVAL","")))))))))</f>
        <v/>
      </c>
      <c r="G330" s="20">
        <f>IF(OR(F330="",Master_Data!R330="",Master_Data!S330=""),"",IF(RIGHT(F330,10)="TRANSITION",AVERAGE(Master_Data!R330:Master_Data!S330),AVERAGE(Master_Data!S330,Master_Data!R331)))</f>
        <v/>
      </c>
      <c r="H330" s="20">
        <f>IF(G330="","",MAX(Settings!$B$4,Settings!$B$5*AVERAGE(IF(Master_Data!O330&lt;&gt;"",Master_Data!O330,Master_Data!H330),IF(Master_Data!O331&lt;&gt;"",Master_Data!O331,Master_Data!H331))))</f>
        <v/>
      </c>
      <c r="I330" s="20">
        <f>IF(G330="","",G330-H330)</f>
        <v/>
      </c>
      <c r="J330" s="20">
        <f>IF(G330="","",G330+H330)</f>
        <v/>
      </c>
      <c r="K330" s="20">
        <f>IF($A330="","",Master_Data!G330)</f>
        <v/>
      </c>
      <c r="L330" s="20">
        <f>IF($A330="","",Master_Data!G331)</f>
        <v/>
      </c>
      <c r="M330" s="20">
        <f>IF(AND(ISNUMBER(K330),ISNUMBER(L330)),L330-K330,"")</f>
        <v/>
      </c>
      <c r="N330" s="19">
        <f>IF(G330="","",IF(AND(ISNUMBER(K330),ISNUMBER(L330)),IF(OR(F330="GOC",F330="OWC",F330="GWC",F330="OWC_TRANSITION",F330="GOC_TRANSITION"),IF(L330&gt;=K330,"Supports","Conflicts"),"N/A"),"No Sw"))</f>
        <v/>
      </c>
      <c r="O330" s="20">
        <f>IF(G330="","",Settings!$B$6*IF(OR(F330="GOC",F330="OWC",F330="GWC"),1,0.7)+Settings!$B$7*IF(N330="Supports",1,IF(N330="Conflicts",0,0.5))+Settings!$B$8*IF(AND(Master_Data!R330&lt;&gt;"",Master_Data!S330&lt;&gt;"",Master_Data!R331&lt;&gt;"",Master_Data!S331&lt;&gt;""),1,0.5))</f>
        <v/>
      </c>
      <c r="P330" s="19">
        <f>IF(G330="","",IF(N330="Conflicts","SW_CONFLICT",IF(OR(F330="GOC",F330="OWC",F330="GWC"),"DIRECT_FLUID_TRANSITION","TRANSITION_INTERVAL")))</f>
        <v/>
      </c>
      <c r="Q330" s="19">
        <f>IF(G330="","",IF(N330="Conflicts","Investigate contact interpretation / saturation behaviour",IF(OR(F330="OWC",F330="GOC",F330="GWC"),"Candidate contact — validate with logs, pressure and dynamic evidence","Transition zone — do not force to a sharp contact")))</f>
        <v/>
      </c>
    </row>
    <row r="331">
      <c r="A331" s="19">
        <f>IF(AND(Master_Data!A331&lt;&gt;"",Master_Data!A331=Master_Data!A332),Master_Data!A331,"")</f>
        <v/>
      </c>
      <c r="B331" s="19">
        <f>IF($A331="","",Master_Data!B331)</f>
        <v/>
      </c>
      <c r="C331" s="19">
        <f>IF($A331="","",Master_Data!B332)</f>
        <v/>
      </c>
      <c r="D331" s="19">
        <f>IF($A331="","",Master_Data!Q331)</f>
        <v/>
      </c>
      <c r="E331" s="19">
        <f>IF($A331="","",Master_Data!Q332)</f>
        <v/>
      </c>
      <c r="F331" s="19">
        <f>IF($A331="","",IF(AND(D331="GAS",E331="OIL"),"GOC",IF(AND(D331="OIL",E331="WATER"),"OWC",IF(AND(D331="GAS",E331="WATER"),"GWC",IF(AND(D331="OIL",E331="OIL_WATER"),"OWC_TRANSITION",IF(AND(D331="OIL_WATER",E331="WATER"),"OWC_TRANSITION",IF(AND(D331="GAS",E331="GAS_WATER"),"GOC_TRANSITION",IF(AND(D331="GAS_WATER",E331="OIL"),"GOC_TRANSITION",IF(OR(D331="OIL_WATER",D331="GAS_WATER"),"TRANSITION_INTERVAL","")))))))))</f>
        <v/>
      </c>
      <c r="G331" s="20">
        <f>IF(OR(F331="",Master_Data!R331="",Master_Data!S331=""),"",IF(RIGHT(F331,10)="TRANSITION",AVERAGE(Master_Data!R331:Master_Data!S331),AVERAGE(Master_Data!S331,Master_Data!R332)))</f>
        <v/>
      </c>
      <c r="H331" s="20">
        <f>IF(G331="","",MAX(Settings!$B$4,Settings!$B$5*AVERAGE(IF(Master_Data!O331&lt;&gt;"",Master_Data!O331,Master_Data!H331),IF(Master_Data!O332&lt;&gt;"",Master_Data!O332,Master_Data!H332))))</f>
        <v/>
      </c>
      <c r="I331" s="20">
        <f>IF(G331="","",G331-H331)</f>
        <v/>
      </c>
      <c r="J331" s="20">
        <f>IF(G331="","",G331+H331)</f>
        <v/>
      </c>
      <c r="K331" s="20">
        <f>IF($A331="","",Master_Data!G331)</f>
        <v/>
      </c>
      <c r="L331" s="20">
        <f>IF($A331="","",Master_Data!G332)</f>
        <v/>
      </c>
      <c r="M331" s="20">
        <f>IF(AND(ISNUMBER(K331),ISNUMBER(L331)),L331-K331,"")</f>
        <v/>
      </c>
      <c r="N331" s="19">
        <f>IF(G331="","",IF(AND(ISNUMBER(K331),ISNUMBER(L331)),IF(OR(F331="GOC",F331="OWC",F331="GWC",F331="OWC_TRANSITION",F331="GOC_TRANSITION"),IF(L331&gt;=K331,"Supports","Conflicts"),"N/A"),"No Sw"))</f>
        <v/>
      </c>
      <c r="O331" s="20">
        <f>IF(G331="","",Settings!$B$6*IF(OR(F331="GOC",F331="OWC",F331="GWC"),1,0.7)+Settings!$B$7*IF(N331="Supports",1,IF(N331="Conflicts",0,0.5))+Settings!$B$8*IF(AND(Master_Data!R331&lt;&gt;"",Master_Data!S331&lt;&gt;"",Master_Data!R332&lt;&gt;"",Master_Data!S332&lt;&gt;""),1,0.5))</f>
        <v/>
      </c>
      <c r="P331" s="19">
        <f>IF(G331="","",IF(N331="Conflicts","SW_CONFLICT",IF(OR(F331="GOC",F331="OWC",F331="GWC"),"DIRECT_FLUID_TRANSITION","TRANSITION_INTERVAL")))</f>
        <v/>
      </c>
      <c r="Q331" s="19">
        <f>IF(G331="","",IF(N331="Conflicts","Investigate contact interpretation / saturation behaviour",IF(OR(F331="OWC",F331="GOC",F331="GWC"),"Candidate contact — validate with logs, pressure and dynamic evidence","Transition zone — do not force to a sharp contact")))</f>
        <v/>
      </c>
    </row>
    <row r="332">
      <c r="A332" s="19">
        <f>IF(AND(Master_Data!A332&lt;&gt;"",Master_Data!A332=Master_Data!A333),Master_Data!A332,"")</f>
        <v/>
      </c>
      <c r="B332" s="19">
        <f>IF($A332="","",Master_Data!B332)</f>
        <v/>
      </c>
      <c r="C332" s="19">
        <f>IF($A332="","",Master_Data!B333)</f>
        <v/>
      </c>
      <c r="D332" s="19">
        <f>IF($A332="","",Master_Data!Q332)</f>
        <v/>
      </c>
      <c r="E332" s="19">
        <f>IF($A332="","",Master_Data!Q333)</f>
        <v/>
      </c>
      <c r="F332" s="19">
        <f>IF($A332="","",IF(AND(D332="GAS",E332="OIL"),"GOC",IF(AND(D332="OIL",E332="WATER"),"OWC",IF(AND(D332="GAS",E332="WATER"),"GWC",IF(AND(D332="OIL",E332="OIL_WATER"),"OWC_TRANSITION",IF(AND(D332="OIL_WATER",E332="WATER"),"OWC_TRANSITION",IF(AND(D332="GAS",E332="GAS_WATER"),"GOC_TRANSITION",IF(AND(D332="GAS_WATER",E332="OIL"),"GOC_TRANSITION",IF(OR(D332="OIL_WATER",D332="GAS_WATER"),"TRANSITION_INTERVAL","")))))))))</f>
        <v/>
      </c>
      <c r="G332" s="20">
        <f>IF(OR(F332="",Master_Data!R332="",Master_Data!S332=""),"",IF(RIGHT(F332,10)="TRANSITION",AVERAGE(Master_Data!R332:Master_Data!S332),AVERAGE(Master_Data!S332,Master_Data!R333)))</f>
        <v/>
      </c>
      <c r="H332" s="20">
        <f>IF(G332="","",MAX(Settings!$B$4,Settings!$B$5*AVERAGE(IF(Master_Data!O332&lt;&gt;"",Master_Data!O332,Master_Data!H332),IF(Master_Data!O333&lt;&gt;"",Master_Data!O333,Master_Data!H333))))</f>
        <v/>
      </c>
      <c r="I332" s="20">
        <f>IF(G332="","",G332-H332)</f>
        <v/>
      </c>
      <c r="J332" s="20">
        <f>IF(G332="","",G332+H332)</f>
        <v/>
      </c>
      <c r="K332" s="20">
        <f>IF($A332="","",Master_Data!G332)</f>
        <v/>
      </c>
      <c r="L332" s="20">
        <f>IF($A332="","",Master_Data!G333)</f>
        <v/>
      </c>
      <c r="M332" s="20">
        <f>IF(AND(ISNUMBER(K332),ISNUMBER(L332)),L332-K332,"")</f>
        <v/>
      </c>
      <c r="N332" s="19">
        <f>IF(G332="","",IF(AND(ISNUMBER(K332),ISNUMBER(L332)),IF(OR(F332="GOC",F332="OWC",F332="GWC",F332="OWC_TRANSITION",F332="GOC_TRANSITION"),IF(L332&gt;=K332,"Supports","Conflicts"),"N/A"),"No Sw"))</f>
        <v/>
      </c>
      <c r="O332" s="20">
        <f>IF(G332="","",Settings!$B$6*IF(OR(F332="GOC",F332="OWC",F332="GWC"),1,0.7)+Settings!$B$7*IF(N332="Supports",1,IF(N332="Conflicts",0,0.5))+Settings!$B$8*IF(AND(Master_Data!R332&lt;&gt;"",Master_Data!S332&lt;&gt;"",Master_Data!R333&lt;&gt;"",Master_Data!S333&lt;&gt;""),1,0.5))</f>
        <v/>
      </c>
      <c r="P332" s="19">
        <f>IF(G332="","",IF(N332="Conflicts","SW_CONFLICT",IF(OR(F332="GOC",F332="OWC",F332="GWC"),"DIRECT_FLUID_TRANSITION","TRANSITION_INTERVAL")))</f>
        <v/>
      </c>
      <c r="Q332" s="19">
        <f>IF(G332="","",IF(N332="Conflicts","Investigate contact interpretation / saturation behaviour",IF(OR(F332="OWC",F332="GOC",F332="GWC"),"Candidate contact — validate with logs, pressure and dynamic evidence","Transition zone — do not force to a sharp contact")))</f>
        <v/>
      </c>
    </row>
    <row r="333">
      <c r="A333" s="19">
        <f>IF(AND(Master_Data!A333&lt;&gt;"",Master_Data!A333=Master_Data!A334),Master_Data!A333,"")</f>
        <v/>
      </c>
      <c r="B333" s="19">
        <f>IF($A333="","",Master_Data!B333)</f>
        <v/>
      </c>
      <c r="C333" s="19">
        <f>IF($A333="","",Master_Data!B334)</f>
        <v/>
      </c>
      <c r="D333" s="19">
        <f>IF($A333="","",Master_Data!Q333)</f>
        <v/>
      </c>
      <c r="E333" s="19">
        <f>IF($A333="","",Master_Data!Q334)</f>
        <v/>
      </c>
      <c r="F333" s="19">
        <f>IF($A333="","",IF(AND(D333="GAS",E333="OIL"),"GOC",IF(AND(D333="OIL",E333="WATER"),"OWC",IF(AND(D333="GAS",E333="WATER"),"GWC",IF(AND(D333="OIL",E333="OIL_WATER"),"OWC_TRANSITION",IF(AND(D333="OIL_WATER",E333="WATER"),"OWC_TRANSITION",IF(AND(D333="GAS",E333="GAS_WATER"),"GOC_TRANSITION",IF(AND(D333="GAS_WATER",E333="OIL"),"GOC_TRANSITION",IF(OR(D333="OIL_WATER",D333="GAS_WATER"),"TRANSITION_INTERVAL","")))))))))</f>
        <v/>
      </c>
      <c r="G333" s="20">
        <f>IF(OR(F333="",Master_Data!R333="",Master_Data!S333=""),"",IF(RIGHT(F333,10)="TRANSITION",AVERAGE(Master_Data!R333:Master_Data!S333),AVERAGE(Master_Data!S333,Master_Data!R334)))</f>
        <v/>
      </c>
      <c r="H333" s="20">
        <f>IF(G333="","",MAX(Settings!$B$4,Settings!$B$5*AVERAGE(IF(Master_Data!O333&lt;&gt;"",Master_Data!O333,Master_Data!H333),IF(Master_Data!O334&lt;&gt;"",Master_Data!O334,Master_Data!H334))))</f>
        <v/>
      </c>
      <c r="I333" s="20">
        <f>IF(G333="","",G333-H333)</f>
        <v/>
      </c>
      <c r="J333" s="20">
        <f>IF(G333="","",G333+H333)</f>
        <v/>
      </c>
      <c r="K333" s="20">
        <f>IF($A333="","",Master_Data!G333)</f>
        <v/>
      </c>
      <c r="L333" s="20">
        <f>IF($A333="","",Master_Data!G334)</f>
        <v/>
      </c>
      <c r="M333" s="20">
        <f>IF(AND(ISNUMBER(K333),ISNUMBER(L333)),L333-K333,"")</f>
        <v/>
      </c>
      <c r="N333" s="19">
        <f>IF(G333="","",IF(AND(ISNUMBER(K333),ISNUMBER(L333)),IF(OR(F333="GOC",F333="OWC",F333="GWC",F333="OWC_TRANSITION",F333="GOC_TRANSITION"),IF(L333&gt;=K333,"Supports","Conflicts"),"N/A"),"No Sw"))</f>
        <v/>
      </c>
      <c r="O333" s="20">
        <f>IF(G333="","",Settings!$B$6*IF(OR(F333="GOC",F333="OWC",F333="GWC"),1,0.7)+Settings!$B$7*IF(N333="Supports",1,IF(N333="Conflicts",0,0.5))+Settings!$B$8*IF(AND(Master_Data!R333&lt;&gt;"",Master_Data!S333&lt;&gt;"",Master_Data!R334&lt;&gt;"",Master_Data!S334&lt;&gt;""),1,0.5))</f>
        <v/>
      </c>
      <c r="P333" s="19">
        <f>IF(G333="","",IF(N333="Conflicts","SW_CONFLICT",IF(OR(F333="GOC",F333="OWC",F333="GWC"),"DIRECT_FLUID_TRANSITION","TRANSITION_INTERVAL")))</f>
        <v/>
      </c>
      <c r="Q333" s="19">
        <f>IF(G333="","",IF(N333="Conflicts","Investigate contact interpretation / saturation behaviour",IF(OR(F333="OWC",F333="GOC",F333="GWC"),"Candidate contact — validate with logs, pressure and dynamic evidence","Transition zone — do not force to a sharp contact")))</f>
        <v/>
      </c>
    </row>
    <row r="334">
      <c r="A334" s="19">
        <f>IF(AND(Master_Data!A334&lt;&gt;"",Master_Data!A334=Master_Data!A335),Master_Data!A334,"")</f>
        <v/>
      </c>
      <c r="B334" s="19">
        <f>IF($A334="","",Master_Data!B334)</f>
        <v/>
      </c>
      <c r="C334" s="19">
        <f>IF($A334="","",Master_Data!B335)</f>
        <v/>
      </c>
      <c r="D334" s="19">
        <f>IF($A334="","",Master_Data!Q334)</f>
        <v/>
      </c>
      <c r="E334" s="19">
        <f>IF($A334="","",Master_Data!Q335)</f>
        <v/>
      </c>
      <c r="F334" s="19">
        <f>IF($A334="","",IF(AND(D334="GAS",E334="OIL"),"GOC",IF(AND(D334="OIL",E334="WATER"),"OWC",IF(AND(D334="GAS",E334="WATER"),"GWC",IF(AND(D334="OIL",E334="OIL_WATER"),"OWC_TRANSITION",IF(AND(D334="OIL_WATER",E334="WATER"),"OWC_TRANSITION",IF(AND(D334="GAS",E334="GAS_WATER"),"GOC_TRANSITION",IF(AND(D334="GAS_WATER",E334="OIL"),"GOC_TRANSITION",IF(OR(D334="OIL_WATER",D334="GAS_WATER"),"TRANSITION_INTERVAL","")))))))))</f>
        <v/>
      </c>
      <c r="G334" s="20">
        <f>IF(OR(F334="",Master_Data!R334="",Master_Data!S334=""),"",IF(RIGHT(F334,10)="TRANSITION",AVERAGE(Master_Data!R334:Master_Data!S334),AVERAGE(Master_Data!S334,Master_Data!R335)))</f>
        <v/>
      </c>
      <c r="H334" s="20">
        <f>IF(G334="","",MAX(Settings!$B$4,Settings!$B$5*AVERAGE(IF(Master_Data!O334&lt;&gt;"",Master_Data!O334,Master_Data!H334),IF(Master_Data!O335&lt;&gt;"",Master_Data!O335,Master_Data!H335))))</f>
        <v/>
      </c>
      <c r="I334" s="20">
        <f>IF(G334="","",G334-H334)</f>
        <v/>
      </c>
      <c r="J334" s="20">
        <f>IF(G334="","",G334+H334)</f>
        <v/>
      </c>
      <c r="K334" s="20">
        <f>IF($A334="","",Master_Data!G334)</f>
        <v/>
      </c>
      <c r="L334" s="20">
        <f>IF($A334="","",Master_Data!G335)</f>
        <v/>
      </c>
      <c r="M334" s="20">
        <f>IF(AND(ISNUMBER(K334),ISNUMBER(L334)),L334-K334,"")</f>
        <v/>
      </c>
      <c r="N334" s="19">
        <f>IF(G334="","",IF(AND(ISNUMBER(K334),ISNUMBER(L334)),IF(OR(F334="GOC",F334="OWC",F334="GWC",F334="OWC_TRANSITION",F334="GOC_TRANSITION"),IF(L334&gt;=K334,"Supports","Conflicts"),"N/A"),"No Sw"))</f>
        <v/>
      </c>
      <c r="O334" s="20">
        <f>IF(G334="","",Settings!$B$6*IF(OR(F334="GOC",F334="OWC",F334="GWC"),1,0.7)+Settings!$B$7*IF(N334="Supports",1,IF(N334="Conflicts",0,0.5))+Settings!$B$8*IF(AND(Master_Data!R334&lt;&gt;"",Master_Data!S334&lt;&gt;"",Master_Data!R335&lt;&gt;"",Master_Data!S335&lt;&gt;""),1,0.5))</f>
        <v/>
      </c>
      <c r="P334" s="19">
        <f>IF(G334="","",IF(N334="Conflicts","SW_CONFLICT",IF(OR(F334="GOC",F334="OWC",F334="GWC"),"DIRECT_FLUID_TRANSITION","TRANSITION_INTERVAL")))</f>
        <v/>
      </c>
      <c r="Q334" s="19">
        <f>IF(G334="","",IF(N334="Conflicts","Investigate contact interpretation / saturation behaviour",IF(OR(F334="OWC",F334="GOC",F334="GWC"),"Candidate contact — validate with logs, pressure and dynamic evidence","Transition zone — do not force to a sharp contact")))</f>
        <v/>
      </c>
    </row>
    <row r="335">
      <c r="A335" s="19">
        <f>IF(AND(Master_Data!A335&lt;&gt;"",Master_Data!A335=Master_Data!A336),Master_Data!A335,"")</f>
        <v/>
      </c>
      <c r="B335" s="19">
        <f>IF($A335="","",Master_Data!B335)</f>
        <v/>
      </c>
      <c r="C335" s="19">
        <f>IF($A335="","",Master_Data!B336)</f>
        <v/>
      </c>
      <c r="D335" s="19">
        <f>IF($A335="","",Master_Data!Q335)</f>
        <v/>
      </c>
      <c r="E335" s="19">
        <f>IF($A335="","",Master_Data!Q336)</f>
        <v/>
      </c>
      <c r="F335" s="19">
        <f>IF($A335="","",IF(AND(D335="GAS",E335="OIL"),"GOC",IF(AND(D335="OIL",E335="WATER"),"OWC",IF(AND(D335="GAS",E335="WATER"),"GWC",IF(AND(D335="OIL",E335="OIL_WATER"),"OWC_TRANSITION",IF(AND(D335="OIL_WATER",E335="WATER"),"OWC_TRANSITION",IF(AND(D335="GAS",E335="GAS_WATER"),"GOC_TRANSITION",IF(AND(D335="GAS_WATER",E335="OIL"),"GOC_TRANSITION",IF(OR(D335="OIL_WATER",D335="GAS_WATER"),"TRANSITION_INTERVAL","")))))))))</f>
        <v/>
      </c>
      <c r="G335" s="20">
        <f>IF(OR(F335="",Master_Data!R335="",Master_Data!S335=""),"",IF(RIGHT(F335,10)="TRANSITION",AVERAGE(Master_Data!R335:Master_Data!S335),AVERAGE(Master_Data!S335,Master_Data!R336)))</f>
        <v/>
      </c>
      <c r="H335" s="20">
        <f>IF(G335="","",MAX(Settings!$B$4,Settings!$B$5*AVERAGE(IF(Master_Data!O335&lt;&gt;"",Master_Data!O335,Master_Data!H335),IF(Master_Data!O336&lt;&gt;"",Master_Data!O336,Master_Data!H336))))</f>
        <v/>
      </c>
      <c r="I335" s="20">
        <f>IF(G335="","",G335-H335)</f>
        <v/>
      </c>
      <c r="J335" s="20">
        <f>IF(G335="","",G335+H335)</f>
        <v/>
      </c>
      <c r="K335" s="20">
        <f>IF($A335="","",Master_Data!G335)</f>
        <v/>
      </c>
      <c r="L335" s="20">
        <f>IF($A335="","",Master_Data!G336)</f>
        <v/>
      </c>
      <c r="M335" s="20">
        <f>IF(AND(ISNUMBER(K335),ISNUMBER(L335)),L335-K335,"")</f>
        <v/>
      </c>
      <c r="N335" s="19">
        <f>IF(G335="","",IF(AND(ISNUMBER(K335),ISNUMBER(L335)),IF(OR(F335="GOC",F335="OWC",F335="GWC",F335="OWC_TRANSITION",F335="GOC_TRANSITION"),IF(L335&gt;=K335,"Supports","Conflicts"),"N/A"),"No Sw"))</f>
        <v/>
      </c>
      <c r="O335" s="20">
        <f>IF(G335="","",Settings!$B$6*IF(OR(F335="GOC",F335="OWC",F335="GWC"),1,0.7)+Settings!$B$7*IF(N335="Supports",1,IF(N335="Conflicts",0,0.5))+Settings!$B$8*IF(AND(Master_Data!R335&lt;&gt;"",Master_Data!S335&lt;&gt;"",Master_Data!R336&lt;&gt;"",Master_Data!S336&lt;&gt;""),1,0.5))</f>
        <v/>
      </c>
      <c r="P335" s="19">
        <f>IF(G335="","",IF(N335="Conflicts","SW_CONFLICT",IF(OR(F335="GOC",F335="OWC",F335="GWC"),"DIRECT_FLUID_TRANSITION","TRANSITION_INTERVAL")))</f>
        <v/>
      </c>
      <c r="Q335" s="19">
        <f>IF(G335="","",IF(N335="Conflicts","Investigate contact interpretation / saturation behaviour",IF(OR(F335="OWC",F335="GOC",F335="GWC"),"Candidate contact — validate with logs, pressure and dynamic evidence","Transition zone — do not force to a sharp contact")))</f>
        <v/>
      </c>
    </row>
    <row r="336">
      <c r="A336" s="19">
        <f>IF(AND(Master_Data!A336&lt;&gt;"",Master_Data!A336=Master_Data!A337),Master_Data!A336,"")</f>
        <v/>
      </c>
      <c r="B336" s="19">
        <f>IF($A336="","",Master_Data!B336)</f>
        <v/>
      </c>
      <c r="C336" s="19">
        <f>IF($A336="","",Master_Data!B337)</f>
        <v/>
      </c>
      <c r="D336" s="19">
        <f>IF($A336="","",Master_Data!Q336)</f>
        <v/>
      </c>
      <c r="E336" s="19">
        <f>IF($A336="","",Master_Data!Q337)</f>
        <v/>
      </c>
      <c r="F336" s="19">
        <f>IF($A336="","",IF(AND(D336="GAS",E336="OIL"),"GOC",IF(AND(D336="OIL",E336="WATER"),"OWC",IF(AND(D336="GAS",E336="WATER"),"GWC",IF(AND(D336="OIL",E336="OIL_WATER"),"OWC_TRANSITION",IF(AND(D336="OIL_WATER",E336="WATER"),"OWC_TRANSITION",IF(AND(D336="GAS",E336="GAS_WATER"),"GOC_TRANSITION",IF(AND(D336="GAS_WATER",E336="OIL"),"GOC_TRANSITION",IF(OR(D336="OIL_WATER",D336="GAS_WATER"),"TRANSITION_INTERVAL","")))))))))</f>
        <v/>
      </c>
      <c r="G336" s="20">
        <f>IF(OR(F336="",Master_Data!R336="",Master_Data!S336=""),"",IF(RIGHT(F336,10)="TRANSITION",AVERAGE(Master_Data!R336:Master_Data!S336),AVERAGE(Master_Data!S336,Master_Data!R337)))</f>
        <v/>
      </c>
      <c r="H336" s="20">
        <f>IF(G336="","",MAX(Settings!$B$4,Settings!$B$5*AVERAGE(IF(Master_Data!O336&lt;&gt;"",Master_Data!O336,Master_Data!H336),IF(Master_Data!O337&lt;&gt;"",Master_Data!O337,Master_Data!H337))))</f>
        <v/>
      </c>
      <c r="I336" s="20">
        <f>IF(G336="","",G336-H336)</f>
        <v/>
      </c>
      <c r="J336" s="20">
        <f>IF(G336="","",G336+H336)</f>
        <v/>
      </c>
      <c r="K336" s="20">
        <f>IF($A336="","",Master_Data!G336)</f>
        <v/>
      </c>
      <c r="L336" s="20">
        <f>IF($A336="","",Master_Data!G337)</f>
        <v/>
      </c>
      <c r="M336" s="20">
        <f>IF(AND(ISNUMBER(K336),ISNUMBER(L336)),L336-K336,"")</f>
        <v/>
      </c>
      <c r="N336" s="19">
        <f>IF(G336="","",IF(AND(ISNUMBER(K336),ISNUMBER(L336)),IF(OR(F336="GOC",F336="OWC",F336="GWC",F336="OWC_TRANSITION",F336="GOC_TRANSITION"),IF(L336&gt;=K336,"Supports","Conflicts"),"N/A"),"No Sw"))</f>
        <v/>
      </c>
      <c r="O336" s="20">
        <f>IF(G336="","",Settings!$B$6*IF(OR(F336="GOC",F336="OWC",F336="GWC"),1,0.7)+Settings!$B$7*IF(N336="Supports",1,IF(N336="Conflicts",0,0.5))+Settings!$B$8*IF(AND(Master_Data!R336&lt;&gt;"",Master_Data!S336&lt;&gt;"",Master_Data!R337&lt;&gt;"",Master_Data!S337&lt;&gt;""),1,0.5))</f>
        <v/>
      </c>
      <c r="P336" s="19">
        <f>IF(G336="","",IF(N336="Conflicts","SW_CONFLICT",IF(OR(F336="GOC",F336="OWC",F336="GWC"),"DIRECT_FLUID_TRANSITION","TRANSITION_INTERVAL")))</f>
        <v/>
      </c>
      <c r="Q336" s="19">
        <f>IF(G336="","",IF(N336="Conflicts","Investigate contact interpretation / saturation behaviour",IF(OR(F336="OWC",F336="GOC",F336="GWC"),"Candidate contact — validate with logs, pressure and dynamic evidence","Transition zone — do not force to a sharp contact")))</f>
        <v/>
      </c>
    </row>
    <row r="337">
      <c r="A337" s="19">
        <f>IF(AND(Master_Data!A337&lt;&gt;"",Master_Data!A337=Master_Data!A338),Master_Data!A337,"")</f>
        <v/>
      </c>
      <c r="B337" s="19">
        <f>IF($A337="","",Master_Data!B337)</f>
        <v/>
      </c>
      <c r="C337" s="19">
        <f>IF($A337="","",Master_Data!B338)</f>
        <v/>
      </c>
      <c r="D337" s="19">
        <f>IF($A337="","",Master_Data!Q337)</f>
        <v/>
      </c>
      <c r="E337" s="19">
        <f>IF($A337="","",Master_Data!Q338)</f>
        <v/>
      </c>
      <c r="F337" s="19">
        <f>IF($A337="","",IF(AND(D337="GAS",E337="OIL"),"GOC",IF(AND(D337="OIL",E337="WATER"),"OWC",IF(AND(D337="GAS",E337="WATER"),"GWC",IF(AND(D337="OIL",E337="OIL_WATER"),"OWC_TRANSITION",IF(AND(D337="OIL_WATER",E337="WATER"),"OWC_TRANSITION",IF(AND(D337="GAS",E337="GAS_WATER"),"GOC_TRANSITION",IF(AND(D337="GAS_WATER",E337="OIL"),"GOC_TRANSITION",IF(OR(D337="OIL_WATER",D337="GAS_WATER"),"TRANSITION_INTERVAL","")))))))))</f>
        <v/>
      </c>
      <c r="G337" s="20">
        <f>IF(OR(F337="",Master_Data!R337="",Master_Data!S337=""),"",IF(RIGHT(F337,10)="TRANSITION",AVERAGE(Master_Data!R337:Master_Data!S337),AVERAGE(Master_Data!S337,Master_Data!R338)))</f>
        <v/>
      </c>
      <c r="H337" s="20">
        <f>IF(G337="","",MAX(Settings!$B$4,Settings!$B$5*AVERAGE(IF(Master_Data!O337&lt;&gt;"",Master_Data!O337,Master_Data!H337),IF(Master_Data!O338&lt;&gt;"",Master_Data!O338,Master_Data!H338))))</f>
        <v/>
      </c>
      <c r="I337" s="20">
        <f>IF(G337="","",G337-H337)</f>
        <v/>
      </c>
      <c r="J337" s="20">
        <f>IF(G337="","",G337+H337)</f>
        <v/>
      </c>
      <c r="K337" s="20">
        <f>IF($A337="","",Master_Data!G337)</f>
        <v/>
      </c>
      <c r="L337" s="20">
        <f>IF($A337="","",Master_Data!G338)</f>
        <v/>
      </c>
      <c r="M337" s="20">
        <f>IF(AND(ISNUMBER(K337),ISNUMBER(L337)),L337-K337,"")</f>
        <v/>
      </c>
      <c r="N337" s="19">
        <f>IF(G337="","",IF(AND(ISNUMBER(K337),ISNUMBER(L337)),IF(OR(F337="GOC",F337="OWC",F337="GWC",F337="OWC_TRANSITION",F337="GOC_TRANSITION"),IF(L337&gt;=K337,"Supports","Conflicts"),"N/A"),"No Sw"))</f>
        <v/>
      </c>
      <c r="O337" s="20">
        <f>IF(G337="","",Settings!$B$6*IF(OR(F337="GOC",F337="OWC",F337="GWC"),1,0.7)+Settings!$B$7*IF(N337="Supports",1,IF(N337="Conflicts",0,0.5))+Settings!$B$8*IF(AND(Master_Data!R337&lt;&gt;"",Master_Data!S337&lt;&gt;"",Master_Data!R338&lt;&gt;"",Master_Data!S338&lt;&gt;""),1,0.5))</f>
        <v/>
      </c>
      <c r="P337" s="19">
        <f>IF(G337="","",IF(N337="Conflicts","SW_CONFLICT",IF(OR(F337="GOC",F337="OWC",F337="GWC"),"DIRECT_FLUID_TRANSITION","TRANSITION_INTERVAL")))</f>
        <v/>
      </c>
      <c r="Q337" s="19">
        <f>IF(G337="","",IF(N337="Conflicts","Investigate contact interpretation / saturation behaviour",IF(OR(F337="OWC",F337="GOC",F337="GWC"),"Candidate contact — validate with logs, pressure and dynamic evidence","Transition zone — do not force to a sharp contact")))</f>
        <v/>
      </c>
    </row>
    <row r="338">
      <c r="A338" s="19">
        <f>IF(AND(Master_Data!A338&lt;&gt;"",Master_Data!A338=Master_Data!A339),Master_Data!A338,"")</f>
        <v/>
      </c>
      <c r="B338" s="19">
        <f>IF($A338="","",Master_Data!B338)</f>
        <v/>
      </c>
      <c r="C338" s="19">
        <f>IF($A338="","",Master_Data!B339)</f>
        <v/>
      </c>
      <c r="D338" s="19">
        <f>IF($A338="","",Master_Data!Q338)</f>
        <v/>
      </c>
      <c r="E338" s="19">
        <f>IF($A338="","",Master_Data!Q339)</f>
        <v/>
      </c>
      <c r="F338" s="19">
        <f>IF($A338="","",IF(AND(D338="GAS",E338="OIL"),"GOC",IF(AND(D338="OIL",E338="WATER"),"OWC",IF(AND(D338="GAS",E338="WATER"),"GWC",IF(AND(D338="OIL",E338="OIL_WATER"),"OWC_TRANSITION",IF(AND(D338="OIL_WATER",E338="WATER"),"OWC_TRANSITION",IF(AND(D338="GAS",E338="GAS_WATER"),"GOC_TRANSITION",IF(AND(D338="GAS_WATER",E338="OIL"),"GOC_TRANSITION",IF(OR(D338="OIL_WATER",D338="GAS_WATER"),"TRANSITION_INTERVAL","")))))))))</f>
        <v/>
      </c>
      <c r="G338" s="20">
        <f>IF(OR(F338="",Master_Data!R338="",Master_Data!S338=""),"",IF(RIGHT(F338,10)="TRANSITION",AVERAGE(Master_Data!R338:Master_Data!S338),AVERAGE(Master_Data!S338,Master_Data!R339)))</f>
        <v/>
      </c>
      <c r="H338" s="20">
        <f>IF(G338="","",MAX(Settings!$B$4,Settings!$B$5*AVERAGE(IF(Master_Data!O338&lt;&gt;"",Master_Data!O338,Master_Data!H338),IF(Master_Data!O339&lt;&gt;"",Master_Data!O339,Master_Data!H339))))</f>
        <v/>
      </c>
      <c r="I338" s="20">
        <f>IF(G338="","",G338-H338)</f>
        <v/>
      </c>
      <c r="J338" s="20">
        <f>IF(G338="","",G338+H338)</f>
        <v/>
      </c>
      <c r="K338" s="20">
        <f>IF($A338="","",Master_Data!G338)</f>
        <v/>
      </c>
      <c r="L338" s="20">
        <f>IF($A338="","",Master_Data!G339)</f>
        <v/>
      </c>
      <c r="M338" s="20">
        <f>IF(AND(ISNUMBER(K338),ISNUMBER(L338)),L338-K338,"")</f>
        <v/>
      </c>
      <c r="N338" s="19">
        <f>IF(G338="","",IF(AND(ISNUMBER(K338),ISNUMBER(L338)),IF(OR(F338="GOC",F338="OWC",F338="GWC",F338="OWC_TRANSITION",F338="GOC_TRANSITION"),IF(L338&gt;=K338,"Supports","Conflicts"),"N/A"),"No Sw"))</f>
        <v/>
      </c>
      <c r="O338" s="20">
        <f>IF(G338="","",Settings!$B$6*IF(OR(F338="GOC",F338="OWC",F338="GWC"),1,0.7)+Settings!$B$7*IF(N338="Supports",1,IF(N338="Conflicts",0,0.5))+Settings!$B$8*IF(AND(Master_Data!R338&lt;&gt;"",Master_Data!S338&lt;&gt;"",Master_Data!R339&lt;&gt;"",Master_Data!S339&lt;&gt;""),1,0.5))</f>
        <v/>
      </c>
      <c r="P338" s="19">
        <f>IF(G338="","",IF(N338="Conflicts","SW_CONFLICT",IF(OR(F338="GOC",F338="OWC",F338="GWC"),"DIRECT_FLUID_TRANSITION","TRANSITION_INTERVAL")))</f>
        <v/>
      </c>
      <c r="Q338" s="19">
        <f>IF(G338="","",IF(N338="Conflicts","Investigate contact interpretation / saturation behaviour",IF(OR(F338="OWC",F338="GOC",F338="GWC"),"Candidate contact — validate with logs, pressure and dynamic evidence","Transition zone — do not force to a sharp contact")))</f>
        <v/>
      </c>
    </row>
    <row r="339">
      <c r="A339" s="19">
        <f>IF(AND(Master_Data!A339&lt;&gt;"",Master_Data!A339=Master_Data!A340),Master_Data!A339,"")</f>
        <v/>
      </c>
      <c r="B339" s="19">
        <f>IF($A339="","",Master_Data!B339)</f>
        <v/>
      </c>
      <c r="C339" s="19">
        <f>IF($A339="","",Master_Data!B340)</f>
        <v/>
      </c>
      <c r="D339" s="19">
        <f>IF($A339="","",Master_Data!Q339)</f>
        <v/>
      </c>
      <c r="E339" s="19">
        <f>IF($A339="","",Master_Data!Q340)</f>
        <v/>
      </c>
      <c r="F339" s="19">
        <f>IF($A339="","",IF(AND(D339="GAS",E339="OIL"),"GOC",IF(AND(D339="OIL",E339="WATER"),"OWC",IF(AND(D339="GAS",E339="WATER"),"GWC",IF(AND(D339="OIL",E339="OIL_WATER"),"OWC_TRANSITION",IF(AND(D339="OIL_WATER",E339="WATER"),"OWC_TRANSITION",IF(AND(D339="GAS",E339="GAS_WATER"),"GOC_TRANSITION",IF(AND(D339="GAS_WATER",E339="OIL"),"GOC_TRANSITION",IF(OR(D339="OIL_WATER",D339="GAS_WATER"),"TRANSITION_INTERVAL","")))))))))</f>
        <v/>
      </c>
      <c r="G339" s="20">
        <f>IF(OR(F339="",Master_Data!R339="",Master_Data!S339=""),"",IF(RIGHT(F339,10)="TRANSITION",AVERAGE(Master_Data!R339:Master_Data!S339),AVERAGE(Master_Data!S339,Master_Data!R340)))</f>
        <v/>
      </c>
      <c r="H339" s="20">
        <f>IF(G339="","",MAX(Settings!$B$4,Settings!$B$5*AVERAGE(IF(Master_Data!O339&lt;&gt;"",Master_Data!O339,Master_Data!H339),IF(Master_Data!O340&lt;&gt;"",Master_Data!O340,Master_Data!H340))))</f>
        <v/>
      </c>
      <c r="I339" s="20">
        <f>IF(G339="","",G339-H339)</f>
        <v/>
      </c>
      <c r="J339" s="20">
        <f>IF(G339="","",G339+H339)</f>
        <v/>
      </c>
      <c r="K339" s="20">
        <f>IF($A339="","",Master_Data!G339)</f>
        <v/>
      </c>
      <c r="L339" s="20">
        <f>IF($A339="","",Master_Data!G340)</f>
        <v/>
      </c>
      <c r="M339" s="20">
        <f>IF(AND(ISNUMBER(K339),ISNUMBER(L339)),L339-K339,"")</f>
        <v/>
      </c>
      <c r="N339" s="19">
        <f>IF(G339="","",IF(AND(ISNUMBER(K339),ISNUMBER(L339)),IF(OR(F339="GOC",F339="OWC",F339="GWC",F339="OWC_TRANSITION",F339="GOC_TRANSITION"),IF(L339&gt;=K339,"Supports","Conflicts"),"N/A"),"No Sw"))</f>
        <v/>
      </c>
      <c r="O339" s="20">
        <f>IF(G339="","",Settings!$B$6*IF(OR(F339="GOC",F339="OWC",F339="GWC"),1,0.7)+Settings!$B$7*IF(N339="Supports",1,IF(N339="Conflicts",0,0.5))+Settings!$B$8*IF(AND(Master_Data!R339&lt;&gt;"",Master_Data!S339&lt;&gt;"",Master_Data!R340&lt;&gt;"",Master_Data!S340&lt;&gt;""),1,0.5))</f>
        <v/>
      </c>
      <c r="P339" s="19">
        <f>IF(G339="","",IF(N339="Conflicts","SW_CONFLICT",IF(OR(F339="GOC",F339="OWC",F339="GWC"),"DIRECT_FLUID_TRANSITION","TRANSITION_INTERVAL")))</f>
        <v/>
      </c>
      <c r="Q339" s="19">
        <f>IF(G339="","",IF(N339="Conflicts","Investigate contact interpretation / saturation behaviour",IF(OR(F339="OWC",F339="GOC",F339="GWC"),"Candidate contact — validate with logs, pressure and dynamic evidence","Transition zone — do not force to a sharp contact")))</f>
        <v/>
      </c>
    </row>
    <row r="340">
      <c r="A340" s="19">
        <f>IF(AND(Master_Data!A340&lt;&gt;"",Master_Data!A340=Master_Data!A341),Master_Data!A340,"")</f>
        <v/>
      </c>
      <c r="B340" s="19">
        <f>IF($A340="","",Master_Data!B340)</f>
        <v/>
      </c>
      <c r="C340" s="19">
        <f>IF($A340="","",Master_Data!B341)</f>
        <v/>
      </c>
      <c r="D340" s="19">
        <f>IF($A340="","",Master_Data!Q340)</f>
        <v/>
      </c>
      <c r="E340" s="19">
        <f>IF($A340="","",Master_Data!Q341)</f>
        <v/>
      </c>
      <c r="F340" s="19">
        <f>IF($A340="","",IF(AND(D340="GAS",E340="OIL"),"GOC",IF(AND(D340="OIL",E340="WATER"),"OWC",IF(AND(D340="GAS",E340="WATER"),"GWC",IF(AND(D340="OIL",E340="OIL_WATER"),"OWC_TRANSITION",IF(AND(D340="OIL_WATER",E340="WATER"),"OWC_TRANSITION",IF(AND(D340="GAS",E340="GAS_WATER"),"GOC_TRANSITION",IF(AND(D340="GAS_WATER",E340="OIL"),"GOC_TRANSITION",IF(OR(D340="OIL_WATER",D340="GAS_WATER"),"TRANSITION_INTERVAL","")))))))))</f>
        <v/>
      </c>
      <c r="G340" s="20">
        <f>IF(OR(F340="",Master_Data!R340="",Master_Data!S340=""),"",IF(RIGHT(F340,10)="TRANSITION",AVERAGE(Master_Data!R340:Master_Data!S340),AVERAGE(Master_Data!S340,Master_Data!R341)))</f>
        <v/>
      </c>
      <c r="H340" s="20">
        <f>IF(G340="","",MAX(Settings!$B$4,Settings!$B$5*AVERAGE(IF(Master_Data!O340&lt;&gt;"",Master_Data!O340,Master_Data!H340),IF(Master_Data!O341&lt;&gt;"",Master_Data!O341,Master_Data!H341))))</f>
        <v/>
      </c>
      <c r="I340" s="20">
        <f>IF(G340="","",G340-H340)</f>
        <v/>
      </c>
      <c r="J340" s="20">
        <f>IF(G340="","",G340+H340)</f>
        <v/>
      </c>
      <c r="K340" s="20">
        <f>IF($A340="","",Master_Data!G340)</f>
        <v/>
      </c>
      <c r="L340" s="20">
        <f>IF($A340="","",Master_Data!G341)</f>
        <v/>
      </c>
      <c r="M340" s="20">
        <f>IF(AND(ISNUMBER(K340),ISNUMBER(L340)),L340-K340,"")</f>
        <v/>
      </c>
      <c r="N340" s="19">
        <f>IF(G340="","",IF(AND(ISNUMBER(K340),ISNUMBER(L340)),IF(OR(F340="GOC",F340="OWC",F340="GWC",F340="OWC_TRANSITION",F340="GOC_TRANSITION"),IF(L340&gt;=K340,"Supports","Conflicts"),"N/A"),"No Sw"))</f>
        <v/>
      </c>
      <c r="O340" s="20">
        <f>IF(G340="","",Settings!$B$6*IF(OR(F340="GOC",F340="OWC",F340="GWC"),1,0.7)+Settings!$B$7*IF(N340="Supports",1,IF(N340="Conflicts",0,0.5))+Settings!$B$8*IF(AND(Master_Data!R340&lt;&gt;"",Master_Data!S340&lt;&gt;"",Master_Data!R341&lt;&gt;"",Master_Data!S341&lt;&gt;""),1,0.5))</f>
        <v/>
      </c>
      <c r="P340" s="19">
        <f>IF(G340="","",IF(N340="Conflicts","SW_CONFLICT",IF(OR(F340="GOC",F340="OWC",F340="GWC"),"DIRECT_FLUID_TRANSITION","TRANSITION_INTERVAL")))</f>
        <v/>
      </c>
      <c r="Q340" s="19">
        <f>IF(G340="","",IF(N340="Conflicts","Investigate contact interpretation / saturation behaviour",IF(OR(F340="OWC",F340="GOC",F340="GWC"),"Candidate contact — validate with logs, pressure and dynamic evidence","Transition zone — do not force to a sharp contact")))</f>
        <v/>
      </c>
    </row>
    <row r="341">
      <c r="A341" s="19">
        <f>IF(AND(Master_Data!A341&lt;&gt;"",Master_Data!A341=Master_Data!A342),Master_Data!A341,"")</f>
        <v/>
      </c>
      <c r="B341" s="19">
        <f>IF($A341="","",Master_Data!B341)</f>
        <v/>
      </c>
      <c r="C341" s="19">
        <f>IF($A341="","",Master_Data!B342)</f>
        <v/>
      </c>
      <c r="D341" s="19">
        <f>IF($A341="","",Master_Data!Q341)</f>
        <v/>
      </c>
      <c r="E341" s="19">
        <f>IF($A341="","",Master_Data!Q342)</f>
        <v/>
      </c>
      <c r="F341" s="19">
        <f>IF($A341="","",IF(AND(D341="GAS",E341="OIL"),"GOC",IF(AND(D341="OIL",E341="WATER"),"OWC",IF(AND(D341="GAS",E341="WATER"),"GWC",IF(AND(D341="OIL",E341="OIL_WATER"),"OWC_TRANSITION",IF(AND(D341="OIL_WATER",E341="WATER"),"OWC_TRANSITION",IF(AND(D341="GAS",E341="GAS_WATER"),"GOC_TRANSITION",IF(AND(D341="GAS_WATER",E341="OIL"),"GOC_TRANSITION",IF(OR(D341="OIL_WATER",D341="GAS_WATER"),"TRANSITION_INTERVAL","")))))))))</f>
        <v/>
      </c>
      <c r="G341" s="20">
        <f>IF(OR(F341="",Master_Data!R341="",Master_Data!S341=""),"",IF(RIGHT(F341,10)="TRANSITION",AVERAGE(Master_Data!R341:Master_Data!S341),AVERAGE(Master_Data!S341,Master_Data!R342)))</f>
        <v/>
      </c>
      <c r="H341" s="20">
        <f>IF(G341="","",MAX(Settings!$B$4,Settings!$B$5*AVERAGE(IF(Master_Data!O341&lt;&gt;"",Master_Data!O341,Master_Data!H341),IF(Master_Data!O342&lt;&gt;"",Master_Data!O342,Master_Data!H342))))</f>
        <v/>
      </c>
      <c r="I341" s="20">
        <f>IF(G341="","",G341-H341)</f>
        <v/>
      </c>
      <c r="J341" s="20">
        <f>IF(G341="","",G341+H341)</f>
        <v/>
      </c>
      <c r="K341" s="20">
        <f>IF($A341="","",Master_Data!G341)</f>
        <v/>
      </c>
      <c r="L341" s="20">
        <f>IF($A341="","",Master_Data!G342)</f>
        <v/>
      </c>
      <c r="M341" s="20">
        <f>IF(AND(ISNUMBER(K341),ISNUMBER(L341)),L341-K341,"")</f>
        <v/>
      </c>
      <c r="N341" s="19">
        <f>IF(G341="","",IF(AND(ISNUMBER(K341),ISNUMBER(L341)),IF(OR(F341="GOC",F341="OWC",F341="GWC",F341="OWC_TRANSITION",F341="GOC_TRANSITION"),IF(L341&gt;=K341,"Supports","Conflicts"),"N/A"),"No Sw"))</f>
        <v/>
      </c>
      <c r="O341" s="20">
        <f>IF(G341="","",Settings!$B$6*IF(OR(F341="GOC",F341="OWC",F341="GWC"),1,0.7)+Settings!$B$7*IF(N341="Supports",1,IF(N341="Conflicts",0,0.5))+Settings!$B$8*IF(AND(Master_Data!R341&lt;&gt;"",Master_Data!S341&lt;&gt;"",Master_Data!R342&lt;&gt;"",Master_Data!S342&lt;&gt;""),1,0.5))</f>
        <v/>
      </c>
      <c r="P341" s="19">
        <f>IF(G341="","",IF(N341="Conflicts","SW_CONFLICT",IF(OR(F341="GOC",F341="OWC",F341="GWC"),"DIRECT_FLUID_TRANSITION","TRANSITION_INTERVAL")))</f>
        <v/>
      </c>
      <c r="Q341" s="19">
        <f>IF(G341="","",IF(N341="Conflicts","Investigate contact interpretation / saturation behaviour",IF(OR(F341="OWC",F341="GOC",F341="GWC"),"Candidate contact — validate with logs, pressure and dynamic evidence","Transition zone — do not force to a sharp contact")))</f>
        <v/>
      </c>
    </row>
    <row r="342">
      <c r="A342" s="19">
        <f>IF(AND(Master_Data!A342&lt;&gt;"",Master_Data!A342=Master_Data!A343),Master_Data!A342,"")</f>
        <v/>
      </c>
      <c r="B342" s="19">
        <f>IF($A342="","",Master_Data!B342)</f>
        <v/>
      </c>
      <c r="C342" s="19">
        <f>IF($A342="","",Master_Data!B343)</f>
        <v/>
      </c>
      <c r="D342" s="19">
        <f>IF($A342="","",Master_Data!Q342)</f>
        <v/>
      </c>
      <c r="E342" s="19">
        <f>IF($A342="","",Master_Data!Q343)</f>
        <v/>
      </c>
      <c r="F342" s="19">
        <f>IF($A342="","",IF(AND(D342="GAS",E342="OIL"),"GOC",IF(AND(D342="OIL",E342="WATER"),"OWC",IF(AND(D342="GAS",E342="WATER"),"GWC",IF(AND(D342="OIL",E342="OIL_WATER"),"OWC_TRANSITION",IF(AND(D342="OIL_WATER",E342="WATER"),"OWC_TRANSITION",IF(AND(D342="GAS",E342="GAS_WATER"),"GOC_TRANSITION",IF(AND(D342="GAS_WATER",E342="OIL"),"GOC_TRANSITION",IF(OR(D342="OIL_WATER",D342="GAS_WATER"),"TRANSITION_INTERVAL","")))))))))</f>
        <v/>
      </c>
      <c r="G342" s="20">
        <f>IF(OR(F342="",Master_Data!R342="",Master_Data!S342=""),"",IF(RIGHT(F342,10)="TRANSITION",AVERAGE(Master_Data!R342:Master_Data!S342),AVERAGE(Master_Data!S342,Master_Data!R343)))</f>
        <v/>
      </c>
      <c r="H342" s="20">
        <f>IF(G342="","",MAX(Settings!$B$4,Settings!$B$5*AVERAGE(IF(Master_Data!O342&lt;&gt;"",Master_Data!O342,Master_Data!H342),IF(Master_Data!O343&lt;&gt;"",Master_Data!O343,Master_Data!H343))))</f>
        <v/>
      </c>
      <c r="I342" s="20">
        <f>IF(G342="","",G342-H342)</f>
        <v/>
      </c>
      <c r="J342" s="20">
        <f>IF(G342="","",G342+H342)</f>
        <v/>
      </c>
      <c r="K342" s="20">
        <f>IF($A342="","",Master_Data!G342)</f>
        <v/>
      </c>
      <c r="L342" s="20">
        <f>IF($A342="","",Master_Data!G343)</f>
        <v/>
      </c>
      <c r="M342" s="20">
        <f>IF(AND(ISNUMBER(K342),ISNUMBER(L342)),L342-K342,"")</f>
        <v/>
      </c>
      <c r="N342" s="19">
        <f>IF(G342="","",IF(AND(ISNUMBER(K342),ISNUMBER(L342)),IF(OR(F342="GOC",F342="OWC",F342="GWC",F342="OWC_TRANSITION",F342="GOC_TRANSITION"),IF(L342&gt;=K342,"Supports","Conflicts"),"N/A"),"No Sw"))</f>
        <v/>
      </c>
      <c r="O342" s="20">
        <f>IF(G342="","",Settings!$B$6*IF(OR(F342="GOC",F342="OWC",F342="GWC"),1,0.7)+Settings!$B$7*IF(N342="Supports",1,IF(N342="Conflicts",0,0.5))+Settings!$B$8*IF(AND(Master_Data!R342&lt;&gt;"",Master_Data!S342&lt;&gt;"",Master_Data!R343&lt;&gt;"",Master_Data!S343&lt;&gt;""),1,0.5))</f>
        <v/>
      </c>
      <c r="P342" s="19">
        <f>IF(G342="","",IF(N342="Conflicts","SW_CONFLICT",IF(OR(F342="GOC",F342="OWC",F342="GWC"),"DIRECT_FLUID_TRANSITION","TRANSITION_INTERVAL")))</f>
        <v/>
      </c>
      <c r="Q342" s="19">
        <f>IF(G342="","",IF(N342="Conflicts","Investigate contact interpretation / saturation behaviour",IF(OR(F342="OWC",F342="GOC",F342="GWC"),"Candidate contact — validate with logs, pressure and dynamic evidence","Transition zone — do not force to a sharp contact")))</f>
        <v/>
      </c>
    </row>
    <row r="343">
      <c r="A343" s="19">
        <f>IF(AND(Master_Data!A343&lt;&gt;"",Master_Data!A343=Master_Data!A344),Master_Data!A343,"")</f>
        <v/>
      </c>
      <c r="B343" s="19">
        <f>IF($A343="","",Master_Data!B343)</f>
        <v/>
      </c>
      <c r="C343" s="19">
        <f>IF($A343="","",Master_Data!B344)</f>
        <v/>
      </c>
      <c r="D343" s="19">
        <f>IF($A343="","",Master_Data!Q343)</f>
        <v/>
      </c>
      <c r="E343" s="19">
        <f>IF($A343="","",Master_Data!Q344)</f>
        <v/>
      </c>
      <c r="F343" s="19">
        <f>IF($A343="","",IF(AND(D343="GAS",E343="OIL"),"GOC",IF(AND(D343="OIL",E343="WATER"),"OWC",IF(AND(D343="GAS",E343="WATER"),"GWC",IF(AND(D343="OIL",E343="OIL_WATER"),"OWC_TRANSITION",IF(AND(D343="OIL_WATER",E343="WATER"),"OWC_TRANSITION",IF(AND(D343="GAS",E343="GAS_WATER"),"GOC_TRANSITION",IF(AND(D343="GAS_WATER",E343="OIL"),"GOC_TRANSITION",IF(OR(D343="OIL_WATER",D343="GAS_WATER"),"TRANSITION_INTERVAL","")))))))))</f>
        <v/>
      </c>
      <c r="G343" s="20">
        <f>IF(OR(F343="",Master_Data!R343="",Master_Data!S343=""),"",IF(RIGHT(F343,10)="TRANSITION",AVERAGE(Master_Data!R343:Master_Data!S343),AVERAGE(Master_Data!S343,Master_Data!R344)))</f>
        <v/>
      </c>
      <c r="H343" s="20">
        <f>IF(G343="","",MAX(Settings!$B$4,Settings!$B$5*AVERAGE(IF(Master_Data!O343&lt;&gt;"",Master_Data!O343,Master_Data!H343),IF(Master_Data!O344&lt;&gt;"",Master_Data!O344,Master_Data!H344))))</f>
        <v/>
      </c>
      <c r="I343" s="20">
        <f>IF(G343="","",G343-H343)</f>
        <v/>
      </c>
      <c r="J343" s="20">
        <f>IF(G343="","",G343+H343)</f>
        <v/>
      </c>
      <c r="K343" s="20">
        <f>IF($A343="","",Master_Data!G343)</f>
        <v/>
      </c>
      <c r="L343" s="20">
        <f>IF($A343="","",Master_Data!G344)</f>
        <v/>
      </c>
      <c r="M343" s="20">
        <f>IF(AND(ISNUMBER(K343),ISNUMBER(L343)),L343-K343,"")</f>
        <v/>
      </c>
      <c r="N343" s="19">
        <f>IF(G343="","",IF(AND(ISNUMBER(K343),ISNUMBER(L343)),IF(OR(F343="GOC",F343="OWC",F343="GWC",F343="OWC_TRANSITION",F343="GOC_TRANSITION"),IF(L343&gt;=K343,"Supports","Conflicts"),"N/A"),"No Sw"))</f>
        <v/>
      </c>
      <c r="O343" s="20">
        <f>IF(G343="","",Settings!$B$6*IF(OR(F343="GOC",F343="OWC",F343="GWC"),1,0.7)+Settings!$B$7*IF(N343="Supports",1,IF(N343="Conflicts",0,0.5))+Settings!$B$8*IF(AND(Master_Data!R343&lt;&gt;"",Master_Data!S343&lt;&gt;"",Master_Data!R344&lt;&gt;"",Master_Data!S344&lt;&gt;""),1,0.5))</f>
        <v/>
      </c>
      <c r="P343" s="19">
        <f>IF(G343="","",IF(N343="Conflicts","SW_CONFLICT",IF(OR(F343="GOC",F343="OWC",F343="GWC"),"DIRECT_FLUID_TRANSITION","TRANSITION_INTERVAL")))</f>
        <v/>
      </c>
      <c r="Q343" s="19">
        <f>IF(G343="","",IF(N343="Conflicts","Investigate contact interpretation / saturation behaviour",IF(OR(F343="OWC",F343="GOC",F343="GWC"),"Candidate contact — validate with logs, pressure and dynamic evidence","Transition zone — do not force to a sharp contact")))</f>
        <v/>
      </c>
    </row>
    <row r="344">
      <c r="A344" s="19">
        <f>IF(AND(Master_Data!A344&lt;&gt;"",Master_Data!A344=Master_Data!A345),Master_Data!A344,"")</f>
        <v/>
      </c>
      <c r="B344" s="19">
        <f>IF($A344="","",Master_Data!B344)</f>
        <v/>
      </c>
      <c r="C344" s="19">
        <f>IF($A344="","",Master_Data!B345)</f>
        <v/>
      </c>
      <c r="D344" s="19">
        <f>IF($A344="","",Master_Data!Q344)</f>
        <v/>
      </c>
      <c r="E344" s="19">
        <f>IF($A344="","",Master_Data!Q345)</f>
        <v/>
      </c>
      <c r="F344" s="19">
        <f>IF($A344="","",IF(AND(D344="GAS",E344="OIL"),"GOC",IF(AND(D344="OIL",E344="WATER"),"OWC",IF(AND(D344="GAS",E344="WATER"),"GWC",IF(AND(D344="OIL",E344="OIL_WATER"),"OWC_TRANSITION",IF(AND(D344="OIL_WATER",E344="WATER"),"OWC_TRANSITION",IF(AND(D344="GAS",E344="GAS_WATER"),"GOC_TRANSITION",IF(AND(D344="GAS_WATER",E344="OIL"),"GOC_TRANSITION",IF(OR(D344="OIL_WATER",D344="GAS_WATER"),"TRANSITION_INTERVAL","")))))))))</f>
        <v/>
      </c>
      <c r="G344" s="20">
        <f>IF(OR(F344="",Master_Data!R344="",Master_Data!S344=""),"",IF(RIGHT(F344,10)="TRANSITION",AVERAGE(Master_Data!R344:Master_Data!S344),AVERAGE(Master_Data!S344,Master_Data!R345)))</f>
        <v/>
      </c>
      <c r="H344" s="20">
        <f>IF(G344="","",MAX(Settings!$B$4,Settings!$B$5*AVERAGE(IF(Master_Data!O344&lt;&gt;"",Master_Data!O344,Master_Data!H344),IF(Master_Data!O345&lt;&gt;"",Master_Data!O345,Master_Data!H345))))</f>
        <v/>
      </c>
      <c r="I344" s="20">
        <f>IF(G344="","",G344-H344)</f>
        <v/>
      </c>
      <c r="J344" s="20">
        <f>IF(G344="","",G344+H344)</f>
        <v/>
      </c>
      <c r="K344" s="20">
        <f>IF($A344="","",Master_Data!G344)</f>
        <v/>
      </c>
      <c r="L344" s="20">
        <f>IF($A344="","",Master_Data!G345)</f>
        <v/>
      </c>
      <c r="M344" s="20">
        <f>IF(AND(ISNUMBER(K344),ISNUMBER(L344)),L344-K344,"")</f>
        <v/>
      </c>
      <c r="N344" s="19">
        <f>IF(G344="","",IF(AND(ISNUMBER(K344),ISNUMBER(L344)),IF(OR(F344="GOC",F344="OWC",F344="GWC",F344="OWC_TRANSITION",F344="GOC_TRANSITION"),IF(L344&gt;=K344,"Supports","Conflicts"),"N/A"),"No Sw"))</f>
        <v/>
      </c>
      <c r="O344" s="20">
        <f>IF(G344="","",Settings!$B$6*IF(OR(F344="GOC",F344="OWC",F344="GWC"),1,0.7)+Settings!$B$7*IF(N344="Supports",1,IF(N344="Conflicts",0,0.5))+Settings!$B$8*IF(AND(Master_Data!R344&lt;&gt;"",Master_Data!S344&lt;&gt;"",Master_Data!R345&lt;&gt;"",Master_Data!S345&lt;&gt;""),1,0.5))</f>
        <v/>
      </c>
      <c r="P344" s="19">
        <f>IF(G344="","",IF(N344="Conflicts","SW_CONFLICT",IF(OR(F344="GOC",F344="OWC",F344="GWC"),"DIRECT_FLUID_TRANSITION","TRANSITION_INTERVAL")))</f>
        <v/>
      </c>
      <c r="Q344" s="19">
        <f>IF(G344="","",IF(N344="Conflicts","Investigate contact interpretation / saturation behaviour",IF(OR(F344="OWC",F344="GOC",F344="GWC"),"Candidate contact — validate with logs, pressure and dynamic evidence","Transition zone — do not force to a sharp contact")))</f>
        <v/>
      </c>
    </row>
    <row r="345">
      <c r="A345" s="19">
        <f>IF(AND(Master_Data!A345&lt;&gt;"",Master_Data!A345=Master_Data!A346),Master_Data!A345,"")</f>
        <v/>
      </c>
      <c r="B345" s="19">
        <f>IF($A345="","",Master_Data!B345)</f>
        <v/>
      </c>
      <c r="C345" s="19">
        <f>IF($A345="","",Master_Data!B346)</f>
        <v/>
      </c>
      <c r="D345" s="19">
        <f>IF($A345="","",Master_Data!Q345)</f>
        <v/>
      </c>
      <c r="E345" s="19">
        <f>IF($A345="","",Master_Data!Q346)</f>
        <v/>
      </c>
      <c r="F345" s="19">
        <f>IF($A345="","",IF(AND(D345="GAS",E345="OIL"),"GOC",IF(AND(D345="OIL",E345="WATER"),"OWC",IF(AND(D345="GAS",E345="WATER"),"GWC",IF(AND(D345="OIL",E345="OIL_WATER"),"OWC_TRANSITION",IF(AND(D345="OIL_WATER",E345="WATER"),"OWC_TRANSITION",IF(AND(D345="GAS",E345="GAS_WATER"),"GOC_TRANSITION",IF(AND(D345="GAS_WATER",E345="OIL"),"GOC_TRANSITION",IF(OR(D345="OIL_WATER",D345="GAS_WATER"),"TRANSITION_INTERVAL","")))))))))</f>
        <v/>
      </c>
      <c r="G345" s="20">
        <f>IF(OR(F345="",Master_Data!R345="",Master_Data!S345=""),"",IF(RIGHT(F345,10)="TRANSITION",AVERAGE(Master_Data!R345:Master_Data!S345),AVERAGE(Master_Data!S345,Master_Data!R346)))</f>
        <v/>
      </c>
      <c r="H345" s="20">
        <f>IF(G345="","",MAX(Settings!$B$4,Settings!$B$5*AVERAGE(IF(Master_Data!O345&lt;&gt;"",Master_Data!O345,Master_Data!H345),IF(Master_Data!O346&lt;&gt;"",Master_Data!O346,Master_Data!H346))))</f>
        <v/>
      </c>
      <c r="I345" s="20">
        <f>IF(G345="","",G345-H345)</f>
        <v/>
      </c>
      <c r="J345" s="20">
        <f>IF(G345="","",G345+H345)</f>
        <v/>
      </c>
      <c r="K345" s="20">
        <f>IF($A345="","",Master_Data!G345)</f>
        <v/>
      </c>
      <c r="L345" s="20">
        <f>IF($A345="","",Master_Data!G346)</f>
        <v/>
      </c>
      <c r="M345" s="20">
        <f>IF(AND(ISNUMBER(K345),ISNUMBER(L345)),L345-K345,"")</f>
        <v/>
      </c>
      <c r="N345" s="19">
        <f>IF(G345="","",IF(AND(ISNUMBER(K345),ISNUMBER(L345)),IF(OR(F345="GOC",F345="OWC",F345="GWC",F345="OWC_TRANSITION",F345="GOC_TRANSITION"),IF(L345&gt;=K345,"Supports","Conflicts"),"N/A"),"No Sw"))</f>
        <v/>
      </c>
      <c r="O345" s="20">
        <f>IF(G345="","",Settings!$B$6*IF(OR(F345="GOC",F345="OWC",F345="GWC"),1,0.7)+Settings!$B$7*IF(N345="Supports",1,IF(N345="Conflicts",0,0.5))+Settings!$B$8*IF(AND(Master_Data!R345&lt;&gt;"",Master_Data!S345&lt;&gt;"",Master_Data!R346&lt;&gt;"",Master_Data!S346&lt;&gt;""),1,0.5))</f>
        <v/>
      </c>
      <c r="P345" s="19">
        <f>IF(G345="","",IF(N345="Conflicts","SW_CONFLICT",IF(OR(F345="GOC",F345="OWC",F345="GWC"),"DIRECT_FLUID_TRANSITION","TRANSITION_INTERVAL")))</f>
        <v/>
      </c>
      <c r="Q345" s="19">
        <f>IF(G345="","",IF(N345="Conflicts","Investigate contact interpretation / saturation behaviour",IF(OR(F345="OWC",F345="GOC",F345="GWC"),"Candidate contact — validate with logs, pressure and dynamic evidence","Transition zone — do not force to a sharp contact")))</f>
        <v/>
      </c>
    </row>
    <row r="346">
      <c r="A346" s="19">
        <f>IF(AND(Master_Data!A346&lt;&gt;"",Master_Data!A346=Master_Data!A347),Master_Data!A346,"")</f>
        <v/>
      </c>
      <c r="B346" s="19">
        <f>IF($A346="","",Master_Data!B346)</f>
        <v/>
      </c>
      <c r="C346" s="19">
        <f>IF($A346="","",Master_Data!B347)</f>
        <v/>
      </c>
      <c r="D346" s="19">
        <f>IF($A346="","",Master_Data!Q346)</f>
        <v/>
      </c>
      <c r="E346" s="19">
        <f>IF($A346="","",Master_Data!Q347)</f>
        <v/>
      </c>
      <c r="F346" s="19">
        <f>IF($A346="","",IF(AND(D346="GAS",E346="OIL"),"GOC",IF(AND(D346="OIL",E346="WATER"),"OWC",IF(AND(D346="GAS",E346="WATER"),"GWC",IF(AND(D346="OIL",E346="OIL_WATER"),"OWC_TRANSITION",IF(AND(D346="OIL_WATER",E346="WATER"),"OWC_TRANSITION",IF(AND(D346="GAS",E346="GAS_WATER"),"GOC_TRANSITION",IF(AND(D346="GAS_WATER",E346="OIL"),"GOC_TRANSITION",IF(OR(D346="OIL_WATER",D346="GAS_WATER"),"TRANSITION_INTERVAL","")))))))))</f>
        <v/>
      </c>
      <c r="G346" s="20">
        <f>IF(OR(F346="",Master_Data!R346="",Master_Data!S346=""),"",IF(RIGHT(F346,10)="TRANSITION",AVERAGE(Master_Data!R346:Master_Data!S346),AVERAGE(Master_Data!S346,Master_Data!R347)))</f>
        <v/>
      </c>
      <c r="H346" s="20">
        <f>IF(G346="","",MAX(Settings!$B$4,Settings!$B$5*AVERAGE(IF(Master_Data!O346&lt;&gt;"",Master_Data!O346,Master_Data!H346),IF(Master_Data!O347&lt;&gt;"",Master_Data!O347,Master_Data!H347))))</f>
        <v/>
      </c>
      <c r="I346" s="20">
        <f>IF(G346="","",G346-H346)</f>
        <v/>
      </c>
      <c r="J346" s="20">
        <f>IF(G346="","",G346+H346)</f>
        <v/>
      </c>
      <c r="K346" s="20">
        <f>IF($A346="","",Master_Data!G346)</f>
        <v/>
      </c>
      <c r="L346" s="20">
        <f>IF($A346="","",Master_Data!G347)</f>
        <v/>
      </c>
      <c r="M346" s="20">
        <f>IF(AND(ISNUMBER(K346),ISNUMBER(L346)),L346-K346,"")</f>
        <v/>
      </c>
      <c r="N346" s="19">
        <f>IF(G346="","",IF(AND(ISNUMBER(K346),ISNUMBER(L346)),IF(OR(F346="GOC",F346="OWC",F346="GWC",F346="OWC_TRANSITION",F346="GOC_TRANSITION"),IF(L346&gt;=K346,"Supports","Conflicts"),"N/A"),"No Sw"))</f>
        <v/>
      </c>
      <c r="O346" s="20">
        <f>IF(G346="","",Settings!$B$6*IF(OR(F346="GOC",F346="OWC",F346="GWC"),1,0.7)+Settings!$B$7*IF(N346="Supports",1,IF(N346="Conflicts",0,0.5))+Settings!$B$8*IF(AND(Master_Data!R346&lt;&gt;"",Master_Data!S346&lt;&gt;"",Master_Data!R347&lt;&gt;"",Master_Data!S347&lt;&gt;""),1,0.5))</f>
        <v/>
      </c>
      <c r="P346" s="19">
        <f>IF(G346="","",IF(N346="Conflicts","SW_CONFLICT",IF(OR(F346="GOC",F346="OWC",F346="GWC"),"DIRECT_FLUID_TRANSITION","TRANSITION_INTERVAL")))</f>
        <v/>
      </c>
      <c r="Q346" s="19">
        <f>IF(G346="","",IF(N346="Conflicts","Investigate contact interpretation / saturation behaviour",IF(OR(F346="OWC",F346="GOC",F346="GWC"),"Candidate contact — validate with logs, pressure and dynamic evidence","Transition zone — do not force to a sharp contact")))</f>
        <v/>
      </c>
    </row>
    <row r="347">
      <c r="A347" s="19">
        <f>IF(AND(Master_Data!A347&lt;&gt;"",Master_Data!A347=Master_Data!A348),Master_Data!A347,"")</f>
        <v/>
      </c>
      <c r="B347" s="19">
        <f>IF($A347="","",Master_Data!B347)</f>
        <v/>
      </c>
      <c r="C347" s="19">
        <f>IF($A347="","",Master_Data!B348)</f>
        <v/>
      </c>
      <c r="D347" s="19">
        <f>IF($A347="","",Master_Data!Q347)</f>
        <v/>
      </c>
      <c r="E347" s="19">
        <f>IF($A347="","",Master_Data!Q348)</f>
        <v/>
      </c>
      <c r="F347" s="19">
        <f>IF($A347="","",IF(AND(D347="GAS",E347="OIL"),"GOC",IF(AND(D347="OIL",E347="WATER"),"OWC",IF(AND(D347="GAS",E347="WATER"),"GWC",IF(AND(D347="OIL",E347="OIL_WATER"),"OWC_TRANSITION",IF(AND(D347="OIL_WATER",E347="WATER"),"OWC_TRANSITION",IF(AND(D347="GAS",E347="GAS_WATER"),"GOC_TRANSITION",IF(AND(D347="GAS_WATER",E347="OIL"),"GOC_TRANSITION",IF(OR(D347="OIL_WATER",D347="GAS_WATER"),"TRANSITION_INTERVAL","")))))))))</f>
        <v/>
      </c>
      <c r="G347" s="20">
        <f>IF(OR(F347="",Master_Data!R347="",Master_Data!S347=""),"",IF(RIGHT(F347,10)="TRANSITION",AVERAGE(Master_Data!R347:Master_Data!S347),AVERAGE(Master_Data!S347,Master_Data!R348)))</f>
        <v/>
      </c>
      <c r="H347" s="20">
        <f>IF(G347="","",MAX(Settings!$B$4,Settings!$B$5*AVERAGE(IF(Master_Data!O347&lt;&gt;"",Master_Data!O347,Master_Data!H347),IF(Master_Data!O348&lt;&gt;"",Master_Data!O348,Master_Data!H348))))</f>
        <v/>
      </c>
      <c r="I347" s="20">
        <f>IF(G347="","",G347-H347)</f>
        <v/>
      </c>
      <c r="J347" s="20">
        <f>IF(G347="","",G347+H347)</f>
        <v/>
      </c>
      <c r="K347" s="20">
        <f>IF($A347="","",Master_Data!G347)</f>
        <v/>
      </c>
      <c r="L347" s="20">
        <f>IF($A347="","",Master_Data!G348)</f>
        <v/>
      </c>
      <c r="M347" s="20">
        <f>IF(AND(ISNUMBER(K347),ISNUMBER(L347)),L347-K347,"")</f>
        <v/>
      </c>
      <c r="N347" s="19">
        <f>IF(G347="","",IF(AND(ISNUMBER(K347),ISNUMBER(L347)),IF(OR(F347="GOC",F347="OWC",F347="GWC",F347="OWC_TRANSITION",F347="GOC_TRANSITION"),IF(L347&gt;=K347,"Supports","Conflicts"),"N/A"),"No Sw"))</f>
        <v/>
      </c>
      <c r="O347" s="20">
        <f>IF(G347="","",Settings!$B$6*IF(OR(F347="GOC",F347="OWC",F347="GWC"),1,0.7)+Settings!$B$7*IF(N347="Supports",1,IF(N347="Conflicts",0,0.5))+Settings!$B$8*IF(AND(Master_Data!R347&lt;&gt;"",Master_Data!S347&lt;&gt;"",Master_Data!R348&lt;&gt;"",Master_Data!S348&lt;&gt;""),1,0.5))</f>
        <v/>
      </c>
      <c r="P347" s="19">
        <f>IF(G347="","",IF(N347="Conflicts","SW_CONFLICT",IF(OR(F347="GOC",F347="OWC",F347="GWC"),"DIRECT_FLUID_TRANSITION","TRANSITION_INTERVAL")))</f>
        <v/>
      </c>
      <c r="Q347" s="19">
        <f>IF(G347="","",IF(N347="Conflicts","Investigate contact interpretation / saturation behaviour",IF(OR(F347="OWC",F347="GOC",F347="GWC"),"Candidate contact — validate with logs, pressure and dynamic evidence","Transition zone — do not force to a sharp contact")))</f>
        <v/>
      </c>
    </row>
    <row r="348">
      <c r="A348" s="19">
        <f>IF(AND(Master_Data!A348&lt;&gt;"",Master_Data!A348=Master_Data!A349),Master_Data!A348,"")</f>
        <v/>
      </c>
      <c r="B348" s="19">
        <f>IF($A348="","",Master_Data!B348)</f>
        <v/>
      </c>
      <c r="C348" s="19">
        <f>IF($A348="","",Master_Data!B349)</f>
        <v/>
      </c>
      <c r="D348" s="19">
        <f>IF($A348="","",Master_Data!Q348)</f>
        <v/>
      </c>
      <c r="E348" s="19">
        <f>IF($A348="","",Master_Data!Q349)</f>
        <v/>
      </c>
      <c r="F348" s="19">
        <f>IF($A348="","",IF(AND(D348="GAS",E348="OIL"),"GOC",IF(AND(D348="OIL",E348="WATER"),"OWC",IF(AND(D348="GAS",E348="WATER"),"GWC",IF(AND(D348="OIL",E348="OIL_WATER"),"OWC_TRANSITION",IF(AND(D348="OIL_WATER",E348="WATER"),"OWC_TRANSITION",IF(AND(D348="GAS",E348="GAS_WATER"),"GOC_TRANSITION",IF(AND(D348="GAS_WATER",E348="OIL"),"GOC_TRANSITION",IF(OR(D348="OIL_WATER",D348="GAS_WATER"),"TRANSITION_INTERVAL","")))))))))</f>
        <v/>
      </c>
      <c r="G348" s="20">
        <f>IF(OR(F348="",Master_Data!R348="",Master_Data!S348=""),"",IF(RIGHT(F348,10)="TRANSITION",AVERAGE(Master_Data!R348:Master_Data!S348),AVERAGE(Master_Data!S348,Master_Data!R349)))</f>
        <v/>
      </c>
      <c r="H348" s="20">
        <f>IF(G348="","",MAX(Settings!$B$4,Settings!$B$5*AVERAGE(IF(Master_Data!O348&lt;&gt;"",Master_Data!O348,Master_Data!H348),IF(Master_Data!O349&lt;&gt;"",Master_Data!O349,Master_Data!H349))))</f>
        <v/>
      </c>
      <c r="I348" s="20">
        <f>IF(G348="","",G348-H348)</f>
        <v/>
      </c>
      <c r="J348" s="20">
        <f>IF(G348="","",G348+H348)</f>
        <v/>
      </c>
      <c r="K348" s="20">
        <f>IF($A348="","",Master_Data!G348)</f>
        <v/>
      </c>
      <c r="L348" s="20">
        <f>IF($A348="","",Master_Data!G349)</f>
        <v/>
      </c>
      <c r="M348" s="20">
        <f>IF(AND(ISNUMBER(K348),ISNUMBER(L348)),L348-K348,"")</f>
        <v/>
      </c>
      <c r="N348" s="19">
        <f>IF(G348="","",IF(AND(ISNUMBER(K348),ISNUMBER(L348)),IF(OR(F348="GOC",F348="OWC",F348="GWC",F348="OWC_TRANSITION",F348="GOC_TRANSITION"),IF(L348&gt;=K348,"Supports","Conflicts"),"N/A"),"No Sw"))</f>
        <v/>
      </c>
      <c r="O348" s="20">
        <f>IF(G348="","",Settings!$B$6*IF(OR(F348="GOC",F348="OWC",F348="GWC"),1,0.7)+Settings!$B$7*IF(N348="Supports",1,IF(N348="Conflicts",0,0.5))+Settings!$B$8*IF(AND(Master_Data!R348&lt;&gt;"",Master_Data!S348&lt;&gt;"",Master_Data!R349&lt;&gt;"",Master_Data!S349&lt;&gt;""),1,0.5))</f>
        <v/>
      </c>
      <c r="P348" s="19">
        <f>IF(G348="","",IF(N348="Conflicts","SW_CONFLICT",IF(OR(F348="GOC",F348="OWC",F348="GWC"),"DIRECT_FLUID_TRANSITION","TRANSITION_INTERVAL")))</f>
        <v/>
      </c>
      <c r="Q348" s="19">
        <f>IF(G348="","",IF(N348="Conflicts","Investigate contact interpretation / saturation behaviour",IF(OR(F348="OWC",F348="GOC",F348="GWC"),"Candidate contact — validate with logs, pressure and dynamic evidence","Transition zone — do not force to a sharp contact")))</f>
        <v/>
      </c>
    </row>
    <row r="349">
      <c r="A349" s="19">
        <f>IF(AND(Master_Data!A349&lt;&gt;"",Master_Data!A349=Master_Data!A350),Master_Data!A349,"")</f>
        <v/>
      </c>
      <c r="B349" s="19">
        <f>IF($A349="","",Master_Data!B349)</f>
        <v/>
      </c>
      <c r="C349" s="19">
        <f>IF($A349="","",Master_Data!B350)</f>
        <v/>
      </c>
      <c r="D349" s="19">
        <f>IF($A349="","",Master_Data!Q349)</f>
        <v/>
      </c>
      <c r="E349" s="19">
        <f>IF($A349="","",Master_Data!Q350)</f>
        <v/>
      </c>
      <c r="F349" s="19">
        <f>IF($A349="","",IF(AND(D349="GAS",E349="OIL"),"GOC",IF(AND(D349="OIL",E349="WATER"),"OWC",IF(AND(D349="GAS",E349="WATER"),"GWC",IF(AND(D349="OIL",E349="OIL_WATER"),"OWC_TRANSITION",IF(AND(D349="OIL_WATER",E349="WATER"),"OWC_TRANSITION",IF(AND(D349="GAS",E349="GAS_WATER"),"GOC_TRANSITION",IF(AND(D349="GAS_WATER",E349="OIL"),"GOC_TRANSITION",IF(OR(D349="OIL_WATER",D349="GAS_WATER"),"TRANSITION_INTERVAL","")))))))))</f>
        <v/>
      </c>
      <c r="G349" s="20">
        <f>IF(OR(F349="",Master_Data!R349="",Master_Data!S349=""),"",IF(RIGHT(F349,10)="TRANSITION",AVERAGE(Master_Data!R349:Master_Data!S349),AVERAGE(Master_Data!S349,Master_Data!R350)))</f>
        <v/>
      </c>
      <c r="H349" s="20">
        <f>IF(G349="","",MAX(Settings!$B$4,Settings!$B$5*AVERAGE(IF(Master_Data!O349&lt;&gt;"",Master_Data!O349,Master_Data!H349),IF(Master_Data!O350&lt;&gt;"",Master_Data!O350,Master_Data!H350))))</f>
        <v/>
      </c>
      <c r="I349" s="20">
        <f>IF(G349="","",G349-H349)</f>
        <v/>
      </c>
      <c r="J349" s="20">
        <f>IF(G349="","",G349+H349)</f>
        <v/>
      </c>
      <c r="K349" s="20">
        <f>IF($A349="","",Master_Data!G349)</f>
        <v/>
      </c>
      <c r="L349" s="20">
        <f>IF($A349="","",Master_Data!G350)</f>
        <v/>
      </c>
      <c r="M349" s="20">
        <f>IF(AND(ISNUMBER(K349),ISNUMBER(L349)),L349-K349,"")</f>
        <v/>
      </c>
      <c r="N349" s="19">
        <f>IF(G349="","",IF(AND(ISNUMBER(K349),ISNUMBER(L349)),IF(OR(F349="GOC",F349="OWC",F349="GWC",F349="OWC_TRANSITION",F349="GOC_TRANSITION"),IF(L349&gt;=K349,"Supports","Conflicts"),"N/A"),"No Sw"))</f>
        <v/>
      </c>
      <c r="O349" s="20">
        <f>IF(G349="","",Settings!$B$6*IF(OR(F349="GOC",F349="OWC",F349="GWC"),1,0.7)+Settings!$B$7*IF(N349="Supports",1,IF(N349="Conflicts",0,0.5))+Settings!$B$8*IF(AND(Master_Data!R349&lt;&gt;"",Master_Data!S349&lt;&gt;"",Master_Data!R350&lt;&gt;"",Master_Data!S350&lt;&gt;""),1,0.5))</f>
        <v/>
      </c>
      <c r="P349" s="19">
        <f>IF(G349="","",IF(N349="Conflicts","SW_CONFLICT",IF(OR(F349="GOC",F349="OWC",F349="GWC"),"DIRECT_FLUID_TRANSITION","TRANSITION_INTERVAL")))</f>
        <v/>
      </c>
      <c r="Q349" s="19">
        <f>IF(G349="","",IF(N349="Conflicts","Investigate contact interpretation / saturation behaviour",IF(OR(F349="OWC",F349="GOC",F349="GWC"),"Candidate contact — validate with logs, pressure and dynamic evidence","Transition zone — do not force to a sharp contact")))</f>
        <v/>
      </c>
    </row>
    <row r="350">
      <c r="A350" s="19">
        <f>IF(AND(Master_Data!A350&lt;&gt;"",Master_Data!A350=Master_Data!A351),Master_Data!A350,"")</f>
        <v/>
      </c>
      <c r="B350" s="19">
        <f>IF($A350="","",Master_Data!B350)</f>
        <v/>
      </c>
      <c r="C350" s="19">
        <f>IF($A350="","",Master_Data!B351)</f>
        <v/>
      </c>
      <c r="D350" s="19">
        <f>IF($A350="","",Master_Data!Q350)</f>
        <v/>
      </c>
      <c r="E350" s="19">
        <f>IF($A350="","",Master_Data!Q351)</f>
        <v/>
      </c>
      <c r="F350" s="19">
        <f>IF($A350="","",IF(AND(D350="GAS",E350="OIL"),"GOC",IF(AND(D350="OIL",E350="WATER"),"OWC",IF(AND(D350="GAS",E350="WATER"),"GWC",IF(AND(D350="OIL",E350="OIL_WATER"),"OWC_TRANSITION",IF(AND(D350="OIL_WATER",E350="WATER"),"OWC_TRANSITION",IF(AND(D350="GAS",E350="GAS_WATER"),"GOC_TRANSITION",IF(AND(D350="GAS_WATER",E350="OIL"),"GOC_TRANSITION",IF(OR(D350="OIL_WATER",D350="GAS_WATER"),"TRANSITION_INTERVAL","")))))))))</f>
        <v/>
      </c>
      <c r="G350" s="20">
        <f>IF(OR(F350="",Master_Data!R350="",Master_Data!S350=""),"",IF(RIGHT(F350,10)="TRANSITION",AVERAGE(Master_Data!R350:Master_Data!S350),AVERAGE(Master_Data!S350,Master_Data!R351)))</f>
        <v/>
      </c>
      <c r="H350" s="20">
        <f>IF(G350="","",MAX(Settings!$B$4,Settings!$B$5*AVERAGE(IF(Master_Data!O350&lt;&gt;"",Master_Data!O350,Master_Data!H350),IF(Master_Data!O351&lt;&gt;"",Master_Data!O351,Master_Data!H351))))</f>
        <v/>
      </c>
      <c r="I350" s="20">
        <f>IF(G350="","",G350-H350)</f>
        <v/>
      </c>
      <c r="J350" s="20">
        <f>IF(G350="","",G350+H350)</f>
        <v/>
      </c>
      <c r="K350" s="20">
        <f>IF($A350="","",Master_Data!G350)</f>
        <v/>
      </c>
      <c r="L350" s="20">
        <f>IF($A350="","",Master_Data!G351)</f>
        <v/>
      </c>
      <c r="M350" s="20">
        <f>IF(AND(ISNUMBER(K350),ISNUMBER(L350)),L350-K350,"")</f>
        <v/>
      </c>
      <c r="N350" s="19">
        <f>IF(G350="","",IF(AND(ISNUMBER(K350),ISNUMBER(L350)),IF(OR(F350="GOC",F350="OWC",F350="GWC",F350="OWC_TRANSITION",F350="GOC_TRANSITION"),IF(L350&gt;=K350,"Supports","Conflicts"),"N/A"),"No Sw"))</f>
        <v/>
      </c>
      <c r="O350" s="20">
        <f>IF(G350="","",Settings!$B$6*IF(OR(F350="GOC",F350="OWC",F350="GWC"),1,0.7)+Settings!$B$7*IF(N350="Supports",1,IF(N350="Conflicts",0,0.5))+Settings!$B$8*IF(AND(Master_Data!R350&lt;&gt;"",Master_Data!S350&lt;&gt;"",Master_Data!R351&lt;&gt;"",Master_Data!S351&lt;&gt;""),1,0.5))</f>
        <v/>
      </c>
      <c r="P350" s="19">
        <f>IF(G350="","",IF(N350="Conflicts","SW_CONFLICT",IF(OR(F350="GOC",F350="OWC",F350="GWC"),"DIRECT_FLUID_TRANSITION","TRANSITION_INTERVAL")))</f>
        <v/>
      </c>
      <c r="Q350" s="19">
        <f>IF(G350="","",IF(N350="Conflicts","Investigate contact interpretation / saturation behaviour",IF(OR(F350="OWC",F350="GOC",F350="GWC"),"Candidate contact — validate with logs, pressure and dynamic evidence","Transition zone — do not force to a sharp contact")))</f>
        <v/>
      </c>
    </row>
    <row r="351">
      <c r="A351" s="19">
        <f>IF(AND(Master_Data!A351&lt;&gt;"",Master_Data!A351=Master_Data!A352),Master_Data!A351,"")</f>
        <v/>
      </c>
      <c r="B351" s="19">
        <f>IF($A351="","",Master_Data!B351)</f>
        <v/>
      </c>
      <c r="C351" s="19">
        <f>IF($A351="","",Master_Data!B352)</f>
        <v/>
      </c>
      <c r="D351" s="19">
        <f>IF($A351="","",Master_Data!Q351)</f>
        <v/>
      </c>
      <c r="E351" s="19">
        <f>IF($A351="","",Master_Data!Q352)</f>
        <v/>
      </c>
      <c r="F351" s="19">
        <f>IF($A351="","",IF(AND(D351="GAS",E351="OIL"),"GOC",IF(AND(D351="OIL",E351="WATER"),"OWC",IF(AND(D351="GAS",E351="WATER"),"GWC",IF(AND(D351="OIL",E351="OIL_WATER"),"OWC_TRANSITION",IF(AND(D351="OIL_WATER",E351="WATER"),"OWC_TRANSITION",IF(AND(D351="GAS",E351="GAS_WATER"),"GOC_TRANSITION",IF(AND(D351="GAS_WATER",E351="OIL"),"GOC_TRANSITION",IF(OR(D351="OIL_WATER",D351="GAS_WATER"),"TRANSITION_INTERVAL","")))))))))</f>
        <v/>
      </c>
      <c r="G351" s="20">
        <f>IF(OR(F351="",Master_Data!R351="",Master_Data!S351=""),"",IF(RIGHT(F351,10)="TRANSITION",AVERAGE(Master_Data!R351:Master_Data!S351),AVERAGE(Master_Data!S351,Master_Data!R352)))</f>
        <v/>
      </c>
      <c r="H351" s="20">
        <f>IF(G351="","",MAX(Settings!$B$4,Settings!$B$5*AVERAGE(IF(Master_Data!O351&lt;&gt;"",Master_Data!O351,Master_Data!H351),IF(Master_Data!O352&lt;&gt;"",Master_Data!O352,Master_Data!H352))))</f>
        <v/>
      </c>
      <c r="I351" s="20">
        <f>IF(G351="","",G351-H351)</f>
        <v/>
      </c>
      <c r="J351" s="20">
        <f>IF(G351="","",G351+H351)</f>
        <v/>
      </c>
      <c r="K351" s="20">
        <f>IF($A351="","",Master_Data!G351)</f>
        <v/>
      </c>
      <c r="L351" s="20">
        <f>IF($A351="","",Master_Data!G352)</f>
        <v/>
      </c>
      <c r="M351" s="20">
        <f>IF(AND(ISNUMBER(K351),ISNUMBER(L351)),L351-K351,"")</f>
        <v/>
      </c>
      <c r="N351" s="19">
        <f>IF(G351="","",IF(AND(ISNUMBER(K351),ISNUMBER(L351)),IF(OR(F351="GOC",F351="OWC",F351="GWC",F351="OWC_TRANSITION",F351="GOC_TRANSITION"),IF(L351&gt;=K351,"Supports","Conflicts"),"N/A"),"No Sw"))</f>
        <v/>
      </c>
      <c r="O351" s="20">
        <f>IF(G351="","",Settings!$B$6*IF(OR(F351="GOC",F351="OWC",F351="GWC"),1,0.7)+Settings!$B$7*IF(N351="Supports",1,IF(N351="Conflicts",0,0.5))+Settings!$B$8*IF(AND(Master_Data!R351&lt;&gt;"",Master_Data!S351&lt;&gt;"",Master_Data!R352&lt;&gt;"",Master_Data!S352&lt;&gt;""),1,0.5))</f>
        <v/>
      </c>
      <c r="P351" s="19">
        <f>IF(G351="","",IF(N351="Conflicts","SW_CONFLICT",IF(OR(F351="GOC",F351="OWC",F351="GWC"),"DIRECT_FLUID_TRANSITION","TRANSITION_INTERVAL")))</f>
        <v/>
      </c>
      <c r="Q351" s="19">
        <f>IF(G351="","",IF(N351="Conflicts","Investigate contact interpretation / saturation behaviour",IF(OR(F351="OWC",F351="GOC",F351="GWC"),"Candidate contact — validate with logs, pressure and dynamic evidence","Transition zone — do not force to a sharp contact")))</f>
        <v/>
      </c>
    </row>
    <row r="352">
      <c r="A352" s="19">
        <f>IF(AND(Master_Data!A352&lt;&gt;"",Master_Data!A352=Master_Data!A353),Master_Data!A352,"")</f>
        <v/>
      </c>
      <c r="B352" s="19">
        <f>IF($A352="","",Master_Data!B352)</f>
        <v/>
      </c>
      <c r="C352" s="19">
        <f>IF($A352="","",Master_Data!B353)</f>
        <v/>
      </c>
      <c r="D352" s="19">
        <f>IF($A352="","",Master_Data!Q352)</f>
        <v/>
      </c>
      <c r="E352" s="19">
        <f>IF($A352="","",Master_Data!Q353)</f>
        <v/>
      </c>
      <c r="F352" s="19">
        <f>IF($A352="","",IF(AND(D352="GAS",E352="OIL"),"GOC",IF(AND(D352="OIL",E352="WATER"),"OWC",IF(AND(D352="GAS",E352="WATER"),"GWC",IF(AND(D352="OIL",E352="OIL_WATER"),"OWC_TRANSITION",IF(AND(D352="OIL_WATER",E352="WATER"),"OWC_TRANSITION",IF(AND(D352="GAS",E352="GAS_WATER"),"GOC_TRANSITION",IF(AND(D352="GAS_WATER",E352="OIL"),"GOC_TRANSITION",IF(OR(D352="OIL_WATER",D352="GAS_WATER"),"TRANSITION_INTERVAL","")))))))))</f>
        <v/>
      </c>
      <c r="G352" s="20">
        <f>IF(OR(F352="",Master_Data!R352="",Master_Data!S352=""),"",IF(RIGHT(F352,10)="TRANSITION",AVERAGE(Master_Data!R352:Master_Data!S352),AVERAGE(Master_Data!S352,Master_Data!R353)))</f>
        <v/>
      </c>
      <c r="H352" s="20">
        <f>IF(G352="","",MAX(Settings!$B$4,Settings!$B$5*AVERAGE(IF(Master_Data!O352&lt;&gt;"",Master_Data!O352,Master_Data!H352),IF(Master_Data!O353&lt;&gt;"",Master_Data!O353,Master_Data!H353))))</f>
        <v/>
      </c>
      <c r="I352" s="20">
        <f>IF(G352="","",G352-H352)</f>
        <v/>
      </c>
      <c r="J352" s="20">
        <f>IF(G352="","",G352+H352)</f>
        <v/>
      </c>
      <c r="K352" s="20">
        <f>IF($A352="","",Master_Data!G352)</f>
        <v/>
      </c>
      <c r="L352" s="20">
        <f>IF($A352="","",Master_Data!G353)</f>
        <v/>
      </c>
      <c r="M352" s="20">
        <f>IF(AND(ISNUMBER(K352),ISNUMBER(L352)),L352-K352,"")</f>
        <v/>
      </c>
      <c r="N352" s="19">
        <f>IF(G352="","",IF(AND(ISNUMBER(K352),ISNUMBER(L352)),IF(OR(F352="GOC",F352="OWC",F352="GWC",F352="OWC_TRANSITION",F352="GOC_TRANSITION"),IF(L352&gt;=K352,"Supports","Conflicts"),"N/A"),"No Sw"))</f>
        <v/>
      </c>
      <c r="O352" s="20">
        <f>IF(G352="","",Settings!$B$6*IF(OR(F352="GOC",F352="OWC",F352="GWC"),1,0.7)+Settings!$B$7*IF(N352="Supports",1,IF(N352="Conflicts",0,0.5))+Settings!$B$8*IF(AND(Master_Data!R352&lt;&gt;"",Master_Data!S352&lt;&gt;"",Master_Data!R353&lt;&gt;"",Master_Data!S353&lt;&gt;""),1,0.5))</f>
        <v/>
      </c>
      <c r="P352" s="19">
        <f>IF(G352="","",IF(N352="Conflicts","SW_CONFLICT",IF(OR(F352="GOC",F352="OWC",F352="GWC"),"DIRECT_FLUID_TRANSITION","TRANSITION_INTERVAL")))</f>
        <v/>
      </c>
      <c r="Q352" s="19">
        <f>IF(G352="","",IF(N352="Conflicts","Investigate contact interpretation / saturation behaviour",IF(OR(F352="OWC",F352="GOC",F352="GWC"),"Candidate contact — validate with logs, pressure and dynamic evidence","Transition zone — do not force to a sharp contact")))</f>
        <v/>
      </c>
    </row>
    <row r="353">
      <c r="A353" s="19">
        <f>IF(AND(Master_Data!A353&lt;&gt;"",Master_Data!A353=Master_Data!A354),Master_Data!A353,"")</f>
        <v/>
      </c>
      <c r="B353" s="19">
        <f>IF($A353="","",Master_Data!B353)</f>
        <v/>
      </c>
      <c r="C353" s="19">
        <f>IF($A353="","",Master_Data!B354)</f>
        <v/>
      </c>
      <c r="D353" s="19">
        <f>IF($A353="","",Master_Data!Q353)</f>
        <v/>
      </c>
      <c r="E353" s="19">
        <f>IF($A353="","",Master_Data!Q354)</f>
        <v/>
      </c>
      <c r="F353" s="19">
        <f>IF($A353="","",IF(AND(D353="GAS",E353="OIL"),"GOC",IF(AND(D353="OIL",E353="WATER"),"OWC",IF(AND(D353="GAS",E353="WATER"),"GWC",IF(AND(D353="OIL",E353="OIL_WATER"),"OWC_TRANSITION",IF(AND(D353="OIL_WATER",E353="WATER"),"OWC_TRANSITION",IF(AND(D353="GAS",E353="GAS_WATER"),"GOC_TRANSITION",IF(AND(D353="GAS_WATER",E353="OIL"),"GOC_TRANSITION",IF(OR(D353="OIL_WATER",D353="GAS_WATER"),"TRANSITION_INTERVAL","")))))))))</f>
        <v/>
      </c>
      <c r="G353" s="20">
        <f>IF(OR(F353="",Master_Data!R353="",Master_Data!S353=""),"",IF(RIGHT(F353,10)="TRANSITION",AVERAGE(Master_Data!R353:Master_Data!S353),AVERAGE(Master_Data!S353,Master_Data!R354)))</f>
        <v/>
      </c>
      <c r="H353" s="20">
        <f>IF(G353="","",MAX(Settings!$B$4,Settings!$B$5*AVERAGE(IF(Master_Data!O353&lt;&gt;"",Master_Data!O353,Master_Data!H353),IF(Master_Data!O354&lt;&gt;"",Master_Data!O354,Master_Data!H354))))</f>
        <v/>
      </c>
      <c r="I353" s="20">
        <f>IF(G353="","",G353-H353)</f>
        <v/>
      </c>
      <c r="J353" s="20">
        <f>IF(G353="","",G353+H353)</f>
        <v/>
      </c>
      <c r="K353" s="20">
        <f>IF($A353="","",Master_Data!G353)</f>
        <v/>
      </c>
      <c r="L353" s="20">
        <f>IF($A353="","",Master_Data!G354)</f>
        <v/>
      </c>
      <c r="M353" s="20">
        <f>IF(AND(ISNUMBER(K353),ISNUMBER(L353)),L353-K353,"")</f>
        <v/>
      </c>
      <c r="N353" s="19">
        <f>IF(G353="","",IF(AND(ISNUMBER(K353),ISNUMBER(L353)),IF(OR(F353="GOC",F353="OWC",F353="GWC",F353="OWC_TRANSITION",F353="GOC_TRANSITION"),IF(L353&gt;=K353,"Supports","Conflicts"),"N/A"),"No Sw"))</f>
        <v/>
      </c>
      <c r="O353" s="20">
        <f>IF(G353="","",Settings!$B$6*IF(OR(F353="GOC",F353="OWC",F353="GWC"),1,0.7)+Settings!$B$7*IF(N353="Supports",1,IF(N353="Conflicts",0,0.5))+Settings!$B$8*IF(AND(Master_Data!R353&lt;&gt;"",Master_Data!S353&lt;&gt;"",Master_Data!R354&lt;&gt;"",Master_Data!S354&lt;&gt;""),1,0.5))</f>
        <v/>
      </c>
      <c r="P353" s="19">
        <f>IF(G353="","",IF(N353="Conflicts","SW_CONFLICT",IF(OR(F353="GOC",F353="OWC",F353="GWC"),"DIRECT_FLUID_TRANSITION","TRANSITION_INTERVAL")))</f>
        <v/>
      </c>
      <c r="Q353" s="19">
        <f>IF(G353="","",IF(N353="Conflicts","Investigate contact interpretation / saturation behaviour",IF(OR(F353="OWC",F353="GOC",F353="GWC"),"Candidate contact — validate with logs, pressure and dynamic evidence","Transition zone — do not force to a sharp contact")))</f>
        <v/>
      </c>
    </row>
    <row r="354">
      <c r="A354" s="19">
        <f>IF(AND(Master_Data!A354&lt;&gt;"",Master_Data!A354=Master_Data!A355),Master_Data!A354,"")</f>
        <v/>
      </c>
      <c r="B354" s="19">
        <f>IF($A354="","",Master_Data!B354)</f>
        <v/>
      </c>
      <c r="C354" s="19">
        <f>IF($A354="","",Master_Data!B355)</f>
        <v/>
      </c>
      <c r="D354" s="19">
        <f>IF($A354="","",Master_Data!Q354)</f>
        <v/>
      </c>
      <c r="E354" s="19">
        <f>IF($A354="","",Master_Data!Q355)</f>
        <v/>
      </c>
      <c r="F354" s="19">
        <f>IF($A354="","",IF(AND(D354="GAS",E354="OIL"),"GOC",IF(AND(D354="OIL",E354="WATER"),"OWC",IF(AND(D354="GAS",E354="WATER"),"GWC",IF(AND(D354="OIL",E354="OIL_WATER"),"OWC_TRANSITION",IF(AND(D354="OIL_WATER",E354="WATER"),"OWC_TRANSITION",IF(AND(D354="GAS",E354="GAS_WATER"),"GOC_TRANSITION",IF(AND(D354="GAS_WATER",E354="OIL"),"GOC_TRANSITION",IF(OR(D354="OIL_WATER",D354="GAS_WATER"),"TRANSITION_INTERVAL","")))))))))</f>
        <v/>
      </c>
      <c r="G354" s="20">
        <f>IF(OR(F354="",Master_Data!R354="",Master_Data!S354=""),"",IF(RIGHT(F354,10)="TRANSITION",AVERAGE(Master_Data!R354:Master_Data!S354),AVERAGE(Master_Data!S354,Master_Data!R355)))</f>
        <v/>
      </c>
      <c r="H354" s="20">
        <f>IF(G354="","",MAX(Settings!$B$4,Settings!$B$5*AVERAGE(IF(Master_Data!O354&lt;&gt;"",Master_Data!O354,Master_Data!H354),IF(Master_Data!O355&lt;&gt;"",Master_Data!O355,Master_Data!H355))))</f>
        <v/>
      </c>
      <c r="I354" s="20">
        <f>IF(G354="","",G354-H354)</f>
        <v/>
      </c>
      <c r="J354" s="20">
        <f>IF(G354="","",G354+H354)</f>
        <v/>
      </c>
      <c r="K354" s="20">
        <f>IF($A354="","",Master_Data!G354)</f>
        <v/>
      </c>
      <c r="L354" s="20">
        <f>IF($A354="","",Master_Data!G355)</f>
        <v/>
      </c>
      <c r="M354" s="20">
        <f>IF(AND(ISNUMBER(K354),ISNUMBER(L354)),L354-K354,"")</f>
        <v/>
      </c>
      <c r="N354" s="19">
        <f>IF(G354="","",IF(AND(ISNUMBER(K354),ISNUMBER(L354)),IF(OR(F354="GOC",F354="OWC",F354="GWC",F354="OWC_TRANSITION",F354="GOC_TRANSITION"),IF(L354&gt;=K354,"Supports","Conflicts"),"N/A"),"No Sw"))</f>
        <v/>
      </c>
      <c r="O354" s="20">
        <f>IF(G354="","",Settings!$B$6*IF(OR(F354="GOC",F354="OWC",F354="GWC"),1,0.7)+Settings!$B$7*IF(N354="Supports",1,IF(N354="Conflicts",0,0.5))+Settings!$B$8*IF(AND(Master_Data!R354&lt;&gt;"",Master_Data!S354&lt;&gt;"",Master_Data!R355&lt;&gt;"",Master_Data!S355&lt;&gt;""),1,0.5))</f>
        <v/>
      </c>
      <c r="P354" s="19">
        <f>IF(G354="","",IF(N354="Conflicts","SW_CONFLICT",IF(OR(F354="GOC",F354="OWC",F354="GWC"),"DIRECT_FLUID_TRANSITION","TRANSITION_INTERVAL")))</f>
        <v/>
      </c>
      <c r="Q354" s="19">
        <f>IF(G354="","",IF(N354="Conflicts","Investigate contact interpretation / saturation behaviour",IF(OR(F354="OWC",F354="GOC",F354="GWC"),"Candidate contact — validate with logs, pressure and dynamic evidence","Transition zone — do not force to a sharp contact")))</f>
        <v/>
      </c>
    </row>
    <row r="355">
      <c r="A355" s="19">
        <f>IF(AND(Master_Data!A355&lt;&gt;"",Master_Data!A355=Master_Data!A356),Master_Data!A355,"")</f>
        <v/>
      </c>
      <c r="B355" s="19">
        <f>IF($A355="","",Master_Data!B355)</f>
        <v/>
      </c>
      <c r="C355" s="19">
        <f>IF($A355="","",Master_Data!B356)</f>
        <v/>
      </c>
      <c r="D355" s="19">
        <f>IF($A355="","",Master_Data!Q355)</f>
        <v/>
      </c>
      <c r="E355" s="19">
        <f>IF($A355="","",Master_Data!Q356)</f>
        <v/>
      </c>
      <c r="F355" s="19">
        <f>IF($A355="","",IF(AND(D355="GAS",E355="OIL"),"GOC",IF(AND(D355="OIL",E355="WATER"),"OWC",IF(AND(D355="GAS",E355="WATER"),"GWC",IF(AND(D355="OIL",E355="OIL_WATER"),"OWC_TRANSITION",IF(AND(D355="OIL_WATER",E355="WATER"),"OWC_TRANSITION",IF(AND(D355="GAS",E355="GAS_WATER"),"GOC_TRANSITION",IF(AND(D355="GAS_WATER",E355="OIL"),"GOC_TRANSITION",IF(OR(D355="OIL_WATER",D355="GAS_WATER"),"TRANSITION_INTERVAL","")))))))))</f>
        <v/>
      </c>
      <c r="G355" s="20">
        <f>IF(OR(F355="",Master_Data!R355="",Master_Data!S355=""),"",IF(RIGHT(F355,10)="TRANSITION",AVERAGE(Master_Data!R355:Master_Data!S355),AVERAGE(Master_Data!S355,Master_Data!R356)))</f>
        <v/>
      </c>
      <c r="H355" s="20">
        <f>IF(G355="","",MAX(Settings!$B$4,Settings!$B$5*AVERAGE(IF(Master_Data!O355&lt;&gt;"",Master_Data!O355,Master_Data!H355),IF(Master_Data!O356&lt;&gt;"",Master_Data!O356,Master_Data!H356))))</f>
        <v/>
      </c>
      <c r="I355" s="20">
        <f>IF(G355="","",G355-H355)</f>
        <v/>
      </c>
      <c r="J355" s="20">
        <f>IF(G355="","",G355+H355)</f>
        <v/>
      </c>
      <c r="K355" s="20">
        <f>IF($A355="","",Master_Data!G355)</f>
        <v/>
      </c>
      <c r="L355" s="20">
        <f>IF($A355="","",Master_Data!G356)</f>
        <v/>
      </c>
      <c r="M355" s="20">
        <f>IF(AND(ISNUMBER(K355),ISNUMBER(L355)),L355-K355,"")</f>
        <v/>
      </c>
      <c r="N355" s="19">
        <f>IF(G355="","",IF(AND(ISNUMBER(K355),ISNUMBER(L355)),IF(OR(F355="GOC",F355="OWC",F355="GWC",F355="OWC_TRANSITION",F355="GOC_TRANSITION"),IF(L355&gt;=K355,"Supports","Conflicts"),"N/A"),"No Sw"))</f>
        <v/>
      </c>
      <c r="O355" s="20">
        <f>IF(G355="","",Settings!$B$6*IF(OR(F355="GOC",F355="OWC",F355="GWC"),1,0.7)+Settings!$B$7*IF(N355="Supports",1,IF(N355="Conflicts",0,0.5))+Settings!$B$8*IF(AND(Master_Data!R355&lt;&gt;"",Master_Data!S355&lt;&gt;"",Master_Data!R356&lt;&gt;"",Master_Data!S356&lt;&gt;""),1,0.5))</f>
        <v/>
      </c>
      <c r="P355" s="19">
        <f>IF(G355="","",IF(N355="Conflicts","SW_CONFLICT",IF(OR(F355="GOC",F355="OWC",F355="GWC"),"DIRECT_FLUID_TRANSITION","TRANSITION_INTERVAL")))</f>
        <v/>
      </c>
      <c r="Q355" s="19">
        <f>IF(G355="","",IF(N355="Conflicts","Investigate contact interpretation / saturation behaviour",IF(OR(F355="OWC",F355="GOC",F355="GWC"),"Candidate contact — validate with logs, pressure and dynamic evidence","Transition zone — do not force to a sharp contact")))</f>
        <v/>
      </c>
    </row>
    <row r="356">
      <c r="A356" s="19">
        <f>IF(AND(Master_Data!A356&lt;&gt;"",Master_Data!A356=Master_Data!A357),Master_Data!A356,"")</f>
        <v/>
      </c>
      <c r="B356" s="19">
        <f>IF($A356="","",Master_Data!B356)</f>
        <v/>
      </c>
      <c r="C356" s="19">
        <f>IF($A356="","",Master_Data!B357)</f>
        <v/>
      </c>
      <c r="D356" s="19">
        <f>IF($A356="","",Master_Data!Q356)</f>
        <v/>
      </c>
      <c r="E356" s="19">
        <f>IF($A356="","",Master_Data!Q357)</f>
        <v/>
      </c>
      <c r="F356" s="19">
        <f>IF($A356="","",IF(AND(D356="GAS",E356="OIL"),"GOC",IF(AND(D356="OIL",E356="WATER"),"OWC",IF(AND(D356="GAS",E356="WATER"),"GWC",IF(AND(D356="OIL",E356="OIL_WATER"),"OWC_TRANSITION",IF(AND(D356="OIL_WATER",E356="WATER"),"OWC_TRANSITION",IF(AND(D356="GAS",E356="GAS_WATER"),"GOC_TRANSITION",IF(AND(D356="GAS_WATER",E356="OIL"),"GOC_TRANSITION",IF(OR(D356="OIL_WATER",D356="GAS_WATER"),"TRANSITION_INTERVAL","")))))))))</f>
        <v/>
      </c>
      <c r="G356" s="20">
        <f>IF(OR(F356="",Master_Data!R356="",Master_Data!S356=""),"",IF(RIGHT(F356,10)="TRANSITION",AVERAGE(Master_Data!R356:Master_Data!S356),AVERAGE(Master_Data!S356,Master_Data!R357)))</f>
        <v/>
      </c>
      <c r="H356" s="20">
        <f>IF(G356="","",MAX(Settings!$B$4,Settings!$B$5*AVERAGE(IF(Master_Data!O356&lt;&gt;"",Master_Data!O356,Master_Data!H356),IF(Master_Data!O357&lt;&gt;"",Master_Data!O357,Master_Data!H357))))</f>
        <v/>
      </c>
      <c r="I356" s="20">
        <f>IF(G356="","",G356-H356)</f>
        <v/>
      </c>
      <c r="J356" s="20">
        <f>IF(G356="","",G356+H356)</f>
        <v/>
      </c>
      <c r="K356" s="20">
        <f>IF($A356="","",Master_Data!G356)</f>
        <v/>
      </c>
      <c r="L356" s="20">
        <f>IF($A356="","",Master_Data!G357)</f>
        <v/>
      </c>
      <c r="M356" s="20">
        <f>IF(AND(ISNUMBER(K356),ISNUMBER(L356)),L356-K356,"")</f>
        <v/>
      </c>
      <c r="N356" s="19">
        <f>IF(G356="","",IF(AND(ISNUMBER(K356),ISNUMBER(L356)),IF(OR(F356="GOC",F356="OWC",F356="GWC",F356="OWC_TRANSITION",F356="GOC_TRANSITION"),IF(L356&gt;=K356,"Supports","Conflicts"),"N/A"),"No Sw"))</f>
        <v/>
      </c>
      <c r="O356" s="20">
        <f>IF(G356="","",Settings!$B$6*IF(OR(F356="GOC",F356="OWC",F356="GWC"),1,0.7)+Settings!$B$7*IF(N356="Supports",1,IF(N356="Conflicts",0,0.5))+Settings!$B$8*IF(AND(Master_Data!R356&lt;&gt;"",Master_Data!S356&lt;&gt;"",Master_Data!R357&lt;&gt;"",Master_Data!S357&lt;&gt;""),1,0.5))</f>
        <v/>
      </c>
      <c r="P356" s="19">
        <f>IF(G356="","",IF(N356="Conflicts","SW_CONFLICT",IF(OR(F356="GOC",F356="OWC",F356="GWC"),"DIRECT_FLUID_TRANSITION","TRANSITION_INTERVAL")))</f>
        <v/>
      </c>
      <c r="Q356" s="19">
        <f>IF(G356="","",IF(N356="Conflicts","Investigate contact interpretation / saturation behaviour",IF(OR(F356="OWC",F356="GOC",F356="GWC"),"Candidate contact — validate with logs, pressure and dynamic evidence","Transition zone — do not force to a sharp contact")))</f>
        <v/>
      </c>
    </row>
    <row r="357">
      <c r="A357" s="19">
        <f>IF(AND(Master_Data!A357&lt;&gt;"",Master_Data!A357=Master_Data!A358),Master_Data!A357,"")</f>
        <v/>
      </c>
      <c r="B357" s="19">
        <f>IF($A357="","",Master_Data!B357)</f>
        <v/>
      </c>
      <c r="C357" s="19">
        <f>IF($A357="","",Master_Data!B358)</f>
        <v/>
      </c>
      <c r="D357" s="19">
        <f>IF($A357="","",Master_Data!Q357)</f>
        <v/>
      </c>
      <c r="E357" s="19">
        <f>IF($A357="","",Master_Data!Q358)</f>
        <v/>
      </c>
      <c r="F357" s="19">
        <f>IF($A357="","",IF(AND(D357="GAS",E357="OIL"),"GOC",IF(AND(D357="OIL",E357="WATER"),"OWC",IF(AND(D357="GAS",E357="WATER"),"GWC",IF(AND(D357="OIL",E357="OIL_WATER"),"OWC_TRANSITION",IF(AND(D357="OIL_WATER",E357="WATER"),"OWC_TRANSITION",IF(AND(D357="GAS",E357="GAS_WATER"),"GOC_TRANSITION",IF(AND(D357="GAS_WATER",E357="OIL"),"GOC_TRANSITION",IF(OR(D357="OIL_WATER",D357="GAS_WATER"),"TRANSITION_INTERVAL","")))))))))</f>
        <v/>
      </c>
      <c r="G357" s="20">
        <f>IF(OR(F357="",Master_Data!R357="",Master_Data!S357=""),"",IF(RIGHT(F357,10)="TRANSITION",AVERAGE(Master_Data!R357:Master_Data!S357),AVERAGE(Master_Data!S357,Master_Data!R358)))</f>
        <v/>
      </c>
      <c r="H357" s="20">
        <f>IF(G357="","",MAX(Settings!$B$4,Settings!$B$5*AVERAGE(IF(Master_Data!O357&lt;&gt;"",Master_Data!O357,Master_Data!H357),IF(Master_Data!O358&lt;&gt;"",Master_Data!O358,Master_Data!H358))))</f>
        <v/>
      </c>
      <c r="I357" s="20">
        <f>IF(G357="","",G357-H357)</f>
        <v/>
      </c>
      <c r="J357" s="20">
        <f>IF(G357="","",G357+H357)</f>
        <v/>
      </c>
      <c r="K357" s="20">
        <f>IF($A357="","",Master_Data!G357)</f>
        <v/>
      </c>
      <c r="L357" s="20">
        <f>IF($A357="","",Master_Data!G358)</f>
        <v/>
      </c>
      <c r="M357" s="20">
        <f>IF(AND(ISNUMBER(K357),ISNUMBER(L357)),L357-K357,"")</f>
        <v/>
      </c>
      <c r="N357" s="19">
        <f>IF(G357="","",IF(AND(ISNUMBER(K357),ISNUMBER(L357)),IF(OR(F357="GOC",F357="OWC",F357="GWC",F357="OWC_TRANSITION",F357="GOC_TRANSITION"),IF(L357&gt;=K357,"Supports","Conflicts"),"N/A"),"No Sw"))</f>
        <v/>
      </c>
      <c r="O357" s="20">
        <f>IF(G357="","",Settings!$B$6*IF(OR(F357="GOC",F357="OWC",F357="GWC"),1,0.7)+Settings!$B$7*IF(N357="Supports",1,IF(N357="Conflicts",0,0.5))+Settings!$B$8*IF(AND(Master_Data!R357&lt;&gt;"",Master_Data!S357&lt;&gt;"",Master_Data!R358&lt;&gt;"",Master_Data!S358&lt;&gt;""),1,0.5))</f>
        <v/>
      </c>
      <c r="P357" s="19">
        <f>IF(G357="","",IF(N357="Conflicts","SW_CONFLICT",IF(OR(F357="GOC",F357="OWC",F357="GWC"),"DIRECT_FLUID_TRANSITION","TRANSITION_INTERVAL")))</f>
        <v/>
      </c>
      <c r="Q357" s="19">
        <f>IF(G357="","",IF(N357="Conflicts","Investigate contact interpretation / saturation behaviour",IF(OR(F357="OWC",F357="GOC",F357="GWC"),"Candidate contact — validate with logs, pressure and dynamic evidence","Transition zone — do not force to a sharp contact")))</f>
        <v/>
      </c>
    </row>
    <row r="358">
      <c r="A358" s="19">
        <f>IF(AND(Master_Data!A358&lt;&gt;"",Master_Data!A358=Master_Data!A359),Master_Data!A358,"")</f>
        <v/>
      </c>
      <c r="B358" s="19">
        <f>IF($A358="","",Master_Data!B358)</f>
        <v/>
      </c>
      <c r="C358" s="19">
        <f>IF($A358="","",Master_Data!B359)</f>
        <v/>
      </c>
      <c r="D358" s="19">
        <f>IF($A358="","",Master_Data!Q358)</f>
        <v/>
      </c>
      <c r="E358" s="19">
        <f>IF($A358="","",Master_Data!Q359)</f>
        <v/>
      </c>
      <c r="F358" s="19">
        <f>IF($A358="","",IF(AND(D358="GAS",E358="OIL"),"GOC",IF(AND(D358="OIL",E358="WATER"),"OWC",IF(AND(D358="GAS",E358="WATER"),"GWC",IF(AND(D358="OIL",E358="OIL_WATER"),"OWC_TRANSITION",IF(AND(D358="OIL_WATER",E358="WATER"),"OWC_TRANSITION",IF(AND(D358="GAS",E358="GAS_WATER"),"GOC_TRANSITION",IF(AND(D358="GAS_WATER",E358="OIL"),"GOC_TRANSITION",IF(OR(D358="OIL_WATER",D358="GAS_WATER"),"TRANSITION_INTERVAL","")))))))))</f>
        <v/>
      </c>
      <c r="G358" s="20">
        <f>IF(OR(F358="",Master_Data!R358="",Master_Data!S358=""),"",IF(RIGHT(F358,10)="TRANSITION",AVERAGE(Master_Data!R358:Master_Data!S358),AVERAGE(Master_Data!S358,Master_Data!R359)))</f>
        <v/>
      </c>
      <c r="H358" s="20">
        <f>IF(G358="","",MAX(Settings!$B$4,Settings!$B$5*AVERAGE(IF(Master_Data!O358&lt;&gt;"",Master_Data!O358,Master_Data!H358),IF(Master_Data!O359&lt;&gt;"",Master_Data!O359,Master_Data!H359))))</f>
        <v/>
      </c>
      <c r="I358" s="20">
        <f>IF(G358="","",G358-H358)</f>
        <v/>
      </c>
      <c r="J358" s="20">
        <f>IF(G358="","",G358+H358)</f>
        <v/>
      </c>
      <c r="K358" s="20">
        <f>IF($A358="","",Master_Data!G358)</f>
        <v/>
      </c>
      <c r="L358" s="20">
        <f>IF($A358="","",Master_Data!G359)</f>
        <v/>
      </c>
      <c r="M358" s="20">
        <f>IF(AND(ISNUMBER(K358),ISNUMBER(L358)),L358-K358,"")</f>
        <v/>
      </c>
      <c r="N358" s="19">
        <f>IF(G358="","",IF(AND(ISNUMBER(K358),ISNUMBER(L358)),IF(OR(F358="GOC",F358="OWC",F358="GWC",F358="OWC_TRANSITION",F358="GOC_TRANSITION"),IF(L358&gt;=K358,"Supports","Conflicts"),"N/A"),"No Sw"))</f>
        <v/>
      </c>
      <c r="O358" s="20">
        <f>IF(G358="","",Settings!$B$6*IF(OR(F358="GOC",F358="OWC",F358="GWC"),1,0.7)+Settings!$B$7*IF(N358="Supports",1,IF(N358="Conflicts",0,0.5))+Settings!$B$8*IF(AND(Master_Data!R358&lt;&gt;"",Master_Data!S358&lt;&gt;"",Master_Data!R359&lt;&gt;"",Master_Data!S359&lt;&gt;""),1,0.5))</f>
        <v/>
      </c>
      <c r="P358" s="19">
        <f>IF(G358="","",IF(N358="Conflicts","SW_CONFLICT",IF(OR(F358="GOC",F358="OWC",F358="GWC"),"DIRECT_FLUID_TRANSITION","TRANSITION_INTERVAL")))</f>
        <v/>
      </c>
      <c r="Q358" s="19">
        <f>IF(G358="","",IF(N358="Conflicts","Investigate contact interpretation / saturation behaviour",IF(OR(F358="OWC",F358="GOC",F358="GWC"),"Candidate contact — validate with logs, pressure and dynamic evidence","Transition zone — do not force to a sharp contact")))</f>
        <v/>
      </c>
    </row>
    <row r="359">
      <c r="A359" s="19">
        <f>IF(AND(Master_Data!A359&lt;&gt;"",Master_Data!A359=Master_Data!A360),Master_Data!A359,"")</f>
        <v/>
      </c>
      <c r="B359" s="19">
        <f>IF($A359="","",Master_Data!B359)</f>
        <v/>
      </c>
      <c r="C359" s="19">
        <f>IF($A359="","",Master_Data!B360)</f>
        <v/>
      </c>
      <c r="D359" s="19">
        <f>IF($A359="","",Master_Data!Q359)</f>
        <v/>
      </c>
      <c r="E359" s="19">
        <f>IF($A359="","",Master_Data!Q360)</f>
        <v/>
      </c>
      <c r="F359" s="19">
        <f>IF($A359="","",IF(AND(D359="GAS",E359="OIL"),"GOC",IF(AND(D359="OIL",E359="WATER"),"OWC",IF(AND(D359="GAS",E359="WATER"),"GWC",IF(AND(D359="OIL",E359="OIL_WATER"),"OWC_TRANSITION",IF(AND(D359="OIL_WATER",E359="WATER"),"OWC_TRANSITION",IF(AND(D359="GAS",E359="GAS_WATER"),"GOC_TRANSITION",IF(AND(D359="GAS_WATER",E359="OIL"),"GOC_TRANSITION",IF(OR(D359="OIL_WATER",D359="GAS_WATER"),"TRANSITION_INTERVAL","")))))))))</f>
        <v/>
      </c>
      <c r="G359" s="20">
        <f>IF(OR(F359="",Master_Data!R359="",Master_Data!S359=""),"",IF(RIGHT(F359,10)="TRANSITION",AVERAGE(Master_Data!R359:Master_Data!S359),AVERAGE(Master_Data!S359,Master_Data!R360)))</f>
        <v/>
      </c>
      <c r="H359" s="20">
        <f>IF(G359="","",MAX(Settings!$B$4,Settings!$B$5*AVERAGE(IF(Master_Data!O359&lt;&gt;"",Master_Data!O359,Master_Data!H359),IF(Master_Data!O360&lt;&gt;"",Master_Data!O360,Master_Data!H360))))</f>
        <v/>
      </c>
      <c r="I359" s="20">
        <f>IF(G359="","",G359-H359)</f>
        <v/>
      </c>
      <c r="J359" s="20">
        <f>IF(G359="","",G359+H359)</f>
        <v/>
      </c>
      <c r="K359" s="20">
        <f>IF($A359="","",Master_Data!G359)</f>
        <v/>
      </c>
      <c r="L359" s="20">
        <f>IF($A359="","",Master_Data!G360)</f>
        <v/>
      </c>
      <c r="M359" s="20">
        <f>IF(AND(ISNUMBER(K359),ISNUMBER(L359)),L359-K359,"")</f>
        <v/>
      </c>
      <c r="N359" s="19">
        <f>IF(G359="","",IF(AND(ISNUMBER(K359),ISNUMBER(L359)),IF(OR(F359="GOC",F359="OWC",F359="GWC",F359="OWC_TRANSITION",F359="GOC_TRANSITION"),IF(L359&gt;=K359,"Supports","Conflicts"),"N/A"),"No Sw"))</f>
        <v/>
      </c>
      <c r="O359" s="20">
        <f>IF(G359="","",Settings!$B$6*IF(OR(F359="GOC",F359="OWC",F359="GWC"),1,0.7)+Settings!$B$7*IF(N359="Supports",1,IF(N359="Conflicts",0,0.5))+Settings!$B$8*IF(AND(Master_Data!R359&lt;&gt;"",Master_Data!S359&lt;&gt;"",Master_Data!R360&lt;&gt;"",Master_Data!S360&lt;&gt;""),1,0.5))</f>
        <v/>
      </c>
      <c r="P359" s="19">
        <f>IF(G359="","",IF(N359="Conflicts","SW_CONFLICT",IF(OR(F359="GOC",F359="OWC",F359="GWC"),"DIRECT_FLUID_TRANSITION","TRANSITION_INTERVAL")))</f>
        <v/>
      </c>
      <c r="Q359" s="19">
        <f>IF(G359="","",IF(N359="Conflicts","Investigate contact interpretation / saturation behaviour",IF(OR(F359="OWC",F359="GOC",F359="GWC"),"Candidate contact — validate with logs, pressure and dynamic evidence","Transition zone — do not force to a sharp contact")))</f>
        <v/>
      </c>
    </row>
    <row r="360">
      <c r="A360" s="19">
        <f>IF(AND(Master_Data!A360&lt;&gt;"",Master_Data!A360=Master_Data!A361),Master_Data!A360,"")</f>
        <v/>
      </c>
      <c r="B360" s="19">
        <f>IF($A360="","",Master_Data!B360)</f>
        <v/>
      </c>
      <c r="C360" s="19">
        <f>IF($A360="","",Master_Data!B361)</f>
        <v/>
      </c>
      <c r="D360" s="19">
        <f>IF($A360="","",Master_Data!Q360)</f>
        <v/>
      </c>
      <c r="E360" s="19">
        <f>IF($A360="","",Master_Data!Q361)</f>
        <v/>
      </c>
      <c r="F360" s="19">
        <f>IF($A360="","",IF(AND(D360="GAS",E360="OIL"),"GOC",IF(AND(D360="OIL",E360="WATER"),"OWC",IF(AND(D360="GAS",E360="WATER"),"GWC",IF(AND(D360="OIL",E360="OIL_WATER"),"OWC_TRANSITION",IF(AND(D360="OIL_WATER",E360="WATER"),"OWC_TRANSITION",IF(AND(D360="GAS",E360="GAS_WATER"),"GOC_TRANSITION",IF(AND(D360="GAS_WATER",E360="OIL"),"GOC_TRANSITION",IF(OR(D360="OIL_WATER",D360="GAS_WATER"),"TRANSITION_INTERVAL","")))))))))</f>
        <v/>
      </c>
      <c r="G360" s="20">
        <f>IF(OR(F360="",Master_Data!R360="",Master_Data!S360=""),"",IF(RIGHT(F360,10)="TRANSITION",AVERAGE(Master_Data!R360:Master_Data!S360),AVERAGE(Master_Data!S360,Master_Data!R361)))</f>
        <v/>
      </c>
      <c r="H360" s="20">
        <f>IF(G360="","",MAX(Settings!$B$4,Settings!$B$5*AVERAGE(IF(Master_Data!O360&lt;&gt;"",Master_Data!O360,Master_Data!H360),IF(Master_Data!O361&lt;&gt;"",Master_Data!O361,Master_Data!H361))))</f>
        <v/>
      </c>
      <c r="I360" s="20">
        <f>IF(G360="","",G360-H360)</f>
        <v/>
      </c>
      <c r="J360" s="20">
        <f>IF(G360="","",G360+H360)</f>
        <v/>
      </c>
      <c r="K360" s="20">
        <f>IF($A360="","",Master_Data!G360)</f>
        <v/>
      </c>
      <c r="L360" s="20">
        <f>IF($A360="","",Master_Data!G361)</f>
        <v/>
      </c>
      <c r="M360" s="20">
        <f>IF(AND(ISNUMBER(K360),ISNUMBER(L360)),L360-K360,"")</f>
        <v/>
      </c>
      <c r="N360" s="19">
        <f>IF(G360="","",IF(AND(ISNUMBER(K360),ISNUMBER(L360)),IF(OR(F360="GOC",F360="OWC",F360="GWC",F360="OWC_TRANSITION",F360="GOC_TRANSITION"),IF(L360&gt;=K360,"Supports","Conflicts"),"N/A"),"No Sw"))</f>
        <v/>
      </c>
      <c r="O360" s="20">
        <f>IF(G360="","",Settings!$B$6*IF(OR(F360="GOC",F360="OWC",F360="GWC"),1,0.7)+Settings!$B$7*IF(N360="Supports",1,IF(N360="Conflicts",0,0.5))+Settings!$B$8*IF(AND(Master_Data!R360&lt;&gt;"",Master_Data!S360&lt;&gt;"",Master_Data!R361&lt;&gt;"",Master_Data!S361&lt;&gt;""),1,0.5))</f>
        <v/>
      </c>
      <c r="P360" s="19">
        <f>IF(G360="","",IF(N360="Conflicts","SW_CONFLICT",IF(OR(F360="GOC",F360="OWC",F360="GWC"),"DIRECT_FLUID_TRANSITION","TRANSITION_INTERVAL")))</f>
        <v/>
      </c>
      <c r="Q360" s="19">
        <f>IF(G360="","",IF(N360="Conflicts","Investigate contact interpretation / saturation behaviour",IF(OR(F360="OWC",F360="GOC",F360="GWC"),"Candidate contact — validate with logs, pressure and dynamic evidence","Transition zone — do not force to a sharp contact")))</f>
        <v/>
      </c>
    </row>
    <row r="361">
      <c r="A361" s="19">
        <f>IF(AND(Master_Data!A361&lt;&gt;"",Master_Data!A361=Master_Data!A362),Master_Data!A361,"")</f>
        <v/>
      </c>
      <c r="B361" s="19">
        <f>IF($A361="","",Master_Data!B361)</f>
        <v/>
      </c>
      <c r="C361" s="19">
        <f>IF($A361="","",Master_Data!B362)</f>
        <v/>
      </c>
      <c r="D361" s="19">
        <f>IF($A361="","",Master_Data!Q361)</f>
        <v/>
      </c>
      <c r="E361" s="19">
        <f>IF($A361="","",Master_Data!Q362)</f>
        <v/>
      </c>
      <c r="F361" s="19">
        <f>IF($A361="","",IF(AND(D361="GAS",E361="OIL"),"GOC",IF(AND(D361="OIL",E361="WATER"),"OWC",IF(AND(D361="GAS",E361="WATER"),"GWC",IF(AND(D361="OIL",E361="OIL_WATER"),"OWC_TRANSITION",IF(AND(D361="OIL_WATER",E361="WATER"),"OWC_TRANSITION",IF(AND(D361="GAS",E361="GAS_WATER"),"GOC_TRANSITION",IF(AND(D361="GAS_WATER",E361="OIL"),"GOC_TRANSITION",IF(OR(D361="OIL_WATER",D361="GAS_WATER"),"TRANSITION_INTERVAL","")))))))))</f>
        <v/>
      </c>
      <c r="G361" s="20">
        <f>IF(OR(F361="",Master_Data!R361="",Master_Data!S361=""),"",IF(RIGHT(F361,10)="TRANSITION",AVERAGE(Master_Data!R361:Master_Data!S361),AVERAGE(Master_Data!S361,Master_Data!R362)))</f>
        <v/>
      </c>
      <c r="H361" s="20">
        <f>IF(G361="","",MAX(Settings!$B$4,Settings!$B$5*AVERAGE(IF(Master_Data!O361&lt;&gt;"",Master_Data!O361,Master_Data!H361),IF(Master_Data!O362&lt;&gt;"",Master_Data!O362,Master_Data!H362))))</f>
        <v/>
      </c>
      <c r="I361" s="20">
        <f>IF(G361="","",G361-H361)</f>
        <v/>
      </c>
      <c r="J361" s="20">
        <f>IF(G361="","",G361+H361)</f>
        <v/>
      </c>
      <c r="K361" s="20">
        <f>IF($A361="","",Master_Data!G361)</f>
        <v/>
      </c>
      <c r="L361" s="20">
        <f>IF($A361="","",Master_Data!G362)</f>
        <v/>
      </c>
      <c r="M361" s="20">
        <f>IF(AND(ISNUMBER(K361),ISNUMBER(L361)),L361-K361,"")</f>
        <v/>
      </c>
      <c r="N361" s="19">
        <f>IF(G361="","",IF(AND(ISNUMBER(K361),ISNUMBER(L361)),IF(OR(F361="GOC",F361="OWC",F361="GWC",F361="OWC_TRANSITION",F361="GOC_TRANSITION"),IF(L361&gt;=K361,"Supports","Conflicts"),"N/A"),"No Sw"))</f>
        <v/>
      </c>
      <c r="O361" s="20">
        <f>IF(G361="","",Settings!$B$6*IF(OR(F361="GOC",F361="OWC",F361="GWC"),1,0.7)+Settings!$B$7*IF(N361="Supports",1,IF(N361="Conflicts",0,0.5))+Settings!$B$8*IF(AND(Master_Data!R361&lt;&gt;"",Master_Data!S361&lt;&gt;"",Master_Data!R362&lt;&gt;"",Master_Data!S362&lt;&gt;""),1,0.5))</f>
        <v/>
      </c>
      <c r="P361" s="19">
        <f>IF(G361="","",IF(N361="Conflicts","SW_CONFLICT",IF(OR(F361="GOC",F361="OWC",F361="GWC"),"DIRECT_FLUID_TRANSITION","TRANSITION_INTERVAL")))</f>
        <v/>
      </c>
      <c r="Q361" s="19">
        <f>IF(G361="","",IF(N361="Conflicts","Investigate contact interpretation / saturation behaviour",IF(OR(F361="OWC",F361="GOC",F361="GWC"),"Candidate contact — validate with logs, pressure and dynamic evidence","Transition zone — do not force to a sharp contact")))</f>
        <v/>
      </c>
    </row>
    <row r="362">
      <c r="A362" s="19">
        <f>IF(AND(Master_Data!A362&lt;&gt;"",Master_Data!A362=Master_Data!A363),Master_Data!A362,"")</f>
        <v/>
      </c>
      <c r="B362" s="19">
        <f>IF($A362="","",Master_Data!B362)</f>
        <v/>
      </c>
      <c r="C362" s="19">
        <f>IF($A362="","",Master_Data!B363)</f>
        <v/>
      </c>
      <c r="D362" s="19">
        <f>IF($A362="","",Master_Data!Q362)</f>
        <v/>
      </c>
      <c r="E362" s="19">
        <f>IF($A362="","",Master_Data!Q363)</f>
        <v/>
      </c>
      <c r="F362" s="19">
        <f>IF($A362="","",IF(AND(D362="GAS",E362="OIL"),"GOC",IF(AND(D362="OIL",E362="WATER"),"OWC",IF(AND(D362="GAS",E362="WATER"),"GWC",IF(AND(D362="OIL",E362="OIL_WATER"),"OWC_TRANSITION",IF(AND(D362="OIL_WATER",E362="WATER"),"OWC_TRANSITION",IF(AND(D362="GAS",E362="GAS_WATER"),"GOC_TRANSITION",IF(AND(D362="GAS_WATER",E362="OIL"),"GOC_TRANSITION",IF(OR(D362="OIL_WATER",D362="GAS_WATER"),"TRANSITION_INTERVAL","")))))))))</f>
        <v/>
      </c>
      <c r="G362" s="20">
        <f>IF(OR(F362="",Master_Data!R362="",Master_Data!S362=""),"",IF(RIGHT(F362,10)="TRANSITION",AVERAGE(Master_Data!R362:Master_Data!S362),AVERAGE(Master_Data!S362,Master_Data!R363)))</f>
        <v/>
      </c>
      <c r="H362" s="20">
        <f>IF(G362="","",MAX(Settings!$B$4,Settings!$B$5*AVERAGE(IF(Master_Data!O362&lt;&gt;"",Master_Data!O362,Master_Data!H362),IF(Master_Data!O363&lt;&gt;"",Master_Data!O363,Master_Data!H363))))</f>
        <v/>
      </c>
      <c r="I362" s="20">
        <f>IF(G362="","",G362-H362)</f>
        <v/>
      </c>
      <c r="J362" s="20">
        <f>IF(G362="","",G362+H362)</f>
        <v/>
      </c>
      <c r="K362" s="20">
        <f>IF($A362="","",Master_Data!G362)</f>
        <v/>
      </c>
      <c r="L362" s="20">
        <f>IF($A362="","",Master_Data!G363)</f>
        <v/>
      </c>
      <c r="M362" s="20">
        <f>IF(AND(ISNUMBER(K362),ISNUMBER(L362)),L362-K362,"")</f>
        <v/>
      </c>
      <c r="N362" s="19">
        <f>IF(G362="","",IF(AND(ISNUMBER(K362),ISNUMBER(L362)),IF(OR(F362="GOC",F362="OWC",F362="GWC",F362="OWC_TRANSITION",F362="GOC_TRANSITION"),IF(L362&gt;=K362,"Supports","Conflicts"),"N/A"),"No Sw"))</f>
        <v/>
      </c>
      <c r="O362" s="20">
        <f>IF(G362="","",Settings!$B$6*IF(OR(F362="GOC",F362="OWC",F362="GWC"),1,0.7)+Settings!$B$7*IF(N362="Supports",1,IF(N362="Conflicts",0,0.5))+Settings!$B$8*IF(AND(Master_Data!R362&lt;&gt;"",Master_Data!S362&lt;&gt;"",Master_Data!R363&lt;&gt;"",Master_Data!S363&lt;&gt;""),1,0.5))</f>
        <v/>
      </c>
      <c r="P362" s="19">
        <f>IF(G362="","",IF(N362="Conflicts","SW_CONFLICT",IF(OR(F362="GOC",F362="OWC",F362="GWC"),"DIRECT_FLUID_TRANSITION","TRANSITION_INTERVAL")))</f>
        <v/>
      </c>
      <c r="Q362" s="19">
        <f>IF(G362="","",IF(N362="Conflicts","Investigate contact interpretation / saturation behaviour",IF(OR(F362="OWC",F362="GOC",F362="GWC"),"Candidate contact — validate with logs, pressure and dynamic evidence","Transition zone — do not force to a sharp contact")))</f>
        <v/>
      </c>
    </row>
    <row r="363">
      <c r="A363" s="19">
        <f>IF(AND(Master_Data!A363&lt;&gt;"",Master_Data!A363=Master_Data!A364),Master_Data!A363,"")</f>
        <v/>
      </c>
      <c r="B363" s="19">
        <f>IF($A363="","",Master_Data!B363)</f>
        <v/>
      </c>
      <c r="C363" s="19">
        <f>IF($A363="","",Master_Data!B364)</f>
        <v/>
      </c>
      <c r="D363" s="19">
        <f>IF($A363="","",Master_Data!Q363)</f>
        <v/>
      </c>
      <c r="E363" s="19">
        <f>IF($A363="","",Master_Data!Q364)</f>
        <v/>
      </c>
      <c r="F363" s="19">
        <f>IF($A363="","",IF(AND(D363="GAS",E363="OIL"),"GOC",IF(AND(D363="OIL",E363="WATER"),"OWC",IF(AND(D363="GAS",E363="WATER"),"GWC",IF(AND(D363="OIL",E363="OIL_WATER"),"OWC_TRANSITION",IF(AND(D363="OIL_WATER",E363="WATER"),"OWC_TRANSITION",IF(AND(D363="GAS",E363="GAS_WATER"),"GOC_TRANSITION",IF(AND(D363="GAS_WATER",E363="OIL"),"GOC_TRANSITION",IF(OR(D363="OIL_WATER",D363="GAS_WATER"),"TRANSITION_INTERVAL","")))))))))</f>
        <v/>
      </c>
      <c r="G363" s="20">
        <f>IF(OR(F363="",Master_Data!R363="",Master_Data!S363=""),"",IF(RIGHT(F363,10)="TRANSITION",AVERAGE(Master_Data!R363:Master_Data!S363),AVERAGE(Master_Data!S363,Master_Data!R364)))</f>
        <v/>
      </c>
      <c r="H363" s="20">
        <f>IF(G363="","",MAX(Settings!$B$4,Settings!$B$5*AVERAGE(IF(Master_Data!O363&lt;&gt;"",Master_Data!O363,Master_Data!H363),IF(Master_Data!O364&lt;&gt;"",Master_Data!O364,Master_Data!H364))))</f>
        <v/>
      </c>
      <c r="I363" s="20">
        <f>IF(G363="","",G363-H363)</f>
        <v/>
      </c>
      <c r="J363" s="20">
        <f>IF(G363="","",G363+H363)</f>
        <v/>
      </c>
      <c r="K363" s="20">
        <f>IF($A363="","",Master_Data!G363)</f>
        <v/>
      </c>
      <c r="L363" s="20">
        <f>IF($A363="","",Master_Data!G364)</f>
        <v/>
      </c>
      <c r="M363" s="20">
        <f>IF(AND(ISNUMBER(K363),ISNUMBER(L363)),L363-K363,"")</f>
        <v/>
      </c>
      <c r="N363" s="19">
        <f>IF(G363="","",IF(AND(ISNUMBER(K363),ISNUMBER(L363)),IF(OR(F363="GOC",F363="OWC",F363="GWC",F363="OWC_TRANSITION",F363="GOC_TRANSITION"),IF(L363&gt;=K363,"Supports","Conflicts"),"N/A"),"No Sw"))</f>
        <v/>
      </c>
      <c r="O363" s="20">
        <f>IF(G363="","",Settings!$B$6*IF(OR(F363="GOC",F363="OWC",F363="GWC"),1,0.7)+Settings!$B$7*IF(N363="Supports",1,IF(N363="Conflicts",0,0.5))+Settings!$B$8*IF(AND(Master_Data!R363&lt;&gt;"",Master_Data!S363&lt;&gt;"",Master_Data!R364&lt;&gt;"",Master_Data!S364&lt;&gt;""),1,0.5))</f>
        <v/>
      </c>
      <c r="P363" s="19">
        <f>IF(G363="","",IF(N363="Conflicts","SW_CONFLICT",IF(OR(F363="GOC",F363="OWC",F363="GWC"),"DIRECT_FLUID_TRANSITION","TRANSITION_INTERVAL")))</f>
        <v/>
      </c>
      <c r="Q363" s="19">
        <f>IF(G363="","",IF(N363="Conflicts","Investigate contact interpretation / saturation behaviour",IF(OR(F363="OWC",F363="GOC",F363="GWC"),"Candidate contact — validate with logs, pressure and dynamic evidence","Transition zone — do not force to a sharp contact")))</f>
        <v/>
      </c>
    </row>
    <row r="364">
      <c r="A364" s="19">
        <f>IF(AND(Master_Data!A364&lt;&gt;"",Master_Data!A364=Master_Data!A365),Master_Data!A364,"")</f>
        <v/>
      </c>
      <c r="B364" s="19">
        <f>IF($A364="","",Master_Data!B364)</f>
        <v/>
      </c>
      <c r="C364" s="19">
        <f>IF($A364="","",Master_Data!B365)</f>
        <v/>
      </c>
      <c r="D364" s="19">
        <f>IF($A364="","",Master_Data!Q364)</f>
        <v/>
      </c>
      <c r="E364" s="19">
        <f>IF($A364="","",Master_Data!Q365)</f>
        <v/>
      </c>
      <c r="F364" s="19">
        <f>IF($A364="","",IF(AND(D364="GAS",E364="OIL"),"GOC",IF(AND(D364="OIL",E364="WATER"),"OWC",IF(AND(D364="GAS",E364="WATER"),"GWC",IF(AND(D364="OIL",E364="OIL_WATER"),"OWC_TRANSITION",IF(AND(D364="OIL_WATER",E364="WATER"),"OWC_TRANSITION",IF(AND(D364="GAS",E364="GAS_WATER"),"GOC_TRANSITION",IF(AND(D364="GAS_WATER",E364="OIL"),"GOC_TRANSITION",IF(OR(D364="OIL_WATER",D364="GAS_WATER"),"TRANSITION_INTERVAL","")))))))))</f>
        <v/>
      </c>
      <c r="G364" s="20">
        <f>IF(OR(F364="",Master_Data!R364="",Master_Data!S364=""),"",IF(RIGHT(F364,10)="TRANSITION",AVERAGE(Master_Data!R364:Master_Data!S364),AVERAGE(Master_Data!S364,Master_Data!R365)))</f>
        <v/>
      </c>
      <c r="H364" s="20">
        <f>IF(G364="","",MAX(Settings!$B$4,Settings!$B$5*AVERAGE(IF(Master_Data!O364&lt;&gt;"",Master_Data!O364,Master_Data!H364),IF(Master_Data!O365&lt;&gt;"",Master_Data!O365,Master_Data!H365))))</f>
        <v/>
      </c>
      <c r="I364" s="20">
        <f>IF(G364="","",G364-H364)</f>
        <v/>
      </c>
      <c r="J364" s="20">
        <f>IF(G364="","",G364+H364)</f>
        <v/>
      </c>
      <c r="K364" s="20">
        <f>IF($A364="","",Master_Data!G364)</f>
        <v/>
      </c>
      <c r="L364" s="20">
        <f>IF($A364="","",Master_Data!G365)</f>
        <v/>
      </c>
      <c r="M364" s="20">
        <f>IF(AND(ISNUMBER(K364),ISNUMBER(L364)),L364-K364,"")</f>
        <v/>
      </c>
      <c r="N364" s="19">
        <f>IF(G364="","",IF(AND(ISNUMBER(K364),ISNUMBER(L364)),IF(OR(F364="GOC",F364="OWC",F364="GWC",F364="OWC_TRANSITION",F364="GOC_TRANSITION"),IF(L364&gt;=K364,"Supports","Conflicts"),"N/A"),"No Sw"))</f>
        <v/>
      </c>
      <c r="O364" s="20">
        <f>IF(G364="","",Settings!$B$6*IF(OR(F364="GOC",F364="OWC",F364="GWC"),1,0.7)+Settings!$B$7*IF(N364="Supports",1,IF(N364="Conflicts",0,0.5))+Settings!$B$8*IF(AND(Master_Data!R364&lt;&gt;"",Master_Data!S364&lt;&gt;"",Master_Data!R365&lt;&gt;"",Master_Data!S365&lt;&gt;""),1,0.5))</f>
        <v/>
      </c>
      <c r="P364" s="19">
        <f>IF(G364="","",IF(N364="Conflicts","SW_CONFLICT",IF(OR(F364="GOC",F364="OWC",F364="GWC"),"DIRECT_FLUID_TRANSITION","TRANSITION_INTERVAL")))</f>
        <v/>
      </c>
      <c r="Q364" s="19">
        <f>IF(G364="","",IF(N364="Conflicts","Investigate contact interpretation / saturation behaviour",IF(OR(F364="OWC",F364="GOC",F364="GWC"),"Candidate contact — validate with logs, pressure and dynamic evidence","Transition zone — do not force to a sharp contact")))</f>
        <v/>
      </c>
    </row>
    <row r="365">
      <c r="A365" s="19">
        <f>IF(AND(Master_Data!A365&lt;&gt;"",Master_Data!A365=Master_Data!A366),Master_Data!A365,"")</f>
        <v/>
      </c>
      <c r="B365" s="19">
        <f>IF($A365="","",Master_Data!B365)</f>
        <v/>
      </c>
      <c r="C365" s="19">
        <f>IF($A365="","",Master_Data!B366)</f>
        <v/>
      </c>
      <c r="D365" s="19">
        <f>IF($A365="","",Master_Data!Q365)</f>
        <v/>
      </c>
      <c r="E365" s="19">
        <f>IF($A365="","",Master_Data!Q366)</f>
        <v/>
      </c>
      <c r="F365" s="19">
        <f>IF($A365="","",IF(AND(D365="GAS",E365="OIL"),"GOC",IF(AND(D365="OIL",E365="WATER"),"OWC",IF(AND(D365="GAS",E365="WATER"),"GWC",IF(AND(D365="OIL",E365="OIL_WATER"),"OWC_TRANSITION",IF(AND(D365="OIL_WATER",E365="WATER"),"OWC_TRANSITION",IF(AND(D365="GAS",E365="GAS_WATER"),"GOC_TRANSITION",IF(AND(D365="GAS_WATER",E365="OIL"),"GOC_TRANSITION",IF(OR(D365="OIL_WATER",D365="GAS_WATER"),"TRANSITION_INTERVAL","")))))))))</f>
        <v/>
      </c>
      <c r="G365" s="20">
        <f>IF(OR(F365="",Master_Data!R365="",Master_Data!S365=""),"",IF(RIGHT(F365,10)="TRANSITION",AVERAGE(Master_Data!R365:Master_Data!S365),AVERAGE(Master_Data!S365,Master_Data!R366)))</f>
        <v/>
      </c>
      <c r="H365" s="20">
        <f>IF(G365="","",MAX(Settings!$B$4,Settings!$B$5*AVERAGE(IF(Master_Data!O365&lt;&gt;"",Master_Data!O365,Master_Data!H365),IF(Master_Data!O366&lt;&gt;"",Master_Data!O366,Master_Data!H366))))</f>
        <v/>
      </c>
      <c r="I365" s="20">
        <f>IF(G365="","",G365-H365)</f>
        <v/>
      </c>
      <c r="J365" s="20">
        <f>IF(G365="","",G365+H365)</f>
        <v/>
      </c>
      <c r="K365" s="20">
        <f>IF($A365="","",Master_Data!G365)</f>
        <v/>
      </c>
      <c r="L365" s="20">
        <f>IF($A365="","",Master_Data!G366)</f>
        <v/>
      </c>
      <c r="M365" s="20">
        <f>IF(AND(ISNUMBER(K365),ISNUMBER(L365)),L365-K365,"")</f>
        <v/>
      </c>
      <c r="N365" s="19">
        <f>IF(G365="","",IF(AND(ISNUMBER(K365),ISNUMBER(L365)),IF(OR(F365="GOC",F365="OWC",F365="GWC",F365="OWC_TRANSITION",F365="GOC_TRANSITION"),IF(L365&gt;=K365,"Supports","Conflicts"),"N/A"),"No Sw"))</f>
        <v/>
      </c>
      <c r="O365" s="20">
        <f>IF(G365="","",Settings!$B$6*IF(OR(F365="GOC",F365="OWC",F365="GWC"),1,0.7)+Settings!$B$7*IF(N365="Supports",1,IF(N365="Conflicts",0,0.5))+Settings!$B$8*IF(AND(Master_Data!R365&lt;&gt;"",Master_Data!S365&lt;&gt;"",Master_Data!R366&lt;&gt;"",Master_Data!S366&lt;&gt;""),1,0.5))</f>
        <v/>
      </c>
      <c r="P365" s="19">
        <f>IF(G365="","",IF(N365="Conflicts","SW_CONFLICT",IF(OR(F365="GOC",F365="OWC",F365="GWC"),"DIRECT_FLUID_TRANSITION","TRANSITION_INTERVAL")))</f>
        <v/>
      </c>
      <c r="Q365" s="19">
        <f>IF(G365="","",IF(N365="Conflicts","Investigate contact interpretation / saturation behaviour",IF(OR(F365="OWC",F365="GOC",F365="GWC"),"Candidate contact — validate with logs, pressure and dynamic evidence","Transition zone — do not force to a sharp contact")))</f>
        <v/>
      </c>
    </row>
    <row r="366">
      <c r="A366" s="19">
        <f>IF(AND(Master_Data!A366&lt;&gt;"",Master_Data!A366=Master_Data!A367),Master_Data!A366,"")</f>
        <v/>
      </c>
      <c r="B366" s="19">
        <f>IF($A366="","",Master_Data!B366)</f>
        <v/>
      </c>
      <c r="C366" s="19">
        <f>IF($A366="","",Master_Data!B367)</f>
        <v/>
      </c>
      <c r="D366" s="19">
        <f>IF($A366="","",Master_Data!Q366)</f>
        <v/>
      </c>
      <c r="E366" s="19">
        <f>IF($A366="","",Master_Data!Q367)</f>
        <v/>
      </c>
      <c r="F366" s="19">
        <f>IF($A366="","",IF(AND(D366="GAS",E366="OIL"),"GOC",IF(AND(D366="OIL",E366="WATER"),"OWC",IF(AND(D366="GAS",E366="WATER"),"GWC",IF(AND(D366="OIL",E366="OIL_WATER"),"OWC_TRANSITION",IF(AND(D366="OIL_WATER",E366="WATER"),"OWC_TRANSITION",IF(AND(D366="GAS",E366="GAS_WATER"),"GOC_TRANSITION",IF(AND(D366="GAS_WATER",E366="OIL"),"GOC_TRANSITION",IF(OR(D366="OIL_WATER",D366="GAS_WATER"),"TRANSITION_INTERVAL","")))))))))</f>
        <v/>
      </c>
      <c r="G366" s="20">
        <f>IF(OR(F366="",Master_Data!R366="",Master_Data!S366=""),"",IF(RIGHT(F366,10)="TRANSITION",AVERAGE(Master_Data!R366:Master_Data!S366),AVERAGE(Master_Data!S366,Master_Data!R367)))</f>
        <v/>
      </c>
      <c r="H366" s="20">
        <f>IF(G366="","",MAX(Settings!$B$4,Settings!$B$5*AVERAGE(IF(Master_Data!O366&lt;&gt;"",Master_Data!O366,Master_Data!H366),IF(Master_Data!O367&lt;&gt;"",Master_Data!O367,Master_Data!H367))))</f>
        <v/>
      </c>
      <c r="I366" s="20">
        <f>IF(G366="","",G366-H366)</f>
        <v/>
      </c>
      <c r="J366" s="20">
        <f>IF(G366="","",G366+H366)</f>
        <v/>
      </c>
      <c r="K366" s="20">
        <f>IF($A366="","",Master_Data!G366)</f>
        <v/>
      </c>
      <c r="L366" s="20">
        <f>IF($A366="","",Master_Data!G367)</f>
        <v/>
      </c>
      <c r="M366" s="20">
        <f>IF(AND(ISNUMBER(K366),ISNUMBER(L366)),L366-K366,"")</f>
        <v/>
      </c>
      <c r="N366" s="19">
        <f>IF(G366="","",IF(AND(ISNUMBER(K366),ISNUMBER(L366)),IF(OR(F366="GOC",F366="OWC",F366="GWC",F366="OWC_TRANSITION",F366="GOC_TRANSITION"),IF(L366&gt;=K366,"Supports","Conflicts"),"N/A"),"No Sw"))</f>
        <v/>
      </c>
      <c r="O366" s="20">
        <f>IF(G366="","",Settings!$B$6*IF(OR(F366="GOC",F366="OWC",F366="GWC"),1,0.7)+Settings!$B$7*IF(N366="Supports",1,IF(N366="Conflicts",0,0.5))+Settings!$B$8*IF(AND(Master_Data!R366&lt;&gt;"",Master_Data!S366&lt;&gt;"",Master_Data!R367&lt;&gt;"",Master_Data!S367&lt;&gt;""),1,0.5))</f>
        <v/>
      </c>
      <c r="P366" s="19">
        <f>IF(G366="","",IF(N366="Conflicts","SW_CONFLICT",IF(OR(F366="GOC",F366="OWC",F366="GWC"),"DIRECT_FLUID_TRANSITION","TRANSITION_INTERVAL")))</f>
        <v/>
      </c>
      <c r="Q366" s="19">
        <f>IF(G366="","",IF(N366="Conflicts","Investigate contact interpretation / saturation behaviour",IF(OR(F366="OWC",F366="GOC",F366="GWC"),"Candidate contact — validate with logs, pressure and dynamic evidence","Transition zone — do not force to a sharp contact")))</f>
        <v/>
      </c>
    </row>
    <row r="367">
      <c r="A367" s="19">
        <f>IF(AND(Master_Data!A367&lt;&gt;"",Master_Data!A367=Master_Data!A368),Master_Data!A367,"")</f>
        <v/>
      </c>
      <c r="B367" s="19">
        <f>IF($A367="","",Master_Data!B367)</f>
        <v/>
      </c>
      <c r="C367" s="19">
        <f>IF($A367="","",Master_Data!B368)</f>
        <v/>
      </c>
      <c r="D367" s="19">
        <f>IF($A367="","",Master_Data!Q367)</f>
        <v/>
      </c>
      <c r="E367" s="19">
        <f>IF($A367="","",Master_Data!Q368)</f>
        <v/>
      </c>
      <c r="F367" s="19">
        <f>IF($A367="","",IF(AND(D367="GAS",E367="OIL"),"GOC",IF(AND(D367="OIL",E367="WATER"),"OWC",IF(AND(D367="GAS",E367="WATER"),"GWC",IF(AND(D367="OIL",E367="OIL_WATER"),"OWC_TRANSITION",IF(AND(D367="OIL_WATER",E367="WATER"),"OWC_TRANSITION",IF(AND(D367="GAS",E367="GAS_WATER"),"GOC_TRANSITION",IF(AND(D367="GAS_WATER",E367="OIL"),"GOC_TRANSITION",IF(OR(D367="OIL_WATER",D367="GAS_WATER"),"TRANSITION_INTERVAL","")))))))))</f>
        <v/>
      </c>
      <c r="G367" s="20">
        <f>IF(OR(F367="",Master_Data!R367="",Master_Data!S367=""),"",IF(RIGHT(F367,10)="TRANSITION",AVERAGE(Master_Data!R367:Master_Data!S367),AVERAGE(Master_Data!S367,Master_Data!R368)))</f>
        <v/>
      </c>
      <c r="H367" s="20">
        <f>IF(G367="","",MAX(Settings!$B$4,Settings!$B$5*AVERAGE(IF(Master_Data!O367&lt;&gt;"",Master_Data!O367,Master_Data!H367),IF(Master_Data!O368&lt;&gt;"",Master_Data!O368,Master_Data!H368))))</f>
        <v/>
      </c>
      <c r="I367" s="20">
        <f>IF(G367="","",G367-H367)</f>
        <v/>
      </c>
      <c r="J367" s="20">
        <f>IF(G367="","",G367+H367)</f>
        <v/>
      </c>
      <c r="K367" s="20">
        <f>IF($A367="","",Master_Data!G367)</f>
        <v/>
      </c>
      <c r="L367" s="20">
        <f>IF($A367="","",Master_Data!G368)</f>
        <v/>
      </c>
      <c r="M367" s="20">
        <f>IF(AND(ISNUMBER(K367),ISNUMBER(L367)),L367-K367,"")</f>
        <v/>
      </c>
      <c r="N367" s="19">
        <f>IF(G367="","",IF(AND(ISNUMBER(K367),ISNUMBER(L367)),IF(OR(F367="GOC",F367="OWC",F367="GWC",F367="OWC_TRANSITION",F367="GOC_TRANSITION"),IF(L367&gt;=K367,"Supports","Conflicts"),"N/A"),"No Sw"))</f>
        <v/>
      </c>
      <c r="O367" s="20">
        <f>IF(G367="","",Settings!$B$6*IF(OR(F367="GOC",F367="OWC",F367="GWC"),1,0.7)+Settings!$B$7*IF(N367="Supports",1,IF(N367="Conflicts",0,0.5))+Settings!$B$8*IF(AND(Master_Data!R367&lt;&gt;"",Master_Data!S367&lt;&gt;"",Master_Data!R368&lt;&gt;"",Master_Data!S368&lt;&gt;""),1,0.5))</f>
        <v/>
      </c>
      <c r="P367" s="19">
        <f>IF(G367="","",IF(N367="Conflicts","SW_CONFLICT",IF(OR(F367="GOC",F367="OWC",F367="GWC"),"DIRECT_FLUID_TRANSITION","TRANSITION_INTERVAL")))</f>
        <v/>
      </c>
      <c r="Q367" s="19">
        <f>IF(G367="","",IF(N367="Conflicts","Investigate contact interpretation / saturation behaviour",IF(OR(F367="OWC",F367="GOC",F367="GWC"),"Candidate contact — validate with logs, pressure and dynamic evidence","Transition zone — do not force to a sharp contact")))</f>
        <v/>
      </c>
    </row>
    <row r="368">
      <c r="A368" s="19">
        <f>IF(AND(Master_Data!A368&lt;&gt;"",Master_Data!A368=Master_Data!A369),Master_Data!A368,"")</f>
        <v/>
      </c>
      <c r="B368" s="19">
        <f>IF($A368="","",Master_Data!B368)</f>
        <v/>
      </c>
      <c r="C368" s="19">
        <f>IF($A368="","",Master_Data!B369)</f>
        <v/>
      </c>
      <c r="D368" s="19">
        <f>IF($A368="","",Master_Data!Q368)</f>
        <v/>
      </c>
      <c r="E368" s="19">
        <f>IF($A368="","",Master_Data!Q369)</f>
        <v/>
      </c>
      <c r="F368" s="19">
        <f>IF($A368="","",IF(AND(D368="GAS",E368="OIL"),"GOC",IF(AND(D368="OIL",E368="WATER"),"OWC",IF(AND(D368="GAS",E368="WATER"),"GWC",IF(AND(D368="OIL",E368="OIL_WATER"),"OWC_TRANSITION",IF(AND(D368="OIL_WATER",E368="WATER"),"OWC_TRANSITION",IF(AND(D368="GAS",E368="GAS_WATER"),"GOC_TRANSITION",IF(AND(D368="GAS_WATER",E368="OIL"),"GOC_TRANSITION",IF(OR(D368="OIL_WATER",D368="GAS_WATER"),"TRANSITION_INTERVAL","")))))))))</f>
        <v/>
      </c>
      <c r="G368" s="20">
        <f>IF(OR(F368="",Master_Data!R368="",Master_Data!S368=""),"",IF(RIGHT(F368,10)="TRANSITION",AVERAGE(Master_Data!R368:Master_Data!S368),AVERAGE(Master_Data!S368,Master_Data!R369)))</f>
        <v/>
      </c>
      <c r="H368" s="20">
        <f>IF(G368="","",MAX(Settings!$B$4,Settings!$B$5*AVERAGE(IF(Master_Data!O368&lt;&gt;"",Master_Data!O368,Master_Data!H368),IF(Master_Data!O369&lt;&gt;"",Master_Data!O369,Master_Data!H369))))</f>
        <v/>
      </c>
      <c r="I368" s="20">
        <f>IF(G368="","",G368-H368)</f>
        <v/>
      </c>
      <c r="J368" s="20">
        <f>IF(G368="","",G368+H368)</f>
        <v/>
      </c>
      <c r="K368" s="20">
        <f>IF($A368="","",Master_Data!G368)</f>
        <v/>
      </c>
      <c r="L368" s="20">
        <f>IF($A368="","",Master_Data!G369)</f>
        <v/>
      </c>
      <c r="M368" s="20">
        <f>IF(AND(ISNUMBER(K368),ISNUMBER(L368)),L368-K368,"")</f>
        <v/>
      </c>
      <c r="N368" s="19">
        <f>IF(G368="","",IF(AND(ISNUMBER(K368),ISNUMBER(L368)),IF(OR(F368="GOC",F368="OWC",F368="GWC",F368="OWC_TRANSITION",F368="GOC_TRANSITION"),IF(L368&gt;=K368,"Supports","Conflicts"),"N/A"),"No Sw"))</f>
        <v/>
      </c>
      <c r="O368" s="20">
        <f>IF(G368="","",Settings!$B$6*IF(OR(F368="GOC",F368="OWC",F368="GWC"),1,0.7)+Settings!$B$7*IF(N368="Supports",1,IF(N368="Conflicts",0,0.5))+Settings!$B$8*IF(AND(Master_Data!R368&lt;&gt;"",Master_Data!S368&lt;&gt;"",Master_Data!R369&lt;&gt;"",Master_Data!S369&lt;&gt;""),1,0.5))</f>
        <v/>
      </c>
      <c r="P368" s="19">
        <f>IF(G368="","",IF(N368="Conflicts","SW_CONFLICT",IF(OR(F368="GOC",F368="OWC",F368="GWC"),"DIRECT_FLUID_TRANSITION","TRANSITION_INTERVAL")))</f>
        <v/>
      </c>
      <c r="Q368" s="19">
        <f>IF(G368="","",IF(N368="Conflicts","Investigate contact interpretation / saturation behaviour",IF(OR(F368="OWC",F368="GOC",F368="GWC"),"Candidate contact — validate with logs, pressure and dynamic evidence","Transition zone — do not force to a sharp contact")))</f>
        <v/>
      </c>
    </row>
    <row r="369">
      <c r="A369" s="19">
        <f>IF(AND(Master_Data!A369&lt;&gt;"",Master_Data!A369=Master_Data!A370),Master_Data!A369,"")</f>
        <v/>
      </c>
      <c r="B369" s="19">
        <f>IF($A369="","",Master_Data!B369)</f>
        <v/>
      </c>
      <c r="C369" s="19">
        <f>IF($A369="","",Master_Data!B370)</f>
        <v/>
      </c>
      <c r="D369" s="19">
        <f>IF($A369="","",Master_Data!Q369)</f>
        <v/>
      </c>
      <c r="E369" s="19">
        <f>IF($A369="","",Master_Data!Q370)</f>
        <v/>
      </c>
      <c r="F369" s="19">
        <f>IF($A369="","",IF(AND(D369="GAS",E369="OIL"),"GOC",IF(AND(D369="OIL",E369="WATER"),"OWC",IF(AND(D369="GAS",E369="WATER"),"GWC",IF(AND(D369="OIL",E369="OIL_WATER"),"OWC_TRANSITION",IF(AND(D369="OIL_WATER",E369="WATER"),"OWC_TRANSITION",IF(AND(D369="GAS",E369="GAS_WATER"),"GOC_TRANSITION",IF(AND(D369="GAS_WATER",E369="OIL"),"GOC_TRANSITION",IF(OR(D369="OIL_WATER",D369="GAS_WATER"),"TRANSITION_INTERVAL","")))))))))</f>
        <v/>
      </c>
      <c r="G369" s="20">
        <f>IF(OR(F369="",Master_Data!R369="",Master_Data!S369=""),"",IF(RIGHT(F369,10)="TRANSITION",AVERAGE(Master_Data!R369:Master_Data!S369),AVERAGE(Master_Data!S369,Master_Data!R370)))</f>
        <v/>
      </c>
      <c r="H369" s="20">
        <f>IF(G369="","",MAX(Settings!$B$4,Settings!$B$5*AVERAGE(IF(Master_Data!O369&lt;&gt;"",Master_Data!O369,Master_Data!H369),IF(Master_Data!O370&lt;&gt;"",Master_Data!O370,Master_Data!H370))))</f>
        <v/>
      </c>
      <c r="I369" s="20">
        <f>IF(G369="","",G369-H369)</f>
        <v/>
      </c>
      <c r="J369" s="20">
        <f>IF(G369="","",G369+H369)</f>
        <v/>
      </c>
      <c r="K369" s="20">
        <f>IF($A369="","",Master_Data!G369)</f>
        <v/>
      </c>
      <c r="L369" s="20">
        <f>IF($A369="","",Master_Data!G370)</f>
        <v/>
      </c>
      <c r="M369" s="20">
        <f>IF(AND(ISNUMBER(K369),ISNUMBER(L369)),L369-K369,"")</f>
        <v/>
      </c>
      <c r="N369" s="19">
        <f>IF(G369="","",IF(AND(ISNUMBER(K369),ISNUMBER(L369)),IF(OR(F369="GOC",F369="OWC",F369="GWC",F369="OWC_TRANSITION",F369="GOC_TRANSITION"),IF(L369&gt;=K369,"Supports","Conflicts"),"N/A"),"No Sw"))</f>
        <v/>
      </c>
      <c r="O369" s="20">
        <f>IF(G369="","",Settings!$B$6*IF(OR(F369="GOC",F369="OWC",F369="GWC"),1,0.7)+Settings!$B$7*IF(N369="Supports",1,IF(N369="Conflicts",0,0.5))+Settings!$B$8*IF(AND(Master_Data!R369&lt;&gt;"",Master_Data!S369&lt;&gt;"",Master_Data!R370&lt;&gt;"",Master_Data!S370&lt;&gt;""),1,0.5))</f>
        <v/>
      </c>
      <c r="P369" s="19">
        <f>IF(G369="","",IF(N369="Conflicts","SW_CONFLICT",IF(OR(F369="GOC",F369="OWC",F369="GWC"),"DIRECT_FLUID_TRANSITION","TRANSITION_INTERVAL")))</f>
        <v/>
      </c>
      <c r="Q369" s="19">
        <f>IF(G369="","",IF(N369="Conflicts","Investigate contact interpretation / saturation behaviour",IF(OR(F369="OWC",F369="GOC",F369="GWC"),"Candidate contact — validate with logs, pressure and dynamic evidence","Transition zone — do not force to a sharp contact")))</f>
        <v/>
      </c>
    </row>
    <row r="370">
      <c r="A370" s="19">
        <f>IF(AND(Master_Data!A370&lt;&gt;"",Master_Data!A370=Master_Data!A371),Master_Data!A370,"")</f>
        <v/>
      </c>
      <c r="B370" s="19">
        <f>IF($A370="","",Master_Data!B370)</f>
        <v/>
      </c>
      <c r="C370" s="19">
        <f>IF($A370="","",Master_Data!B371)</f>
        <v/>
      </c>
      <c r="D370" s="19">
        <f>IF($A370="","",Master_Data!Q370)</f>
        <v/>
      </c>
      <c r="E370" s="19">
        <f>IF($A370="","",Master_Data!Q371)</f>
        <v/>
      </c>
      <c r="F370" s="19">
        <f>IF($A370="","",IF(AND(D370="GAS",E370="OIL"),"GOC",IF(AND(D370="OIL",E370="WATER"),"OWC",IF(AND(D370="GAS",E370="WATER"),"GWC",IF(AND(D370="OIL",E370="OIL_WATER"),"OWC_TRANSITION",IF(AND(D370="OIL_WATER",E370="WATER"),"OWC_TRANSITION",IF(AND(D370="GAS",E370="GAS_WATER"),"GOC_TRANSITION",IF(AND(D370="GAS_WATER",E370="OIL"),"GOC_TRANSITION",IF(OR(D370="OIL_WATER",D370="GAS_WATER"),"TRANSITION_INTERVAL","")))))))))</f>
        <v/>
      </c>
      <c r="G370" s="20">
        <f>IF(OR(F370="",Master_Data!R370="",Master_Data!S370=""),"",IF(RIGHT(F370,10)="TRANSITION",AVERAGE(Master_Data!R370:Master_Data!S370),AVERAGE(Master_Data!S370,Master_Data!R371)))</f>
        <v/>
      </c>
      <c r="H370" s="20">
        <f>IF(G370="","",MAX(Settings!$B$4,Settings!$B$5*AVERAGE(IF(Master_Data!O370&lt;&gt;"",Master_Data!O370,Master_Data!H370),IF(Master_Data!O371&lt;&gt;"",Master_Data!O371,Master_Data!H371))))</f>
        <v/>
      </c>
      <c r="I370" s="20">
        <f>IF(G370="","",G370-H370)</f>
        <v/>
      </c>
      <c r="J370" s="20">
        <f>IF(G370="","",G370+H370)</f>
        <v/>
      </c>
      <c r="K370" s="20">
        <f>IF($A370="","",Master_Data!G370)</f>
        <v/>
      </c>
      <c r="L370" s="20">
        <f>IF($A370="","",Master_Data!G371)</f>
        <v/>
      </c>
      <c r="M370" s="20">
        <f>IF(AND(ISNUMBER(K370),ISNUMBER(L370)),L370-K370,"")</f>
        <v/>
      </c>
      <c r="N370" s="19">
        <f>IF(G370="","",IF(AND(ISNUMBER(K370),ISNUMBER(L370)),IF(OR(F370="GOC",F370="OWC",F370="GWC",F370="OWC_TRANSITION",F370="GOC_TRANSITION"),IF(L370&gt;=K370,"Supports","Conflicts"),"N/A"),"No Sw"))</f>
        <v/>
      </c>
      <c r="O370" s="20">
        <f>IF(G370="","",Settings!$B$6*IF(OR(F370="GOC",F370="OWC",F370="GWC"),1,0.7)+Settings!$B$7*IF(N370="Supports",1,IF(N370="Conflicts",0,0.5))+Settings!$B$8*IF(AND(Master_Data!R370&lt;&gt;"",Master_Data!S370&lt;&gt;"",Master_Data!R371&lt;&gt;"",Master_Data!S371&lt;&gt;""),1,0.5))</f>
        <v/>
      </c>
      <c r="P370" s="19">
        <f>IF(G370="","",IF(N370="Conflicts","SW_CONFLICT",IF(OR(F370="GOC",F370="OWC",F370="GWC"),"DIRECT_FLUID_TRANSITION","TRANSITION_INTERVAL")))</f>
        <v/>
      </c>
      <c r="Q370" s="19">
        <f>IF(G370="","",IF(N370="Conflicts","Investigate contact interpretation / saturation behaviour",IF(OR(F370="OWC",F370="GOC",F370="GWC"),"Candidate contact — validate with logs, pressure and dynamic evidence","Transition zone — do not force to a sharp contact")))</f>
        <v/>
      </c>
    </row>
    <row r="371">
      <c r="A371" s="19">
        <f>IF(AND(Master_Data!A371&lt;&gt;"",Master_Data!A371=Master_Data!A372),Master_Data!A371,"")</f>
        <v/>
      </c>
      <c r="B371" s="19">
        <f>IF($A371="","",Master_Data!B371)</f>
        <v/>
      </c>
      <c r="C371" s="19">
        <f>IF($A371="","",Master_Data!B372)</f>
        <v/>
      </c>
      <c r="D371" s="19">
        <f>IF($A371="","",Master_Data!Q371)</f>
        <v/>
      </c>
      <c r="E371" s="19">
        <f>IF($A371="","",Master_Data!Q372)</f>
        <v/>
      </c>
      <c r="F371" s="19">
        <f>IF($A371="","",IF(AND(D371="GAS",E371="OIL"),"GOC",IF(AND(D371="OIL",E371="WATER"),"OWC",IF(AND(D371="GAS",E371="WATER"),"GWC",IF(AND(D371="OIL",E371="OIL_WATER"),"OWC_TRANSITION",IF(AND(D371="OIL_WATER",E371="WATER"),"OWC_TRANSITION",IF(AND(D371="GAS",E371="GAS_WATER"),"GOC_TRANSITION",IF(AND(D371="GAS_WATER",E371="OIL"),"GOC_TRANSITION",IF(OR(D371="OIL_WATER",D371="GAS_WATER"),"TRANSITION_INTERVAL","")))))))))</f>
        <v/>
      </c>
      <c r="G371" s="20">
        <f>IF(OR(F371="",Master_Data!R371="",Master_Data!S371=""),"",IF(RIGHT(F371,10)="TRANSITION",AVERAGE(Master_Data!R371:Master_Data!S371),AVERAGE(Master_Data!S371,Master_Data!R372)))</f>
        <v/>
      </c>
      <c r="H371" s="20">
        <f>IF(G371="","",MAX(Settings!$B$4,Settings!$B$5*AVERAGE(IF(Master_Data!O371&lt;&gt;"",Master_Data!O371,Master_Data!H371),IF(Master_Data!O372&lt;&gt;"",Master_Data!O372,Master_Data!H372))))</f>
        <v/>
      </c>
      <c r="I371" s="20">
        <f>IF(G371="","",G371-H371)</f>
        <v/>
      </c>
      <c r="J371" s="20">
        <f>IF(G371="","",G371+H371)</f>
        <v/>
      </c>
      <c r="K371" s="20">
        <f>IF($A371="","",Master_Data!G371)</f>
        <v/>
      </c>
      <c r="L371" s="20">
        <f>IF($A371="","",Master_Data!G372)</f>
        <v/>
      </c>
      <c r="M371" s="20">
        <f>IF(AND(ISNUMBER(K371),ISNUMBER(L371)),L371-K371,"")</f>
        <v/>
      </c>
      <c r="N371" s="19">
        <f>IF(G371="","",IF(AND(ISNUMBER(K371),ISNUMBER(L371)),IF(OR(F371="GOC",F371="OWC",F371="GWC",F371="OWC_TRANSITION",F371="GOC_TRANSITION"),IF(L371&gt;=K371,"Supports","Conflicts"),"N/A"),"No Sw"))</f>
        <v/>
      </c>
      <c r="O371" s="20">
        <f>IF(G371="","",Settings!$B$6*IF(OR(F371="GOC",F371="OWC",F371="GWC"),1,0.7)+Settings!$B$7*IF(N371="Supports",1,IF(N371="Conflicts",0,0.5))+Settings!$B$8*IF(AND(Master_Data!R371&lt;&gt;"",Master_Data!S371&lt;&gt;"",Master_Data!R372&lt;&gt;"",Master_Data!S372&lt;&gt;""),1,0.5))</f>
        <v/>
      </c>
      <c r="P371" s="19">
        <f>IF(G371="","",IF(N371="Conflicts","SW_CONFLICT",IF(OR(F371="GOC",F371="OWC",F371="GWC"),"DIRECT_FLUID_TRANSITION","TRANSITION_INTERVAL")))</f>
        <v/>
      </c>
      <c r="Q371" s="19">
        <f>IF(G371="","",IF(N371="Conflicts","Investigate contact interpretation / saturation behaviour",IF(OR(F371="OWC",F371="GOC",F371="GWC"),"Candidate contact — validate with logs, pressure and dynamic evidence","Transition zone — do not force to a sharp contact")))</f>
        <v/>
      </c>
    </row>
    <row r="372">
      <c r="A372" s="19">
        <f>IF(AND(Master_Data!A372&lt;&gt;"",Master_Data!A372=Master_Data!A373),Master_Data!A372,"")</f>
        <v/>
      </c>
      <c r="B372" s="19">
        <f>IF($A372="","",Master_Data!B372)</f>
        <v/>
      </c>
      <c r="C372" s="19">
        <f>IF($A372="","",Master_Data!B373)</f>
        <v/>
      </c>
      <c r="D372" s="19">
        <f>IF($A372="","",Master_Data!Q372)</f>
        <v/>
      </c>
      <c r="E372" s="19">
        <f>IF($A372="","",Master_Data!Q373)</f>
        <v/>
      </c>
      <c r="F372" s="19">
        <f>IF($A372="","",IF(AND(D372="GAS",E372="OIL"),"GOC",IF(AND(D372="OIL",E372="WATER"),"OWC",IF(AND(D372="GAS",E372="WATER"),"GWC",IF(AND(D372="OIL",E372="OIL_WATER"),"OWC_TRANSITION",IF(AND(D372="OIL_WATER",E372="WATER"),"OWC_TRANSITION",IF(AND(D372="GAS",E372="GAS_WATER"),"GOC_TRANSITION",IF(AND(D372="GAS_WATER",E372="OIL"),"GOC_TRANSITION",IF(OR(D372="OIL_WATER",D372="GAS_WATER"),"TRANSITION_INTERVAL","")))))))))</f>
        <v/>
      </c>
      <c r="G372" s="20">
        <f>IF(OR(F372="",Master_Data!R372="",Master_Data!S372=""),"",IF(RIGHT(F372,10)="TRANSITION",AVERAGE(Master_Data!R372:Master_Data!S372),AVERAGE(Master_Data!S372,Master_Data!R373)))</f>
        <v/>
      </c>
      <c r="H372" s="20">
        <f>IF(G372="","",MAX(Settings!$B$4,Settings!$B$5*AVERAGE(IF(Master_Data!O372&lt;&gt;"",Master_Data!O372,Master_Data!H372),IF(Master_Data!O373&lt;&gt;"",Master_Data!O373,Master_Data!H373))))</f>
        <v/>
      </c>
      <c r="I372" s="20">
        <f>IF(G372="","",G372-H372)</f>
        <v/>
      </c>
      <c r="J372" s="20">
        <f>IF(G372="","",G372+H372)</f>
        <v/>
      </c>
      <c r="K372" s="20">
        <f>IF($A372="","",Master_Data!G372)</f>
        <v/>
      </c>
      <c r="L372" s="20">
        <f>IF($A372="","",Master_Data!G373)</f>
        <v/>
      </c>
      <c r="M372" s="20">
        <f>IF(AND(ISNUMBER(K372),ISNUMBER(L372)),L372-K372,"")</f>
        <v/>
      </c>
      <c r="N372" s="19">
        <f>IF(G372="","",IF(AND(ISNUMBER(K372),ISNUMBER(L372)),IF(OR(F372="GOC",F372="OWC",F372="GWC",F372="OWC_TRANSITION",F372="GOC_TRANSITION"),IF(L372&gt;=K372,"Supports","Conflicts"),"N/A"),"No Sw"))</f>
        <v/>
      </c>
      <c r="O372" s="20">
        <f>IF(G372="","",Settings!$B$6*IF(OR(F372="GOC",F372="OWC",F372="GWC"),1,0.7)+Settings!$B$7*IF(N372="Supports",1,IF(N372="Conflicts",0,0.5))+Settings!$B$8*IF(AND(Master_Data!R372&lt;&gt;"",Master_Data!S372&lt;&gt;"",Master_Data!R373&lt;&gt;"",Master_Data!S373&lt;&gt;""),1,0.5))</f>
        <v/>
      </c>
      <c r="P372" s="19">
        <f>IF(G372="","",IF(N372="Conflicts","SW_CONFLICT",IF(OR(F372="GOC",F372="OWC",F372="GWC"),"DIRECT_FLUID_TRANSITION","TRANSITION_INTERVAL")))</f>
        <v/>
      </c>
      <c r="Q372" s="19">
        <f>IF(G372="","",IF(N372="Conflicts","Investigate contact interpretation / saturation behaviour",IF(OR(F372="OWC",F372="GOC",F372="GWC"),"Candidate contact — validate with logs, pressure and dynamic evidence","Transition zone — do not force to a sharp contact")))</f>
        <v/>
      </c>
    </row>
    <row r="373">
      <c r="A373" s="19">
        <f>IF(AND(Master_Data!A373&lt;&gt;"",Master_Data!A373=Master_Data!A374),Master_Data!A373,"")</f>
        <v/>
      </c>
      <c r="B373" s="19">
        <f>IF($A373="","",Master_Data!B373)</f>
        <v/>
      </c>
      <c r="C373" s="19">
        <f>IF($A373="","",Master_Data!B374)</f>
        <v/>
      </c>
      <c r="D373" s="19">
        <f>IF($A373="","",Master_Data!Q373)</f>
        <v/>
      </c>
      <c r="E373" s="19">
        <f>IF($A373="","",Master_Data!Q374)</f>
        <v/>
      </c>
      <c r="F373" s="19">
        <f>IF($A373="","",IF(AND(D373="GAS",E373="OIL"),"GOC",IF(AND(D373="OIL",E373="WATER"),"OWC",IF(AND(D373="GAS",E373="WATER"),"GWC",IF(AND(D373="OIL",E373="OIL_WATER"),"OWC_TRANSITION",IF(AND(D373="OIL_WATER",E373="WATER"),"OWC_TRANSITION",IF(AND(D373="GAS",E373="GAS_WATER"),"GOC_TRANSITION",IF(AND(D373="GAS_WATER",E373="OIL"),"GOC_TRANSITION",IF(OR(D373="OIL_WATER",D373="GAS_WATER"),"TRANSITION_INTERVAL","")))))))))</f>
        <v/>
      </c>
      <c r="G373" s="20">
        <f>IF(OR(F373="",Master_Data!R373="",Master_Data!S373=""),"",IF(RIGHT(F373,10)="TRANSITION",AVERAGE(Master_Data!R373:Master_Data!S373),AVERAGE(Master_Data!S373,Master_Data!R374)))</f>
        <v/>
      </c>
      <c r="H373" s="20">
        <f>IF(G373="","",MAX(Settings!$B$4,Settings!$B$5*AVERAGE(IF(Master_Data!O373&lt;&gt;"",Master_Data!O373,Master_Data!H373),IF(Master_Data!O374&lt;&gt;"",Master_Data!O374,Master_Data!H374))))</f>
        <v/>
      </c>
      <c r="I373" s="20">
        <f>IF(G373="","",G373-H373)</f>
        <v/>
      </c>
      <c r="J373" s="20">
        <f>IF(G373="","",G373+H373)</f>
        <v/>
      </c>
      <c r="K373" s="20">
        <f>IF($A373="","",Master_Data!G373)</f>
        <v/>
      </c>
      <c r="L373" s="20">
        <f>IF($A373="","",Master_Data!G374)</f>
        <v/>
      </c>
      <c r="M373" s="20">
        <f>IF(AND(ISNUMBER(K373),ISNUMBER(L373)),L373-K373,"")</f>
        <v/>
      </c>
      <c r="N373" s="19">
        <f>IF(G373="","",IF(AND(ISNUMBER(K373),ISNUMBER(L373)),IF(OR(F373="GOC",F373="OWC",F373="GWC",F373="OWC_TRANSITION",F373="GOC_TRANSITION"),IF(L373&gt;=K373,"Supports","Conflicts"),"N/A"),"No Sw"))</f>
        <v/>
      </c>
      <c r="O373" s="20">
        <f>IF(G373="","",Settings!$B$6*IF(OR(F373="GOC",F373="OWC",F373="GWC"),1,0.7)+Settings!$B$7*IF(N373="Supports",1,IF(N373="Conflicts",0,0.5))+Settings!$B$8*IF(AND(Master_Data!R373&lt;&gt;"",Master_Data!S373&lt;&gt;"",Master_Data!R374&lt;&gt;"",Master_Data!S374&lt;&gt;""),1,0.5))</f>
        <v/>
      </c>
      <c r="P373" s="19">
        <f>IF(G373="","",IF(N373="Conflicts","SW_CONFLICT",IF(OR(F373="GOC",F373="OWC",F373="GWC"),"DIRECT_FLUID_TRANSITION","TRANSITION_INTERVAL")))</f>
        <v/>
      </c>
      <c r="Q373" s="19">
        <f>IF(G373="","",IF(N373="Conflicts","Investigate contact interpretation / saturation behaviour",IF(OR(F373="OWC",F373="GOC",F373="GWC"),"Candidate contact — validate with logs, pressure and dynamic evidence","Transition zone — do not force to a sharp contact")))</f>
        <v/>
      </c>
    </row>
    <row r="374">
      <c r="A374" s="19">
        <f>IF(AND(Master_Data!A374&lt;&gt;"",Master_Data!A374=Master_Data!A375),Master_Data!A374,"")</f>
        <v/>
      </c>
      <c r="B374" s="19">
        <f>IF($A374="","",Master_Data!B374)</f>
        <v/>
      </c>
      <c r="C374" s="19">
        <f>IF($A374="","",Master_Data!B375)</f>
        <v/>
      </c>
      <c r="D374" s="19">
        <f>IF($A374="","",Master_Data!Q374)</f>
        <v/>
      </c>
      <c r="E374" s="19">
        <f>IF($A374="","",Master_Data!Q375)</f>
        <v/>
      </c>
      <c r="F374" s="19">
        <f>IF($A374="","",IF(AND(D374="GAS",E374="OIL"),"GOC",IF(AND(D374="OIL",E374="WATER"),"OWC",IF(AND(D374="GAS",E374="WATER"),"GWC",IF(AND(D374="OIL",E374="OIL_WATER"),"OWC_TRANSITION",IF(AND(D374="OIL_WATER",E374="WATER"),"OWC_TRANSITION",IF(AND(D374="GAS",E374="GAS_WATER"),"GOC_TRANSITION",IF(AND(D374="GAS_WATER",E374="OIL"),"GOC_TRANSITION",IF(OR(D374="OIL_WATER",D374="GAS_WATER"),"TRANSITION_INTERVAL","")))))))))</f>
        <v/>
      </c>
      <c r="G374" s="20">
        <f>IF(OR(F374="",Master_Data!R374="",Master_Data!S374=""),"",IF(RIGHT(F374,10)="TRANSITION",AVERAGE(Master_Data!R374:Master_Data!S374),AVERAGE(Master_Data!S374,Master_Data!R375)))</f>
        <v/>
      </c>
      <c r="H374" s="20">
        <f>IF(G374="","",MAX(Settings!$B$4,Settings!$B$5*AVERAGE(IF(Master_Data!O374&lt;&gt;"",Master_Data!O374,Master_Data!H374),IF(Master_Data!O375&lt;&gt;"",Master_Data!O375,Master_Data!H375))))</f>
        <v/>
      </c>
      <c r="I374" s="20">
        <f>IF(G374="","",G374-H374)</f>
        <v/>
      </c>
      <c r="J374" s="20">
        <f>IF(G374="","",G374+H374)</f>
        <v/>
      </c>
      <c r="K374" s="20">
        <f>IF($A374="","",Master_Data!G374)</f>
        <v/>
      </c>
      <c r="L374" s="20">
        <f>IF($A374="","",Master_Data!G375)</f>
        <v/>
      </c>
      <c r="M374" s="20">
        <f>IF(AND(ISNUMBER(K374),ISNUMBER(L374)),L374-K374,"")</f>
        <v/>
      </c>
      <c r="N374" s="19">
        <f>IF(G374="","",IF(AND(ISNUMBER(K374),ISNUMBER(L374)),IF(OR(F374="GOC",F374="OWC",F374="GWC",F374="OWC_TRANSITION",F374="GOC_TRANSITION"),IF(L374&gt;=K374,"Supports","Conflicts"),"N/A"),"No Sw"))</f>
        <v/>
      </c>
      <c r="O374" s="20">
        <f>IF(G374="","",Settings!$B$6*IF(OR(F374="GOC",F374="OWC",F374="GWC"),1,0.7)+Settings!$B$7*IF(N374="Supports",1,IF(N374="Conflicts",0,0.5))+Settings!$B$8*IF(AND(Master_Data!R374&lt;&gt;"",Master_Data!S374&lt;&gt;"",Master_Data!R375&lt;&gt;"",Master_Data!S375&lt;&gt;""),1,0.5))</f>
        <v/>
      </c>
      <c r="P374" s="19">
        <f>IF(G374="","",IF(N374="Conflicts","SW_CONFLICT",IF(OR(F374="GOC",F374="OWC",F374="GWC"),"DIRECT_FLUID_TRANSITION","TRANSITION_INTERVAL")))</f>
        <v/>
      </c>
      <c r="Q374" s="19">
        <f>IF(G374="","",IF(N374="Conflicts","Investigate contact interpretation / saturation behaviour",IF(OR(F374="OWC",F374="GOC",F374="GWC"),"Candidate contact — validate with logs, pressure and dynamic evidence","Transition zone — do not force to a sharp contact")))</f>
        <v/>
      </c>
    </row>
    <row r="375">
      <c r="A375" s="19">
        <f>IF(AND(Master_Data!A375&lt;&gt;"",Master_Data!A375=Master_Data!A376),Master_Data!A375,"")</f>
        <v/>
      </c>
      <c r="B375" s="19">
        <f>IF($A375="","",Master_Data!B375)</f>
        <v/>
      </c>
      <c r="C375" s="19">
        <f>IF($A375="","",Master_Data!B376)</f>
        <v/>
      </c>
      <c r="D375" s="19">
        <f>IF($A375="","",Master_Data!Q375)</f>
        <v/>
      </c>
      <c r="E375" s="19">
        <f>IF($A375="","",Master_Data!Q376)</f>
        <v/>
      </c>
      <c r="F375" s="19">
        <f>IF($A375="","",IF(AND(D375="GAS",E375="OIL"),"GOC",IF(AND(D375="OIL",E375="WATER"),"OWC",IF(AND(D375="GAS",E375="WATER"),"GWC",IF(AND(D375="OIL",E375="OIL_WATER"),"OWC_TRANSITION",IF(AND(D375="OIL_WATER",E375="WATER"),"OWC_TRANSITION",IF(AND(D375="GAS",E375="GAS_WATER"),"GOC_TRANSITION",IF(AND(D375="GAS_WATER",E375="OIL"),"GOC_TRANSITION",IF(OR(D375="OIL_WATER",D375="GAS_WATER"),"TRANSITION_INTERVAL","")))))))))</f>
        <v/>
      </c>
      <c r="G375" s="20">
        <f>IF(OR(F375="",Master_Data!R375="",Master_Data!S375=""),"",IF(RIGHT(F375,10)="TRANSITION",AVERAGE(Master_Data!R375:Master_Data!S375),AVERAGE(Master_Data!S375,Master_Data!R376)))</f>
        <v/>
      </c>
      <c r="H375" s="20">
        <f>IF(G375="","",MAX(Settings!$B$4,Settings!$B$5*AVERAGE(IF(Master_Data!O375&lt;&gt;"",Master_Data!O375,Master_Data!H375),IF(Master_Data!O376&lt;&gt;"",Master_Data!O376,Master_Data!H376))))</f>
        <v/>
      </c>
      <c r="I375" s="20">
        <f>IF(G375="","",G375-H375)</f>
        <v/>
      </c>
      <c r="J375" s="20">
        <f>IF(G375="","",G375+H375)</f>
        <v/>
      </c>
      <c r="K375" s="20">
        <f>IF($A375="","",Master_Data!G375)</f>
        <v/>
      </c>
      <c r="L375" s="20">
        <f>IF($A375="","",Master_Data!G376)</f>
        <v/>
      </c>
      <c r="M375" s="20">
        <f>IF(AND(ISNUMBER(K375),ISNUMBER(L375)),L375-K375,"")</f>
        <v/>
      </c>
      <c r="N375" s="19">
        <f>IF(G375="","",IF(AND(ISNUMBER(K375),ISNUMBER(L375)),IF(OR(F375="GOC",F375="OWC",F375="GWC",F375="OWC_TRANSITION",F375="GOC_TRANSITION"),IF(L375&gt;=K375,"Supports","Conflicts"),"N/A"),"No Sw"))</f>
        <v/>
      </c>
      <c r="O375" s="20">
        <f>IF(G375="","",Settings!$B$6*IF(OR(F375="GOC",F375="OWC",F375="GWC"),1,0.7)+Settings!$B$7*IF(N375="Supports",1,IF(N375="Conflicts",0,0.5))+Settings!$B$8*IF(AND(Master_Data!R375&lt;&gt;"",Master_Data!S375&lt;&gt;"",Master_Data!R376&lt;&gt;"",Master_Data!S376&lt;&gt;""),1,0.5))</f>
        <v/>
      </c>
      <c r="P375" s="19">
        <f>IF(G375="","",IF(N375="Conflicts","SW_CONFLICT",IF(OR(F375="GOC",F375="OWC",F375="GWC"),"DIRECT_FLUID_TRANSITION","TRANSITION_INTERVAL")))</f>
        <v/>
      </c>
      <c r="Q375" s="19">
        <f>IF(G375="","",IF(N375="Conflicts","Investigate contact interpretation / saturation behaviour",IF(OR(F375="OWC",F375="GOC",F375="GWC"),"Candidate contact — validate with logs, pressure and dynamic evidence","Transition zone — do not force to a sharp contact")))</f>
        <v/>
      </c>
    </row>
    <row r="376">
      <c r="A376" s="19">
        <f>IF(AND(Master_Data!A376&lt;&gt;"",Master_Data!A376=Master_Data!A377),Master_Data!A376,"")</f>
        <v/>
      </c>
      <c r="B376" s="19">
        <f>IF($A376="","",Master_Data!B376)</f>
        <v/>
      </c>
      <c r="C376" s="19">
        <f>IF($A376="","",Master_Data!B377)</f>
        <v/>
      </c>
      <c r="D376" s="19">
        <f>IF($A376="","",Master_Data!Q376)</f>
        <v/>
      </c>
      <c r="E376" s="19">
        <f>IF($A376="","",Master_Data!Q377)</f>
        <v/>
      </c>
      <c r="F376" s="19">
        <f>IF($A376="","",IF(AND(D376="GAS",E376="OIL"),"GOC",IF(AND(D376="OIL",E376="WATER"),"OWC",IF(AND(D376="GAS",E376="WATER"),"GWC",IF(AND(D376="OIL",E376="OIL_WATER"),"OWC_TRANSITION",IF(AND(D376="OIL_WATER",E376="WATER"),"OWC_TRANSITION",IF(AND(D376="GAS",E376="GAS_WATER"),"GOC_TRANSITION",IF(AND(D376="GAS_WATER",E376="OIL"),"GOC_TRANSITION",IF(OR(D376="OIL_WATER",D376="GAS_WATER"),"TRANSITION_INTERVAL","")))))))))</f>
        <v/>
      </c>
      <c r="G376" s="20">
        <f>IF(OR(F376="",Master_Data!R376="",Master_Data!S376=""),"",IF(RIGHT(F376,10)="TRANSITION",AVERAGE(Master_Data!R376:Master_Data!S376),AVERAGE(Master_Data!S376,Master_Data!R377)))</f>
        <v/>
      </c>
      <c r="H376" s="20">
        <f>IF(G376="","",MAX(Settings!$B$4,Settings!$B$5*AVERAGE(IF(Master_Data!O376&lt;&gt;"",Master_Data!O376,Master_Data!H376),IF(Master_Data!O377&lt;&gt;"",Master_Data!O377,Master_Data!H377))))</f>
        <v/>
      </c>
      <c r="I376" s="20">
        <f>IF(G376="","",G376-H376)</f>
        <v/>
      </c>
      <c r="J376" s="20">
        <f>IF(G376="","",G376+H376)</f>
        <v/>
      </c>
      <c r="K376" s="20">
        <f>IF($A376="","",Master_Data!G376)</f>
        <v/>
      </c>
      <c r="L376" s="20">
        <f>IF($A376="","",Master_Data!G377)</f>
        <v/>
      </c>
      <c r="M376" s="20">
        <f>IF(AND(ISNUMBER(K376),ISNUMBER(L376)),L376-K376,"")</f>
        <v/>
      </c>
      <c r="N376" s="19">
        <f>IF(G376="","",IF(AND(ISNUMBER(K376),ISNUMBER(L376)),IF(OR(F376="GOC",F376="OWC",F376="GWC",F376="OWC_TRANSITION",F376="GOC_TRANSITION"),IF(L376&gt;=K376,"Supports","Conflicts"),"N/A"),"No Sw"))</f>
        <v/>
      </c>
      <c r="O376" s="20">
        <f>IF(G376="","",Settings!$B$6*IF(OR(F376="GOC",F376="OWC",F376="GWC"),1,0.7)+Settings!$B$7*IF(N376="Supports",1,IF(N376="Conflicts",0,0.5))+Settings!$B$8*IF(AND(Master_Data!R376&lt;&gt;"",Master_Data!S376&lt;&gt;"",Master_Data!R377&lt;&gt;"",Master_Data!S377&lt;&gt;""),1,0.5))</f>
        <v/>
      </c>
      <c r="P376" s="19">
        <f>IF(G376="","",IF(N376="Conflicts","SW_CONFLICT",IF(OR(F376="GOC",F376="OWC",F376="GWC"),"DIRECT_FLUID_TRANSITION","TRANSITION_INTERVAL")))</f>
        <v/>
      </c>
      <c r="Q376" s="19">
        <f>IF(G376="","",IF(N376="Conflicts","Investigate contact interpretation / saturation behaviour",IF(OR(F376="OWC",F376="GOC",F376="GWC"),"Candidate contact — validate with logs, pressure and dynamic evidence","Transition zone — do not force to a sharp contact")))</f>
        <v/>
      </c>
    </row>
    <row r="377">
      <c r="A377" s="19">
        <f>IF(AND(Master_Data!A377&lt;&gt;"",Master_Data!A377=Master_Data!A378),Master_Data!A377,"")</f>
        <v/>
      </c>
      <c r="B377" s="19">
        <f>IF($A377="","",Master_Data!B377)</f>
        <v/>
      </c>
      <c r="C377" s="19">
        <f>IF($A377="","",Master_Data!B378)</f>
        <v/>
      </c>
      <c r="D377" s="19">
        <f>IF($A377="","",Master_Data!Q377)</f>
        <v/>
      </c>
      <c r="E377" s="19">
        <f>IF($A377="","",Master_Data!Q378)</f>
        <v/>
      </c>
      <c r="F377" s="19">
        <f>IF($A377="","",IF(AND(D377="GAS",E377="OIL"),"GOC",IF(AND(D377="OIL",E377="WATER"),"OWC",IF(AND(D377="GAS",E377="WATER"),"GWC",IF(AND(D377="OIL",E377="OIL_WATER"),"OWC_TRANSITION",IF(AND(D377="OIL_WATER",E377="WATER"),"OWC_TRANSITION",IF(AND(D377="GAS",E377="GAS_WATER"),"GOC_TRANSITION",IF(AND(D377="GAS_WATER",E377="OIL"),"GOC_TRANSITION",IF(OR(D377="OIL_WATER",D377="GAS_WATER"),"TRANSITION_INTERVAL","")))))))))</f>
        <v/>
      </c>
      <c r="G377" s="20">
        <f>IF(OR(F377="",Master_Data!R377="",Master_Data!S377=""),"",IF(RIGHT(F377,10)="TRANSITION",AVERAGE(Master_Data!R377:Master_Data!S377),AVERAGE(Master_Data!S377,Master_Data!R378)))</f>
        <v/>
      </c>
      <c r="H377" s="20">
        <f>IF(G377="","",MAX(Settings!$B$4,Settings!$B$5*AVERAGE(IF(Master_Data!O377&lt;&gt;"",Master_Data!O377,Master_Data!H377),IF(Master_Data!O378&lt;&gt;"",Master_Data!O378,Master_Data!H378))))</f>
        <v/>
      </c>
      <c r="I377" s="20">
        <f>IF(G377="","",G377-H377)</f>
        <v/>
      </c>
      <c r="J377" s="20">
        <f>IF(G377="","",G377+H377)</f>
        <v/>
      </c>
      <c r="K377" s="20">
        <f>IF($A377="","",Master_Data!G377)</f>
        <v/>
      </c>
      <c r="L377" s="20">
        <f>IF($A377="","",Master_Data!G378)</f>
        <v/>
      </c>
      <c r="M377" s="20">
        <f>IF(AND(ISNUMBER(K377),ISNUMBER(L377)),L377-K377,"")</f>
        <v/>
      </c>
      <c r="N377" s="19">
        <f>IF(G377="","",IF(AND(ISNUMBER(K377),ISNUMBER(L377)),IF(OR(F377="GOC",F377="OWC",F377="GWC",F377="OWC_TRANSITION",F377="GOC_TRANSITION"),IF(L377&gt;=K377,"Supports","Conflicts"),"N/A"),"No Sw"))</f>
        <v/>
      </c>
      <c r="O377" s="20">
        <f>IF(G377="","",Settings!$B$6*IF(OR(F377="GOC",F377="OWC",F377="GWC"),1,0.7)+Settings!$B$7*IF(N377="Supports",1,IF(N377="Conflicts",0,0.5))+Settings!$B$8*IF(AND(Master_Data!R377&lt;&gt;"",Master_Data!S377&lt;&gt;"",Master_Data!R378&lt;&gt;"",Master_Data!S378&lt;&gt;""),1,0.5))</f>
        <v/>
      </c>
      <c r="P377" s="19">
        <f>IF(G377="","",IF(N377="Conflicts","SW_CONFLICT",IF(OR(F377="GOC",F377="OWC",F377="GWC"),"DIRECT_FLUID_TRANSITION","TRANSITION_INTERVAL")))</f>
        <v/>
      </c>
      <c r="Q377" s="19">
        <f>IF(G377="","",IF(N377="Conflicts","Investigate contact interpretation / saturation behaviour",IF(OR(F377="OWC",F377="GOC",F377="GWC"),"Candidate contact — validate with logs, pressure and dynamic evidence","Transition zone — do not force to a sharp contact")))</f>
        <v/>
      </c>
    </row>
    <row r="378">
      <c r="A378" s="19">
        <f>IF(AND(Master_Data!A378&lt;&gt;"",Master_Data!A378=Master_Data!A379),Master_Data!A378,"")</f>
        <v/>
      </c>
      <c r="B378" s="19">
        <f>IF($A378="","",Master_Data!B378)</f>
        <v/>
      </c>
      <c r="C378" s="19">
        <f>IF($A378="","",Master_Data!B379)</f>
        <v/>
      </c>
      <c r="D378" s="19">
        <f>IF($A378="","",Master_Data!Q378)</f>
        <v/>
      </c>
      <c r="E378" s="19">
        <f>IF($A378="","",Master_Data!Q379)</f>
        <v/>
      </c>
      <c r="F378" s="19">
        <f>IF($A378="","",IF(AND(D378="GAS",E378="OIL"),"GOC",IF(AND(D378="OIL",E378="WATER"),"OWC",IF(AND(D378="GAS",E378="WATER"),"GWC",IF(AND(D378="OIL",E378="OIL_WATER"),"OWC_TRANSITION",IF(AND(D378="OIL_WATER",E378="WATER"),"OWC_TRANSITION",IF(AND(D378="GAS",E378="GAS_WATER"),"GOC_TRANSITION",IF(AND(D378="GAS_WATER",E378="OIL"),"GOC_TRANSITION",IF(OR(D378="OIL_WATER",D378="GAS_WATER"),"TRANSITION_INTERVAL","")))))))))</f>
        <v/>
      </c>
      <c r="G378" s="20">
        <f>IF(OR(F378="",Master_Data!R378="",Master_Data!S378=""),"",IF(RIGHT(F378,10)="TRANSITION",AVERAGE(Master_Data!R378:Master_Data!S378),AVERAGE(Master_Data!S378,Master_Data!R379)))</f>
        <v/>
      </c>
      <c r="H378" s="20">
        <f>IF(G378="","",MAX(Settings!$B$4,Settings!$B$5*AVERAGE(IF(Master_Data!O378&lt;&gt;"",Master_Data!O378,Master_Data!H378),IF(Master_Data!O379&lt;&gt;"",Master_Data!O379,Master_Data!H379))))</f>
        <v/>
      </c>
      <c r="I378" s="20">
        <f>IF(G378="","",G378-H378)</f>
        <v/>
      </c>
      <c r="J378" s="20">
        <f>IF(G378="","",G378+H378)</f>
        <v/>
      </c>
      <c r="K378" s="20">
        <f>IF($A378="","",Master_Data!G378)</f>
        <v/>
      </c>
      <c r="L378" s="20">
        <f>IF($A378="","",Master_Data!G379)</f>
        <v/>
      </c>
      <c r="M378" s="20">
        <f>IF(AND(ISNUMBER(K378),ISNUMBER(L378)),L378-K378,"")</f>
        <v/>
      </c>
      <c r="N378" s="19">
        <f>IF(G378="","",IF(AND(ISNUMBER(K378),ISNUMBER(L378)),IF(OR(F378="GOC",F378="OWC",F378="GWC",F378="OWC_TRANSITION",F378="GOC_TRANSITION"),IF(L378&gt;=K378,"Supports","Conflicts"),"N/A"),"No Sw"))</f>
        <v/>
      </c>
      <c r="O378" s="20">
        <f>IF(G378="","",Settings!$B$6*IF(OR(F378="GOC",F378="OWC",F378="GWC"),1,0.7)+Settings!$B$7*IF(N378="Supports",1,IF(N378="Conflicts",0,0.5))+Settings!$B$8*IF(AND(Master_Data!R378&lt;&gt;"",Master_Data!S378&lt;&gt;"",Master_Data!R379&lt;&gt;"",Master_Data!S379&lt;&gt;""),1,0.5))</f>
        <v/>
      </c>
      <c r="P378" s="19">
        <f>IF(G378="","",IF(N378="Conflicts","SW_CONFLICT",IF(OR(F378="GOC",F378="OWC",F378="GWC"),"DIRECT_FLUID_TRANSITION","TRANSITION_INTERVAL")))</f>
        <v/>
      </c>
      <c r="Q378" s="19">
        <f>IF(G378="","",IF(N378="Conflicts","Investigate contact interpretation / saturation behaviour",IF(OR(F378="OWC",F378="GOC",F378="GWC"),"Candidate contact — validate with logs, pressure and dynamic evidence","Transition zone — do not force to a sharp contact")))</f>
        <v/>
      </c>
    </row>
    <row r="379">
      <c r="A379" s="19">
        <f>IF(AND(Master_Data!A379&lt;&gt;"",Master_Data!A379=Master_Data!A380),Master_Data!A379,"")</f>
        <v/>
      </c>
      <c r="B379" s="19">
        <f>IF($A379="","",Master_Data!B379)</f>
        <v/>
      </c>
      <c r="C379" s="19">
        <f>IF($A379="","",Master_Data!B380)</f>
        <v/>
      </c>
      <c r="D379" s="19">
        <f>IF($A379="","",Master_Data!Q379)</f>
        <v/>
      </c>
      <c r="E379" s="19">
        <f>IF($A379="","",Master_Data!Q380)</f>
        <v/>
      </c>
      <c r="F379" s="19">
        <f>IF($A379="","",IF(AND(D379="GAS",E379="OIL"),"GOC",IF(AND(D379="OIL",E379="WATER"),"OWC",IF(AND(D379="GAS",E379="WATER"),"GWC",IF(AND(D379="OIL",E379="OIL_WATER"),"OWC_TRANSITION",IF(AND(D379="OIL_WATER",E379="WATER"),"OWC_TRANSITION",IF(AND(D379="GAS",E379="GAS_WATER"),"GOC_TRANSITION",IF(AND(D379="GAS_WATER",E379="OIL"),"GOC_TRANSITION",IF(OR(D379="OIL_WATER",D379="GAS_WATER"),"TRANSITION_INTERVAL","")))))))))</f>
        <v/>
      </c>
      <c r="G379" s="20">
        <f>IF(OR(F379="",Master_Data!R379="",Master_Data!S379=""),"",IF(RIGHT(F379,10)="TRANSITION",AVERAGE(Master_Data!R379:Master_Data!S379),AVERAGE(Master_Data!S379,Master_Data!R380)))</f>
        <v/>
      </c>
      <c r="H379" s="20">
        <f>IF(G379="","",MAX(Settings!$B$4,Settings!$B$5*AVERAGE(IF(Master_Data!O379&lt;&gt;"",Master_Data!O379,Master_Data!H379),IF(Master_Data!O380&lt;&gt;"",Master_Data!O380,Master_Data!H380))))</f>
        <v/>
      </c>
      <c r="I379" s="20">
        <f>IF(G379="","",G379-H379)</f>
        <v/>
      </c>
      <c r="J379" s="20">
        <f>IF(G379="","",G379+H379)</f>
        <v/>
      </c>
      <c r="K379" s="20">
        <f>IF($A379="","",Master_Data!G379)</f>
        <v/>
      </c>
      <c r="L379" s="20">
        <f>IF($A379="","",Master_Data!G380)</f>
        <v/>
      </c>
      <c r="M379" s="20">
        <f>IF(AND(ISNUMBER(K379),ISNUMBER(L379)),L379-K379,"")</f>
        <v/>
      </c>
      <c r="N379" s="19">
        <f>IF(G379="","",IF(AND(ISNUMBER(K379),ISNUMBER(L379)),IF(OR(F379="GOC",F379="OWC",F379="GWC",F379="OWC_TRANSITION",F379="GOC_TRANSITION"),IF(L379&gt;=K379,"Supports","Conflicts"),"N/A"),"No Sw"))</f>
        <v/>
      </c>
      <c r="O379" s="20">
        <f>IF(G379="","",Settings!$B$6*IF(OR(F379="GOC",F379="OWC",F379="GWC"),1,0.7)+Settings!$B$7*IF(N379="Supports",1,IF(N379="Conflicts",0,0.5))+Settings!$B$8*IF(AND(Master_Data!R379&lt;&gt;"",Master_Data!S379&lt;&gt;"",Master_Data!R380&lt;&gt;"",Master_Data!S380&lt;&gt;""),1,0.5))</f>
        <v/>
      </c>
      <c r="P379" s="19">
        <f>IF(G379="","",IF(N379="Conflicts","SW_CONFLICT",IF(OR(F379="GOC",F379="OWC",F379="GWC"),"DIRECT_FLUID_TRANSITION","TRANSITION_INTERVAL")))</f>
        <v/>
      </c>
      <c r="Q379" s="19">
        <f>IF(G379="","",IF(N379="Conflicts","Investigate contact interpretation / saturation behaviour",IF(OR(F379="OWC",F379="GOC",F379="GWC"),"Candidate contact — validate with logs, pressure and dynamic evidence","Transition zone — do not force to a sharp contact")))</f>
        <v/>
      </c>
    </row>
    <row r="380">
      <c r="A380" s="19">
        <f>IF(AND(Master_Data!A380&lt;&gt;"",Master_Data!A380=Master_Data!A381),Master_Data!A380,"")</f>
        <v/>
      </c>
      <c r="B380" s="19">
        <f>IF($A380="","",Master_Data!B380)</f>
        <v/>
      </c>
      <c r="C380" s="19">
        <f>IF($A380="","",Master_Data!B381)</f>
        <v/>
      </c>
      <c r="D380" s="19">
        <f>IF($A380="","",Master_Data!Q380)</f>
        <v/>
      </c>
      <c r="E380" s="19">
        <f>IF($A380="","",Master_Data!Q381)</f>
        <v/>
      </c>
      <c r="F380" s="19">
        <f>IF($A380="","",IF(AND(D380="GAS",E380="OIL"),"GOC",IF(AND(D380="OIL",E380="WATER"),"OWC",IF(AND(D380="GAS",E380="WATER"),"GWC",IF(AND(D380="OIL",E380="OIL_WATER"),"OWC_TRANSITION",IF(AND(D380="OIL_WATER",E380="WATER"),"OWC_TRANSITION",IF(AND(D380="GAS",E380="GAS_WATER"),"GOC_TRANSITION",IF(AND(D380="GAS_WATER",E380="OIL"),"GOC_TRANSITION",IF(OR(D380="OIL_WATER",D380="GAS_WATER"),"TRANSITION_INTERVAL","")))))))))</f>
        <v/>
      </c>
      <c r="G380" s="20">
        <f>IF(OR(F380="",Master_Data!R380="",Master_Data!S380=""),"",IF(RIGHT(F380,10)="TRANSITION",AVERAGE(Master_Data!R380:Master_Data!S380),AVERAGE(Master_Data!S380,Master_Data!R381)))</f>
        <v/>
      </c>
      <c r="H380" s="20">
        <f>IF(G380="","",MAX(Settings!$B$4,Settings!$B$5*AVERAGE(IF(Master_Data!O380&lt;&gt;"",Master_Data!O380,Master_Data!H380),IF(Master_Data!O381&lt;&gt;"",Master_Data!O381,Master_Data!H381))))</f>
        <v/>
      </c>
      <c r="I380" s="20">
        <f>IF(G380="","",G380-H380)</f>
        <v/>
      </c>
      <c r="J380" s="20">
        <f>IF(G380="","",G380+H380)</f>
        <v/>
      </c>
      <c r="K380" s="20">
        <f>IF($A380="","",Master_Data!G380)</f>
        <v/>
      </c>
      <c r="L380" s="20">
        <f>IF($A380="","",Master_Data!G381)</f>
        <v/>
      </c>
      <c r="M380" s="20">
        <f>IF(AND(ISNUMBER(K380),ISNUMBER(L380)),L380-K380,"")</f>
        <v/>
      </c>
      <c r="N380" s="19">
        <f>IF(G380="","",IF(AND(ISNUMBER(K380),ISNUMBER(L380)),IF(OR(F380="GOC",F380="OWC",F380="GWC",F380="OWC_TRANSITION",F380="GOC_TRANSITION"),IF(L380&gt;=K380,"Supports","Conflicts"),"N/A"),"No Sw"))</f>
        <v/>
      </c>
      <c r="O380" s="20">
        <f>IF(G380="","",Settings!$B$6*IF(OR(F380="GOC",F380="OWC",F380="GWC"),1,0.7)+Settings!$B$7*IF(N380="Supports",1,IF(N380="Conflicts",0,0.5))+Settings!$B$8*IF(AND(Master_Data!R380&lt;&gt;"",Master_Data!S380&lt;&gt;"",Master_Data!R381&lt;&gt;"",Master_Data!S381&lt;&gt;""),1,0.5))</f>
        <v/>
      </c>
      <c r="P380" s="19">
        <f>IF(G380="","",IF(N380="Conflicts","SW_CONFLICT",IF(OR(F380="GOC",F380="OWC",F380="GWC"),"DIRECT_FLUID_TRANSITION","TRANSITION_INTERVAL")))</f>
        <v/>
      </c>
      <c r="Q380" s="19">
        <f>IF(G380="","",IF(N380="Conflicts","Investigate contact interpretation / saturation behaviour",IF(OR(F380="OWC",F380="GOC",F380="GWC"),"Candidate contact — validate with logs, pressure and dynamic evidence","Transition zone — do not force to a sharp contact")))</f>
        <v/>
      </c>
    </row>
    <row r="381">
      <c r="A381" s="19">
        <f>IF(AND(Master_Data!A381&lt;&gt;"",Master_Data!A381=Master_Data!A382),Master_Data!A381,"")</f>
        <v/>
      </c>
      <c r="B381" s="19">
        <f>IF($A381="","",Master_Data!B381)</f>
        <v/>
      </c>
      <c r="C381" s="19">
        <f>IF($A381="","",Master_Data!B382)</f>
        <v/>
      </c>
      <c r="D381" s="19">
        <f>IF($A381="","",Master_Data!Q381)</f>
        <v/>
      </c>
      <c r="E381" s="19">
        <f>IF($A381="","",Master_Data!Q382)</f>
        <v/>
      </c>
      <c r="F381" s="19">
        <f>IF($A381="","",IF(AND(D381="GAS",E381="OIL"),"GOC",IF(AND(D381="OIL",E381="WATER"),"OWC",IF(AND(D381="GAS",E381="WATER"),"GWC",IF(AND(D381="OIL",E381="OIL_WATER"),"OWC_TRANSITION",IF(AND(D381="OIL_WATER",E381="WATER"),"OWC_TRANSITION",IF(AND(D381="GAS",E381="GAS_WATER"),"GOC_TRANSITION",IF(AND(D381="GAS_WATER",E381="OIL"),"GOC_TRANSITION",IF(OR(D381="OIL_WATER",D381="GAS_WATER"),"TRANSITION_INTERVAL","")))))))))</f>
        <v/>
      </c>
      <c r="G381" s="20">
        <f>IF(OR(F381="",Master_Data!R381="",Master_Data!S381=""),"",IF(RIGHT(F381,10)="TRANSITION",AVERAGE(Master_Data!R381:Master_Data!S381),AVERAGE(Master_Data!S381,Master_Data!R382)))</f>
        <v/>
      </c>
      <c r="H381" s="20">
        <f>IF(G381="","",MAX(Settings!$B$4,Settings!$B$5*AVERAGE(IF(Master_Data!O381&lt;&gt;"",Master_Data!O381,Master_Data!H381),IF(Master_Data!O382&lt;&gt;"",Master_Data!O382,Master_Data!H382))))</f>
        <v/>
      </c>
      <c r="I381" s="20">
        <f>IF(G381="","",G381-H381)</f>
        <v/>
      </c>
      <c r="J381" s="20">
        <f>IF(G381="","",G381+H381)</f>
        <v/>
      </c>
      <c r="K381" s="20">
        <f>IF($A381="","",Master_Data!G381)</f>
        <v/>
      </c>
      <c r="L381" s="20">
        <f>IF($A381="","",Master_Data!G382)</f>
        <v/>
      </c>
      <c r="M381" s="20">
        <f>IF(AND(ISNUMBER(K381),ISNUMBER(L381)),L381-K381,"")</f>
        <v/>
      </c>
      <c r="N381" s="19">
        <f>IF(G381="","",IF(AND(ISNUMBER(K381),ISNUMBER(L381)),IF(OR(F381="GOC",F381="OWC",F381="GWC",F381="OWC_TRANSITION",F381="GOC_TRANSITION"),IF(L381&gt;=K381,"Supports","Conflicts"),"N/A"),"No Sw"))</f>
        <v/>
      </c>
      <c r="O381" s="20">
        <f>IF(G381="","",Settings!$B$6*IF(OR(F381="GOC",F381="OWC",F381="GWC"),1,0.7)+Settings!$B$7*IF(N381="Supports",1,IF(N381="Conflicts",0,0.5))+Settings!$B$8*IF(AND(Master_Data!R381&lt;&gt;"",Master_Data!S381&lt;&gt;"",Master_Data!R382&lt;&gt;"",Master_Data!S382&lt;&gt;""),1,0.5))</f>
        <v/>
      </c>
      <c r="P381" s="19">
        <f>IF(G381="","",IF(N381="Conflicts","SW_CONFLICT",IF(OR(F381="GOC",F381="OWC",F381="GWC"),"DIRECT_FLUID_TRANSITION","TRANSITION_INTERVAL")))</f>
        <v/>
      </c>
      <c r="Q381" s="19">
        <f>IF(G381="","",IF(N381="Conflicts","Investigate contact interpretation / saturation behaviour",IF(OR(F381="OWC",F381="GOC",F381="GWC"),"Candidate contact — validate with logs, pressure and dynamic evidence","Transition zone — do not force to a sharp contact")))</f>
        <v/>
      </c>
    </row>
    <row r="382">
      <c r="A382" s="19">
        <f>IF(AND(Master_Data!A382&lt;&gt;"",Master_Data!A382=Master_Data!A383),Master_Data!A382,"")</f>
        <v/>
      </c>
      <c r="B382" s="19">
        <f>IF($A382="","",Master_Data!B382)</f>
        <v/>
      </c>
      <c r="C382" s="19">
        <f>IF($A382="","",Master_Data!B383)</f>
        <v/>
      </c>
      <c r="D382" s="19">
        <f>IF($A382="","",Master_Data!Q382)</f>
        <v/>
      </c>
      <c r="E382" s="19">
        <f>IF($A382="","",Master_Data!Q383)</f>
        <v/>
      </c>
      <c r="F382" s="19">
        <f>IF($A382="","",IF(AND(D382="GAS",E382="OIL"),"GOC",IF(AND(D382="OIL",E382="WATER"),"OWC",IF(AND(D382="GAS",E382="WATER"),"GWC",IF(AND(D382="OIL",E382="OIL_WATER"),"OWC_TRANSITION",IF(AND(D382="OIL_WATER",E382="WATER"),"OWC_TRANSITION",IF(AND(D382="GAS",E382="GAS_WATER"),"GOC_TRANSITION",IF(AND(D382="GAS_WATER",E382="OIL"),"GOC_TRANSITION",IF(OR(D382="OIL_WATER",D382="GAS_WATER"),"TRANSITION_INTERVAL","")))))))))</f>
        <v/>
      </c>
      <c r="G382" s="20">
        <f>IF(OR(F382="",Master_Data!R382="",Master_Data!S382=""),"",IF(RIGHT(F382,10)="TRANSITION",AVERAGE(Master_Data!R382:Master_Data!S382),AVERAGE(Master_Data!S382,Master_Data!R383)))</f>
        <v/>
      </c>
      <c r="H382" s="20">
        <f>IF(G382="","",MAX(Settings!$B$4,Settings!$B$5*AVERAGE(IF(Master_Data!O382&lt;&gt;"",Master_Data!O382,Master_Data!H382),IF(Master_Data!O383&lt;&gt;"",Master_Data!O383,Master_Data!H383))))</f>
        <v/>
      </c>
      <c r="I382" s="20">
        <f>IF(G382="","",G382-H382)</f>
        <v/>
      </c>
      <c r="J382" s="20">
        <f>IF(G382="","",G382+H382)</f>
        <v/>
      </c>
      <c r="K382" s="20">
        <f>IF($A382="","",Master_Data!G382)</f>
        <v/>
      </c>
      <c r="L382" s="20">
        <f>IF($A382="","",Master_Data!G383)</f>
        <v/>
      </c>
      <c r="M382" s="20">
        <f>IF(AND(ISNUMBER(K382),ISNUMBER(L382)),L382-K382,"")</f>
        <v/>
      </c>
      <c r="N382" s="19">
        <f>IF(G382="","",IF(AND(ISNUMBER(K382),ISNUMBER(L382)),IF(OR(F382="GOC",F382="OWC",F382="GWC",F382="OWC_TRANSITION",F382="GOC_TRANSITION"),IF(L382&gt;=K382,"Supports","Conflicts"),"N/A"),"No Sw"))</f>
        <v/>
      </c>
      <c r="O382" s="20">
        <f>IF(G382="","",Settings!$B$6*IF(OR(F382="GOC",F382="OWC",F382="GWC"),1,0.7)+Settings!$B$7*IF(N382="Supports",1,IF(N382="Conflicts",0,0.5))+Settings!$B$8*IF(AND(Master_Data!R382&lt;&gt;"",Master_Data!S382&lt;&gt;"",Master_Data!R383&lt;&gt;"",Master_Data!S383&lt;&gt;""),1,0.5))</f>
        <v/>
      </c>
      <c r="P382" s="19">
        <f>IF(G382="","",IF(N382="Conflicts","SW_CONFLICT",IF(OR(F382="GOC",F382="OWC",F382="GWC"),"DIRECT_FLUID_TRANSITION","TRANSITION_INTERVAL")))</f>
        <v/>
      </c>
      <c r="Q382" s="19">
        <f>IF(G382="","",IF(N382="Conflicts","Investigate contact interpretation / saturation behaviour",IF(OR(F382="OWC",F382="GOC",F382="GWC"),"Candidate contact — validate with logs, pressure and dynamic evidence","Transition zone — do not force to a sharp contact")))</f>
        <v/>
      </c>
    </row>
    <row r="383">
      <c r="A383" s="19">
        <f>IF(AND(Master_Data!A383&lt;&gt;"",Master_Data!A383=Master_Data!A384),Master_Data!A383,"")</f>
        <v/>
      </c>
      <c r="B383" s="19">
        <f>IF($A383="","",Master_Data!B383)</f>
        <v/>
      </c>
      <c r="C383" s="19">
        <f>IF($A383="","",Master_Data!B384)</f>
        <v/>
      </c>
      <c r="D383" s="19">
        <f>IF($A383="","",Master_Data!Q383)</f>
        <v/>
      </c>
      <c r="E383" s="19">
        <f>IF($A383="","",Master_Data!Q384)</f>
        <v/>
      </c>
      <c r="F383" s="19">
        <f>IF($A383="","",IF(AND(D383="GAS",E383="OIL"),"GOC",IF(AND(D383="OIL",E383="WATER"),"OWC",IF(AND(D383="GAS",E383="WATER"),"GWC",IF(AND(D383="OIL",E383="OIL_WATER"),"OWC_TRANSITION",IF(AND(D383="OIL_WATER",E383="WATER"),"OWC_TRANSITION",IF(AND(D383="GAS",E383="GAS_WATER"),"GOC_TRANSITION",IF(AND(D383="GAS_WATER",E383="OIL"),"GOC_TRANSITION",IF(OR(D383="OIL_WATER",D383="GAS_WATER"),"TRANSITION_INTERVAL","")))))))))</f>
        <v/>
      </c>
      <c r="G383" s="20">
        <f>IF(OR(F383="",Master_Data!R383="",Master_Data!S383=""),"",IF(RIGHT(F383,10)="TRANSITION",AVERAGE(Master_Data!R383:Master_Data!S383),AVERAGE(Master_Data!S383,Master_Data!R384)))</f>
        <v/>
      </c>
      <c r="H383" s="20">
        <f>IF(G383="","",MAX(Settings!$B$4,Settings!$B$5*AVERAGE(IF(Master_Data!O383&lt;&gt;"",Master_Data!O383,Master_Data!H383),IF(Master_Data!O384&lt;&gt;"",Master_Data!O384,Master_Data!H384))))</f>
        <v/>
      </c>
      <c r="I383" s="20">
        <f>IF(G383="","",G383-H383)</f>
        <v/>
      </c>
      <c r="J383" s="20">
        <f>IF(G383="","",G383+H383)</f>
        <v/>
      </c>
      <c r="K383" s="20">
        <f>IF($A383="","",Master_Data!G383)</f>
        <v/>
      </c>
      <c r="L383" s="20">
        <f>IF($A383="","",Master_Data!G384)</f>
        <v/>
      </c>
      <c r="M383" s="20">
        <f>IF(AND(ISNUMBER(K383),ISNUMBER(L383)),L383-K383,"")</f>
        <v/>
      </c>
      <c r="N383" s="19">
        <f>IF(G383="","",IF(AND(ISNUMBER(K383),ISNUMBER(L383)),IF(OR(F383="GOC",F383="OWC",F383="GWC",F383="OWC_TRANSITION",F383="GOC_TRANSITION"),IF(L383&gt;=K383,"Supports","Conflicts"),"N/A"),"No Sw"))</f>
        <v/>
      </c>
      <c r="O383" s="20">
        <f>IF(G383="","",Settings!$B$6*IF(OR(F383="GOC",F383="OWC",F383="GWC"),1,0.7)+Settings!$B$7*IF(N383="Supports",1,IF(N383="Conflicts",0,0.5))+Settings!$B$8*IF(AND(Master_Data!R383&lt;&gt;"",Master_Data!S383&lt;&gt;"",Master_Data!R384&lt;&gt;"",Master_Data!S384&lt;&gt;""),1,0.5))</f>
        <v/>
      </c>
      <c r="P383" s="19">
        <f>IF(G383="","",IF(N383="Conflicts","SW_CONFLICT",IF(OR(F383="GOC",F383="OWC",F383="GWC"),"DIRECT_FLUID_TRANSITION","TRANSITION_INTERVAL")))</f>
        <v/>
      </c>
      <c r="Q383" s="19">
        <f>IF(G383="","",IF(N383="Conflicts","Investigate contact interpretation / saturation behaviour",IF(OR(F383="OWC",F383="GOC",F383="GWC"),"Candidate contact — validate with logs, pressure and dynamic evidence","Transition zone — do not force to a sharp contact")))</f>
        <v/>
      </c>
    </row>
    <row r="384">
      <c r="A384" s="19">
        <f>IF(AND(Master_Data!A384&lt;&gt;"",Master_Data!A384=Master_Data!A385),Master_Data!A384,"")</f>
        <v/>
      </c>
      <c r="B384" s="19">
        <f>IF($A384="","",Master_Data!B384)</f>
        <v/>
      </c>
      <c r="C384" s="19">
        <f>IF($A384="","",Master_Data!B385)</f>
        <v/>
      </c>
      <c r="D384" s="19">
        <f>IF($A384="","",Master_Data!Q384)</f>
        <v/>
      </c>
      <c r="E384" s="19">
        <f>IF($A384="","",Master_Data!Q385)</f>
        <v/>
      </c>
      <c r="F384" s="19">
        <f>IF($A384="","",IF(AND(D384="GAS",E384="OIL"),"GOC",IF(AND(D384="OIL",E384="WATER"),"OWC",IF(AND(D384="GAS",E384="WATER"),"GWC",IF(AND(D384="OIL",E384="OIL_WATER"),"OWC_TRANSITION",IF(AND(D384="OIL_WATER",E384="WATER"),"OWC_TRANSITION",IF(AND(D384="GAS",E384="GAS_WATER"),"GOC_TRANSITION",IF(AND(D384="GAS_WATER",E384="OIL"),"GOC_TRANSITION",IF(OR(D384="OIL_WATER",D384="GAS_WATER"),"TRANSITION_INTERVAL","")))))))))</f>
        <v/>
      </c>
      <c r="G384" s="20">
        <f>IF(OR(F384="",Master_Data!R384="",Master_Data!S384=""),"",IF(RIGHT(F384,10)="TRANSITION",AVERAGE(Master_Data!R384:Master_Data!S384),AVERAGE(Master_Data!S384,Master_Data!R385)))</f>
        <v/>
      </c>
      <c r="H384" s="20">
        <f>IF(G384="","",MAX(Settings!$B$4,Settings!$B$5*AVERAGE(IF(Master_Data!O384&lt;&gt;"",Master_Data!O384,Master_Data!H384),IF(Master_Data!O385&lt;&gt;"",Master_Data!O385,Master_Data!H385))))</f>
        <v/>
      </c>
      <c r="I384" s="20">
        <f>IF(G384="","",G384-H384)</f>
        <v/>
      </c>
      <c r="J384" s="20">
        <f>IF(G384="","",G384+H384)</f>
        <v/>
      </c>
      <c r="K384" s="20">
        <f>IF($A384="","",Master_Data!G384)</f>
        <v/>
      </c>
      <c r="L384" s="20">
        <f>IF($A384="","",Master_Data!G385)</f>
        <v/>
      </c>
      <c r="M384" s="20">
        <f>IF(AND(ISNUMBER(K384),ISNUMBER(L384)),L384-K384,"")</f>
        <v/>
      </c>
      <c r="N384" s="19">
        <f>IF(G384="","",IF(AND(ISNUMBER(K384),ISNUMBER(L384)),IF(OR(F384="GOC",F384="OWC",F384="GWC",F384="OWC_TRANSITION",F384="GOC_TRANSITION"),IF(L384&gt;=K384,"Supports","Conflicts"),"N/A"),"No Sw"))</f>
        <v/>
      </c>
      <c r="O384" s="20">
        <f>IF(G384="","",Settings!$B$6*IF(OR(F384="GOC",F384="OWC",F384="GWC"),1,0.7)+Settings!$B$7*IF(N384="Supports",1,IF(N384="Conflicts",0,0.5))+Settings!$B$8*IF(AND(Master_Data!R384&lt;&gt;"",Master_Data!S384&lt;&gt;"",Master_Data!R385&lt;&gt;"",Master_Data!S385&lt;&gt;""),1,0.5))</f>
        <v/>
      </c>
      <c r="P384" s="19">
        <f>IF(G384="","",IF(N384="Conflicts","SW_CONFLICT",IF(OR(F384="GOC",F384="OWC",F384="GWC"),"DIRECT_FLUID_TRANSITION","TRANSITION_INTERVAL")))</f>
        <v/>
      </c>
      <c r="Q384" s="19">
        <f>IF(G384="","",IF(N384="Conflicts","Investigate contact interpretation / saturation behaviour",IF(OR(F384="OWC",F384="GOC",F384="GWC"),"Candidate contact — validate with logs, pressure and dynamic evidence","Transition zone — do not force to a sharp contact")))</f>
        <v/>
      </c>
    </row>
    <row r="385">
      <c r="A385" s="19">
        <f>IF(AND(Master_Data!A385&lt;&gt;"",Master_Data!A385=Master_Data!A386),Master_Data!A385,"")</f>
        <v/>
      </c>
      <c r="B385" s="19">
        <f>IF($A385="","",Master_Data!B385)</f>
        <v/>
      </c>
      <c r="C385" s="19">
        <f>IF($A385="","",Master_Data!B386)</f>
        <v/>
      </c>
      <c r="D385" s="19">
        <f>IF($A385="","",Master_Data!Q385)</f>
        <v/>
      </c>
      <c r="E385" s="19">
        <f>IF($A385="","",Master_Data!Q386)</f>
        <v/>
      </c>
      <c r="F385" s="19">
        <f>IF($A385="","",IF(AND(D385="GAS",E385="OIL"),"GOC",IF(AND(D385="OIL",E385="WATER"),"OWC",IF(AND(D385="GAS",E385="WATER"),"GWC",IF(AND(D385="OIL",E385="OIL_WATER"),"OWC_TRANSITION",IF(AND(D385="OIL_WATER",E385="WATER"),"OWC_TRANSITION",IF(AND(D385="GAS",E385="GAS_WATER"),"GOC_TRANSITION",IF(AND(D385="GAS_WATER",E385="OIL"),"GOC_TRANSITION",IF(OR(D385="OIL_WATER",D385="GAS_WATER"),"TRANSITION_INTERVAL","")))))))))</f>
        <v/>
      </c>
      <c r="G385" s="20">
        <f>IF(OR(F385="",Master_Data!R385="",Master_Data!S385=""),"",IF(RIGHT(F385,10)="TRANSITION",AVERAGE(Master_Data!R385:Master_Data!S385),AVERAGE(Master_Data!S385,Master_Data!R386)))</f>
        <v/>
      </c>
      <c r="H385" s="20">
        <f>IF(G385="","",MAX(Settings!$B$4,Settings!$B$5*AVERAGE(IF(Master_Data!O385&lt;&gt;"",Master_Data!O385,Master_Data!H385),IF(Master_Data!O386&lt;&gt;"",Master_Data!O386,Master_Data!H386))))</f>
        <v/>
      </c>
      <c r="I385" s="20">
        <f>IF(G385="","",G385-H385)</f>
        <v/>
      </c>
      <c r="J385" s="20">
        <f>IF(G385="","",G385+H385)</f>
        <v/>
      </c>
      <c r="K385" s="20">
        <f>IF($A385="","",Master_Data!G385)</f>
        <v/>
      </c>
      <c r="L385" s="20">
        <f>IF($A385="","",Master_Data!G386)</f>
        <v/>
      </c>
      <c r="M385" s="20">
        <f>IF(AND(ISNUMBER(K385),ISNUMBER(L385)),L385-K385,"")</f>
        <v/>
      </c>
      <c r="N385" s="19">
        <f>IF(G385="","",IF(AND(ISNUMBER(K385),ISNUMBER(L385)),IF(OR(F385="GOC",F385="OWC",F385="GWC",F385="OWC_TRANSITION",F385="GOC_TRANSITION"),IF(L385&gt;=K385,"Supports","Conflicts"),"N/A"),"No Sw"))</f>
        <v/>
      </c>
      <c r="O385" s="20">
        <f>IF(G385="","",Settings!$B$6*IF(OR(F385="GOC",F385="OWC",F385="GWC"),1,0.7)+Settings!$B$7*IF(N385="Supports",1,IF(N385="Conflicts",0,0.5))+Settings!$B$8*IF(AND(Master_Data!R385&lt;&gt;"",Master_Data!S385&lt;&gt;"",Master_Data!R386&lt;&gt;"",Master_Data!S386&lt;&gt;""),1,0.5))</f>
        <v/>
      </c>
      <c r="P385" s="19">
        <f>IF(G385="","",IF(N385="Conflicts","SW_CONFLICT",IF(OR(F385="GOC",F385="OWC",F385="GWC"),"DIRECT_FLUID_TRANSITION","TRANSITION_INTERVAL")))</f>
        <v/>
      </c>
      <c r="Q385" s="19">
        <f>IF(G385="","",IF(N385="Conflicts","Investigate contact interpretation / saturation behaviour",IF(OR(F385="OWC",F385="GOC",F385="GWC"),"Candidate contact — validate with logs, pressure and dynamic evidence","Transition zone — do not force to a sharp contact")))</f>
        <v/>
      </c>
    </row>
    <row r="386">
      <c r="A386" s="19">
        <f>IF(AND(Master_Data!A386&lt;&gt;"",Master_Data!A386=Master_Data!A387),Master_Data!A386,"")</f>
        <v/>
      </c>
      <c r="B386" s="19">
        <f>IF($A386="","",Master_Data!B386)</f>
        <v/>
      </c>
      <c r="C386" s="19">
        <f>IF($A386="","",Master_Data!B387)</f>
        <v/>
      </c>
      <c r="D386" s="19">
        <f>IF($A386="","",Master_Data!Q386)</f>
        <v/>
      </c>
      <c r="E386" s="19">
        <f>IF($A386="","",Master_Data!Q387)</f>
        <v/>
      </c>
      <c r="F386" s="19">
        <f>IF($A386="","",IF(AND(D386="GAS",E386="OIL"),"GOC",IF(AND(D386="OIL",E386="WATER"),"OWC",IF(AND(D386="GAS",E386="WATER"),"GWC",IF(AND(D386="OIL",E386="OIL_WATER"),"OWC_TRANSITION",IF(AND(D386="OIL_WATER",E386="WATER"),"OWC_TRANSITION",IF(AND(D386="GAS",E386="GAS_WATER"),"GOC_TRANSITION",IF(AND(D386="GAS_WATER",E386="OIL"),"GOC_TRANSITION",IF(OR(D386="OIL_WATER",D386="GAS_WATER"),"TRANSITION_INTERVAL","")))))))))</f>
        <v/>
      </c>
      <c r="G386" s="20">
        <f>IF(OR(F386="",Master_Data!R386="",Master_Data!S386=""),"",IF(RIGHT(F386,10)="TRANSITION",AVERAGE(Master_Data!R386:Master_Data!S386),AVERAGE(Master_Data!S386,Master_Data!R387)))</f>
        <v/>
      </c>
      <c r="H386" s="20">
        <f>IF(G386="","",MAX(Settings!$B$4,Settings!$B$5*AVERAGE(IF(Master_Data!O386&lt;&gt;"",Master_Data!O386,Master_Data!H386),IF(Master_Data!O387&lt;&gt;"",Master_Data!O387,Master_Data!H387))))</f>
        <v/>
      </c>
      <c r="I386" s="20">
        <f>IF(G386="","",G386-H386)</f>
        <v/>
      </c>
      <c r="J386" s="20">
        <f>IF(G386="","",G386+H386)</f>
        <v/>
      </c>
      <c r="K386" s="20">
        <f>IF($A386="","",Master_Data!G386)</f>
        <v/>
      </c>
      <c r="L386" s="20">
        <f>IF($A386="","",Master_Data!G387)</f>
        <v/>
      </c>
      <c r="M386" s="20">
        <f>IF(AND(ISNUMBER(K386),ISNUMBER(L386)),L386-K386,"")</f>
        <v/>
      </c>
      <c r="N386" s="19">
        <f>IF(G386="","",IF(AND(ISNUMBER(K386),ISNUMBER(L386)),IF(OR(F386="GOC",F386="OWC",F386="GWC",F386="OWC_TRANSITION",F386="GOC_TRANSITION"),IF(L386&gt;=K386,"Supports","Conflicts"),"N/A"),"No Sw"))</f>
        <v/>
      </c>
      <c r="O386" s="20">
        <f>IF(G386="","",Settings!$B$6*IF(OR(F386="GOC",F386="OWC",F386="GWC"),1,0.7)+Settings!$B$7*IF(N386="Supports",1,IF(N386="Conflicts",0,0.5))+Settings!$B$8*IF(AND(Master_Data!R386&lt;&gt;"",Master_Data!S386&lt;&gt;"",Master_Data!R387&lt;&gt;"",Master_Data!S387&lt;&gt;""),1,0.5))</f>
        <v/>
      </c>
      <c r="P386" s="19">
        <f>IF(G386="","",IF(N386="Conflicts","SW_CONFLICT",IF(OR(F386="GOC",F386="OWC",F386="GWC"),"DIRECT_FLUID_TRANSITION","TRANSITION_INTERVAL")))</f>
        <v/>
      </c>
      <c r="Q386" s="19">
        <f>IF(G386="","",IF(N386="Conflicts","Investigate contact interpretation / saturation behaviour",IF(OR(F386="OWC",F386="GOC",F386="GWC"),"Candidate contact — validate with logs, pressure and dynamic evidence","Transition zone — do not force to a sharp contact")))</f>
        <v/>
      </c>
    </row>
    <row r="387">
      <c r="A387" s="19">
        <f>IF(AND(Master_Data!A387&lt;&gt;"",Master_Data!A387=Master_Data!A388),Master_Data!A387,"")</f>
        <v/>
      </c>
      <c r="B387" s="19">
        <f>IF($A387="","",Master_Data!B387)</f>
        <v/>
      </c>
      <c r="C387" s="19">
        <f>IF($A387="","",Master_Data!B388)</f>
        <v/>
      </c>
      <c r="D387" s="19">
        <f>IF($A387="","",Master_Data!Q387)</f>
        <v/>
      </c>
      <c r="E387" s="19">
        <f>IF($A387="","",Master_Data!Q388)</f>
        <v/>
      </c>
      <c r="F387" s="19">
        <f>IF($A387="","",IF(AND(D387="GAS",E387="OIL"),"GOC",IF(AND(D387="OIL",E387="WATER"),"OWC",IF(AND(D387="GAS",E387="WATER"),"GWC",IF(AND(D387="OIL",E387="OIL_WATER"),"OWC_TRANSITION",IF(AND(D387="OIL_WATER",E387="WATER"),"OWC_TRANSITION",IF(AND(D387="GAS",E387="GAS_WATER"),"GOC_TRANSITION",IF(AND(D387="GAS_WATER",E387="OIL"),"GOC_TRANSITION",IF(OR(D387="OIL_WATER",D387="GAS_WATER"),"TRANSITION_INTERVAL","")))))))))</f>
        <v/>
      </c>
      <c r="G387" s="20">
        <f>IF(OR(F387="",Master_Data!R387="",Master_Data!S387=""),"",IF(RIGHT(F387,10)="TRANSITION",AVERAGE(Master_Data!R387:Master_Data!S387),AVERAGE(Master_Data!S387,Master_Data!R388)))</f>
        <v/>
      </c>
      <c r="H387" s="20">
        <f>IF(G387="","",MAX(Settings!$B$4,Settings!$B$5*AVERAGE(IF(Master_Data!O387&lt;&gt;"",Master_Data!O387,Master_Data!H387),IF(Master_Data!O388&lt;&gt;"",Master_Data!O388,Master_Data!H388))))</f>
        <v/>
      </c>
      <c r="I387" s="20">
        <f>IF(G387="","",G387-H387)</f>
        <v/>
      </c>
      <c r="J387" s="20">
        <f>IF(G387="","",G387+H387)</f>
        <v/>
      </c>
      <c r="K387" s="20">
        <f>IF($A387="","",Master_Data!G387)</f>
        <v/>
      </c>
      <c r="L387" s="20">
        <f>IF($A387="","",Master_Data!G388)</f>
        <v/>
      </c>
      <c r="M387" s="20">
        <f>IF(AND(ISNUMBER(K387),ISNUMBER(L387)),L387-K387,"")</f>
        <v/>
      </c>
      <c r="N387" s="19">
        <f>IF(G387="","",IF(AND(ISNUMBER(K387),ISNUMBER(L387)),IF(OR(F387="GOC",F387="OWC",F387="GWC",F387="OWC_TRANSITION",F387="GOC_TRANSITION"),IF(L387&gt;=K387,"Supports","Conflicts"),"N/A"),"No Sw"))</f>
        <v/>
      </c>
      <c r="O387" s="20">
        <f>IF(G387="","",Settings!$B$6*IF(OR(F387="GOC",F387="OWC",F387="GWC"),1,0.7)+Settings!$B$7*IF(N387="Supports",1,IF(N387="Conflicts",0,0.5))+Settings!$B$8*IF(AND(Master_Data!R387&lt;&gt;"",Master_Data!S387&lt;&gt;"",Master_Data!R388&lt;&gt;"",Master_Data!S388&lt;&gt;""),1,0.5))</f>
        <v/>
      </c>
      <c r="P387" s="19">
        <f>IF(G387="","",IF(N387="Conflicts","SW_CONFLICT",IF(OR(F387="GOC",F387="OWC",F387="GWC"),"DIRECT_FLUID_TRANSITION","TRANSITION_INTERVAL")))</f>
        <v/>
      </c>
      <c r="Q387" s="19">
        <f>IF(G387="","",IF(N387="Conflicts","Investigate contact interpretation / saturation behaviour",IF(OR(F387="OWC",F387="GOC",F387="GWC"),"Candidate contact — validate with logs, pressure and dynamic evidence","Transition zone — do not force to a sharp contact")))</f>
        <v/>
      </c>
    </row>
    <row r="388">
      <c r="A388" s="19">
        <f>IF(AND(Master_Data!A388&lt;&gt;"",Master_Data!A388=Master_Data!A389),Master_Data!A388,"")</f>
        <v/>
      </c>
      <c r="B388" s="19">
        <f>IF($A388="","",Master_Data!B388)</f>
        <v/>
      </c>
      <c r="C388" s="19">
        <f>IF($A388="","",Master_Data!B389)</f>
        <v/>
      </c>
      <c r="D388" s="19">
        <f>IF($A388="","",Master_Data!Q388)</f>
        <v/>
      </c>
      <c r="E388" s="19">
        <f>IF($A388="","",Master_Data!Q389)</f>
        <v/>
      </c>
      <c r="F388" s="19">
        <f>IF($A388="","",IF(AND(D388="GAS",E388="OIL"),"GOC",IF(AND(D388="OIL",E388="WATER"),"OWC",IF(AND(D388="GAS",E388="WATER"),"GWC",IF(AND(D388="OIL",E388="OIL_WATER"),"OWC_TRANSITION",IF(AND(D388="OIL_WATER",E388="WATER"),"OWC_TRANSITION",IF(AND(D388="GAS",E388="GAS_WATER"),"GOC_TRANSITION",IF(AND(D388="GAS_WATER",E388="OIL"),"GOC_TRANSITION",IF(OR(D388="OIL_WATER",D388="GAS_WATER"),"TRANSITION_INTERVAL","")))))))))</f>
        <v/>
      </c>
      <c r="G388" s="20">
        <f>IF(OR(F388="",Master_Data!R388="",Master_Data!S388=""),"",IF(RIGHT(F388,10)="TRANSITION",AVERAGE(Master_Data!R388:Master_Data!S388),AVERAGE(Master_Data!S388,Master_Data!R389)))</f>
        <v/>
      </c>
      <c r="H388" s="20">
        <f>IF(G388="","",MAX(Settings!$B$4,Settings!$B$5*AVERAGE(IF(Master_Data!O388&lt;&gt;"",Master_Data!O388,Master_Data!H388),IF(Master_Data!O389&lt;&gt;"",Master_Data!O389,Master_Data!H389))))</f>
        <v/>
      </c>
      <c r="I388" s="20">
        <f>IF(G388="","",G388-H388)</f>
        <v/>
      </c>
      <c r="J388" s="20">
        <f>IF(G388="","",G388+H388)</f>
        <v/>
      </c>
      <c r="K388" s="20">
        <f>IF($A388="","",Master_Data!G388)</f>
        <v/>
      </c>
      <c r="L388" s="20">
        <f>IF($A388="","",Master_Data!G389)</f>
        <v/>
      </c>
      <c r="M388" s="20">
        <f>IF(AND(ISNUMBER(K388),ISNUMBER(L388)),L388-K388,"")</f>
        <v/>
      </c>
      <c r="N388" s="19">
        <f>IF(G388="","",IF(AND(ISNUMBER(K388),ISNUMBER(L388)),IF(OR(F388="GOC",F388="OWC",F388="GWC",F388="OWC_TRANSITION",F388="GOC_TRANSITION"),IF(L388&gt;=K388,"Supports","Conflicts"),"N/A"),"No Sw"))</f>
        <v/>
      </c>
      <c r="O388" s="20">
        <f>IF(G388="","",Settings!$B$6*IF(OR(F388="GOC",F388="OWC",F388="GWC"),1,0.7)+Settings!$B$7*IF(N388="Supports",1,IF(N388="Conflicts",0,0.5))+Settings!$B$8*IF(AND(Master_Data!R388&lt;&gt;"",Master_Data!S388&lt;&gt;"",Master_Data!R389&lt;&gt;"",Master_Data!S389&lt;&gt;""),1,0.5))</f>
        <v/>
      </c>
      <c r="P388" s="19">
        <f>IF(G388="","",IF(N388="Conflicts","SW_CONFLICT",IF(OR(F388="GOC",F388="OWC",F388="GWC"),"DIRECT_FLUID_TRANSITION","TRANSITION_INTERVAL")))</f>
        <v/>
      </c>
      <c r="Q388" s="19">
        <f>IF(G388="","",IF(N388="Conflicts","Investigate contact interpretation / saturation behaviour",IF(OR(F388="OWC",F388="GOC",F388="GWC"),"Candidate contact — validate with logs, pressure and dynamic evidence","Transition zone — do not force to a sharp contact")))</f>
        <v/>
      </c>
    </row>
    <row r="389">
      <c r="A389" s="19">
        <f>IF(AND(Master_Data!A389&lt;&gt;"",Master_Data!A389=Master_Data!A390),Master_Data!A389,"")</f>
        <v/>
      </c>
      <c r="B389" s="19">
        <f>IF($A389="","",Master_Data!B389)</f>
        <v/>
      </c>
      <c r="C389" s="19">
        <f>IF($A389="","",Master_Data!B390)</f>
        <v/>
      </c>
      <c r="D389" s="19">
        <f>IF($A389="","",Master_Data!Q389)</f>
        <v/>
      </c>
      <c r="E389" s="19">
        <f>IF($A389="","",Master_Data!Q390)</f>
        <v/>
      </c>
      <c r="F389" s="19">
        <f>IF($A389="","",IF(AND(D389="GAS",E389="OIL"),"GOC",IF(AND(D389="OIL",E389="WATER"),"OWC",IF(AND(D389="GAS",E389="WATER"),"GWC",IF(AND(D389="OIL",E389="OIL_WATER"),"OWC_TRANSITION",IF(AND(D389="OIL_WATER",E389="WATER"),"OWC_TRANSITION",IF(AND(D389="GAS",E389="GAS_WATER"),"GOC_TRANSITION",IF(AND(D389="GAS_WATER",E389="OIL"),"GOC_TRANSITION",IF(OR(D389="OIL_WATER",D389="GAS_WATER"),"TRANSITION_INTERVAL","")))))))))</f>
        <v/>
      </c>
      <c r="G389" s="20">
        <f>IF(OR(F389="",Master_Data!R389="",Master_Data!S389=""),"",IF(RIGHT(F389,10)="TRANSITION",AVERAGE(Master_Data!R389:Master_Data!S389),AVERAGE(Master_Data!S389,Master_Data!R390)))</f>
        <v/>
      </c>
      <c r="H389" s="20">
        <f>IF(G389="","",MAX(Settings!$B$4,Settings!$B$5*AVERAGE(IF(Master_Data!O389&lt;&gt;"",Master_Data!O389,Master_Data!H389),IF(Master_Data!O390&lt;&gt;"",Master_Data!O390,Master_Data!H390))))</f>
        <v/>
      </c>
      <c r="I389" s="20">
        <f>IF(G389="","",G389-H389)</f>
        <v/>
      </c>
      <c r="J389" s="20">
        <f>IF(G389="","",G389+H389)</f>
        <v/>
      </c>
      <c r="K389" s="20">
        <f>IF($A389="","",Master_Data!G389)</f>
        <v/>
      </c>
      <c r="L389" s="20">
        <f>IF($A389="","",Master_Data!G390)</f>
        <v/>
      </c>
      <c r="M389" s="20">
        <f>IF(AND(ISNUMBER(K389),ISNUMBER(L389)),L389-K389,"")</f>
        <v/>
      </c>
      <c r="N389" s="19">
        <f>IF(G389="","",IF(AND(ISNUMBER(K389),ISNUMBER(L389)),IF(OR(F389="GOC",F389="OWC",F389="GWC",F389="OWC_TRANSITION",F389="GOC_TRANSITION"),IF(L389&gt;=K389,"Supports","Conflicts"),"N/A"),"No Sw"))</f>
        <v/>
      </c>
      <c r="O389" s="20">
        <f>IF(G389="","",Settings!$B$6*IF(OR(F389="GOC",F389="OWC",F389="GWC"),1,0.7)+Settings!$B$7*IF(N389="Supports",1,IF(N389="Conflicts",0,0.5))+Settings!$B$8*IF(AND(Master_Data!R389&lt;&gt;"",Master_Data!S389&lt;&gt;"",Master_Data!R390&lt;&gt;"",Master_Data!S390&lt;&gt;""),1,0.5))</f>
        <v/>
      </c>
      <c r="P389" s="19">
        <f>IF(G389="","",IF(N389="Conflicts","SW_CONFLICT",IF(OR(F389="GOC",F389="OWC",F389="GWC"),"DIRECT_FLUID_TRANSITION","TRANSITION_INTERVAL")))</f>
        <v/>
      </c>
      <c r="Q389" s="19">
        <f>IF(G389="","",IF(N389="Conflicts","Investigate contact interpretation / saturation behaviour",IF(OR(F389="OWC",F389="GOC",F389="GWC"),"Candidate contact — validate with logs, pressure and dynamic evidence","Transition zone — do not force to a sharp contact")))</f>
        <v/>
      </c>
    </row>
    <row r="390">
      <c r="A390" s="19">
        <f>IF(AND(Master_Data!A390&lt;&gt;"",Master_Data!A390=Master_Data!A391),Master_Data!A390,"")</f>
        <v/>
      </c>
      <c r="B390" s="19">
        <f>IF($A390="","",Master_Data!B390)</f>
        <v/>
      </c>
      <c r="C390" s="19">
        <f>IF($A390="","",Master_Data!B391)</f>
        <v/>
      </c>
      <c r="D390" s="19">
        <f>IF($A390="","",Master_Data!Q390)</f>
        <v/>
      </c>
      <c r="E390" s="19">
        <f>IF($A390="","",Master_Data!Q391)</f>
        <v/>
      </c>
      <c r="F390" s="19">
        <f>IF($A390="","",IF(AND(D390="GAS",E390="OIL"),"GOC",IF(AND(D390="OIL",E390="WATER"),"OWC",IF(AND(D390="GAS",E390="WATER"),"GWC",IF(AND(D390="OIL",E390="OIL_WATER"),"OWC_TRANSITION",IF(AND(D390="OIL_WATER",E390="WATER"),"OWC_TRANSITION",IF(AND(D390="GAS",E390="GAS_WATER"),"GOC_TRANSITION",IF(AND(D390="GAS_WATER",E390="OIL"),"GOC_TRANSITION",IF(OR(D390="OIL_WATER",D390="GAS_WATER"),"TRANSITION_INTERVAL","")))))))))</f>
        <v/>
      </c>
      <c r="G390" s="20">
        <f>IF(OR(F390="",Master_Data!R390="",Master_Data!S390=""),"",IF(RIGHT(F390,10)="TRANSITION",AVERAGE(Master_Data!R390:Master_Data!S390),AVERAGE(Master_Data!S390,Master_Data!R391)))</f>
        <v/>
      </c>
      <c r="H390" s="20">
        <f>IF(G390="","",MAX(Settings!$B$4,Settings!$B$5*AVERAGE(IF(Master_Data!O390&lt;&gt;"",Master_Data!O390,Master_Data!H390),IF(Master_Data!O391&lt;&gt;"",Master_Data!O391,Master_Data!H391))))</f>
        <v/>
      </c>
      <c r="I390" s="20">
        <f>IF(G390="","",G390-H390)</f>
        <v/>
      </c>
      <c r="J390" s="20">
        <f>IF(G390="","",G390+H390)</f>
        <v/>
      </c>
      <c r="K390" s="20">
        <f>IF($A390="","",Master_Data!G390)</f>
        <v/>
      </c>
      <c r="L390" s="20">
        <f>IF($A390="","",Master_Data!G391)</f>
        <v/>
      </c>
      <c r="M390" s="20">
        <f>IF(AND(ISNUMBER(K390),ISNUMBER(L390)),L390-K390,"")</f>
        <v/>
      </c>
      <c r="N390" s="19">
        <f>IF(G390="","",IF(AND(ISNUMBER(K390),ISNUMBER(L390)),IF(OR(F390="GOC",F390="OWC",F390="GWC",F390="OWC_TRANSITION",F390="GOC_TRANSITION"),IF(L390&gt;=K390,"Supports","Conflicts"),"N/A"),"No Sw"))</f>
        <v/>
      </c>
      <c r="O390" s="20">
        <f>IF(G390="","",Settings!$B$6*IF(OR(F390="GOC",F390="OWC",F390="GWC"),1,0.7)+Settings!$B$7*IF(N390="Supports",1,IF(N390="Conflicts",0,0.5))+Settings!$B$8*IF(AND(Master_Data!R390&lt;&gt;"",Master_Data!S390&lt;&gt;"",Master_Data!R391&lt;&gt;"",Master_Data!S391&lt;&gt;""),1,0.5))</f>
        <v/>
      </c>
      <c r="P390" s="19">
        <f>IF(G390="","",IF(N390="Conflicts","SW_CONFLICT",IF(OR(F390="GOC",F390="OWC",F390="GWC"),"DIRECT_FLUID_TRANSITION","TRANSITION_INTERVAL")))</f>
        <v/>
      </c>
      <c r="Q390" s="19">
        <f>IF(G390="","",IF(N390="Conflicts","Investigate contact interpretation / saturation behaviour",IF(OR(F390="OWC",F390="GOC",F390="GWC"),"Candidate contact — validate with logs, pressure and dynamic evidence","Transition zone — do not force to a sharp contact")))</f>
        <v/>
      </c>
    </row>
    <row r="391">
      <c r="A391" s="19">
        <f>IF(AND(Master_Data!A391&lt;&gt;"",Master_Data!A391=Master_Data!A392),Master_Data!A391,"")</f>
        <v/>
      </c>
      <c r="B391" s="19">
        <f>IF($A391="","",Master_Data!B391)</f>
        <v/>
      </c>
      <c r="C391" s="19">
        <f>IF($A391="","",Master_Data!B392)</f>
        <v/>
      </c>
      <c r="D391" s="19">
        <f>IF($A391="","",Master_Data!Q391)</f>
        <v/>
      </c>
      <c r="E391" s="19">
        <f>IF($A391="","",Master_Data!Q392)</f>
        <v/>
      </c>
      <c r="F391" s="19">
        <f>IF($A391="","",IF(AND(D391="GAS",E391="OIL"),"GOC",IF(AND(D391="OIL",E391="WATER"),"OWC",IF(AND(D391="GAS",E391="WATER"),"GWC",IF(AND(D391="OIL",E391="OIL_WATER"),"OWC_TRANSITION",IF(AND(D391="OIL_WATER",E391="WATER"),"OWC_TRANSITION",IF(AND(D391="GAS",E391="GAS_WATER"),"GOC_TRANSITION",IF(AND(D391="GAS_WATER",E391="OIL"),"GOC_TRANSITION",IF(OR(D391="OIL_WATER",D391="GAS_WATER"),"TRANSITION_INTERVAL","")))))))))</f>
        <v/>
      </c>
      <c r="G391" s="20">
        <f>IF(OR(F391="",Master_Data!R391="",Master_Data!S391=""),"",IF(RIGHT(F391,10)="TRANSITION",AVERAGE(Master_Data!R391:Master_Data!S391),AVERAGE(Master_Data!S391,Master_Data!R392)))</f>
        <v/>
      </c>
      <c r="H391" s="20">
        <f>IF(G391="","",MAX(Settings!$B$4,Settings!$B$5*AVERAGE(IF(Master_Data!O391&lt;&gt;"",Master_Data!O391,Master_Data!H391),IF(Master_Data!O392&lt;&gt;"",Master_Data!O392,Master_Data!H392))))</f>
        <v/>
      </c>
      <c r="I391" s="20">
        <f>IF(G391="","",G391-H391)</f>
        <v/>
      </c>
      <c r="J391" s="20">
        <f>IF(G391="","",G391+H391)</f>
        <v/>
      </c>
      <c r="K391" s="20">
        <f>IF($A391="","",Master_Data!G391)</f>
        <v/>
      </c>
      <c r="L391" s="20">
        <f>IF($A391="","",Master_Data!G392)</f>
        <v/>
      </c>
      <c r="M391" s="20">
        <f>IF(AND(ISNUMBER(K391),ISNUMBER(L391)),L391-K391,"")</f>
        <v/>
      </c>
      <c r="N391" s="19">
        <f>IF(G391="","",IF(AND(ISNUMBER(K391),ISNUMBER(L391)),IF(OR(F391="GOC",F391="OWC",F391="GWC",F391="OWC_TRANSITION",F391="GOC_TRANSITION"),IF(L391&gt;=K391,"Supports","Conflicts"),"N/A"),"No Sw"))</f>
        <v/>
      </c>
      <c r="O391" s="20">
        <f>IF(G391="","",Settings!$B$6*IF(OR(F391="GOC",F391="OWC",F391="GWC"),1,0.7)+Settings!$B$7*IF(N391="Supports",1,IF(N391="Conflicts",0,0.5))+Settings!$B$8*IF(AND(Master_Data!R391&lt;&gt;"",Master_Data!S391&lt;&gt;"",Master_Data!R392&lt;&gt;"",Master_Data!S392&lt;&gt;""),1,0.5))</f>
        <v/>
      </c>
      <c r="P391" s="19">
        <f>IF(G391="","",IF(N391="Conflicts","SW_CONFLICT",IF(OR(F391="GOC",F391="OWC",F391="GWC"),"DIRECT_FLUID_TRANSITION","TRANSITION_INTERVAL")))</f>
        <v/>
      </c>
      <c r="Q391" s="19">
        <f>IF(G391="","",IF(N391="Conflicts","Investigate contact interpretation / saturation behaviour",IF(OR(F391="OWC",F391="GOC",F391="GWC"),"Candidate contact — validate with logs, pressure and dynamic evidence","Transition zone — do not force to a sharp contact")))</f>
        <v/>
      </c>
    </row>
    <row r="392">
      <c r="A392" s="19">
        <f>IF(AND(Master_Data!A392&lt;&gt;"",Master_Data!A392=Master_Data!A393),Master_Data!A392,"")</f>
        <v/>
      </c>
      <c r="B392" s="19">
        <f>IF($A392="","",Master_Data!B392)</f>
        <v/>
      </c>
      <c r="C392" s="19">
        <f>IF($A392="","",Master_Data!B393)</f>
        <v/>
      </c>
      <c r="D392" s="19">
        <f>IF($A392="","",Master_Data!Q392)</f>
        <v/>
      </c>
      <c r="E392" s="19">
        <f>IF($A392="","",Master_Data!Q393)</f>
        <v/>
      </c>
      <c r="F392" s="19">
        <f>IF($A392="","",IF(AND(D392="GAS",E392="OIL"),"GOC",IF(AND(D392="OIL",E392="WATER"),"OWC",IF(AND(D392="GAS",E392="WATER"),"GWC",IF(AND(D392="OIL",E392="OIL_WATER"),"OWC_TRANSITION",IF(AND(D392="OIL_WATER",E392="WATER"),"OWC_TRANSITION",IF(AND(D392="GAS",E392="GAS_WATER"),"GOC_TRANSITION",IF(AND(D392="GAS_WATER",E392="OIL"),"GOC_TRANSITION",IF(OR(D392="OIL_WATER",D392="GAS_WATER"),"TRANSITION_INTERVAL","")))))))))</f>
        <v/>
      </c>
      <c r="G392" s="20">
        <f>IF(OR(F392="",Master_Data!R392="",Master_Data!S392=""),"",IF(RIGHT(F392,10)="TRANSITION",AVERAGE(Master_Data!R392:Master_Data!S392),AVERAGE(Master_Data!S392,Master_Data!R393)))</f>
        <v/>
      </c>
      <c r="H392" s="20">
        <f>IF(G392="","",MAX(Settings!$B$4,Settings!$B$5*AVERAGE(IF(Master_Data!O392&lt;&gt;"",Master_Data!O392,Master_Data!H392),IF(Master_Data!O393&lt;&gt;"",Master_Data!O393,Master_Data!H393))))</f>
        <v/>
      </c>
      <c r="I392" s="20">
        <f>IF(G392="","",G392-H392)</f>
        <v/>
      </c>
      <c r="J392" s="20">
        <f>IF(G392="","",G392+H392)</f>
        <v/>
      </c>
      <c r="K392" s="20">
        <f>IF($A392="","",Master_Data!G392)</f>
        <v/>
      </c>
      <c r="L392" s="20">
        <f>IF($A392="","",Master_Data!G393)</f>
        <v/>
      </c>
      <c r="M392" s="20">
        <f>IF(AND(ISNUMBER(K392),ISNUMBER(L392)),L392-K392,"")</f>
        <v/>
      </c>
      <c r="N392" s="19">
        <f>IF(G392="","",IF(AND(ISNUMBER(K392),ISNUMBER(L392)),IF(OR(F392="GOC",F392="OWC",F392="GWC",F392="OWC_TRANSITION",F392="GOC_TRANSITION"),IF(L392&gt;=K392,"Supports","Conflicts"),"N/A"),"No Sw"))</f>
        <v/>
      </c>
      <c r="O392" s="20">
        <f>IF(G392="","",Settings!$B$6*IF(OR(F392="GOC",F392="OWC",F392="GWC"),1,0.7)+Settings!$B$7*IF(N392="Supports",1,IF(N392="Conflicts",0,0.5))+Settings!$B$8*IF(AND(Master_Data!R392&lt;&gt;"",Master_Data!S392&lt;&gt;"",Master_Data!R393&lt;&gt;"",Master_Data!S393&lt;&gt;""),1,0.5))</f>
        <v/>
      </c>
      <c r="P392" s="19">
        <f>IF(G392="","",IF(N392="Conflicts","SW_CONFLICT",IF(OR(F392="GOC",F392="OWC",F392="GWC"),"DIRECT_FLUID_TRANSITION","TRANSITION_INTERVAL")))</f>
        <v/>
      </c>
      <c r="Q392" s="19">
        <f>IF(G392="","",IF(N392="Conflicts","Investigate contact interpretation / saturation behaviour",IF(OR(F392="OWC",F392="GOC",F392="GWC"),"Candidate contact — validate with logs, pressure and dynamic evidence","Transition zone — do not force to a sharp contact")))</f>
        <v/>
      </c>
    </row>
    <row r="393">
      <c r="A393" s="19">
        <f>IF(AND(Master_Data!A393&lt;&gt;"",Master_Data!A393=Master_Data!A394),Master_Data!A393,"")</f>
        <v/>
      </c>
      <c r="B393" s="19">
        <f>IF($A393="","",Master_Data!B393)</f>
        <v/>
      </c>
      <c r="C393" s="19">
        <f>IF($A393="","",Master_Data!B394)</f>
        <v/>
      </c>
      <c r="D393" s="19">
        <f>IF($A393="","",Master_Data!Q393)</f>
        <v/>
      </c>
      <c r="E393" s="19">
        <f>IF($A393="","",Master_Data!Q394)</f>
        <v/>
      </c>
      <c r="F393" s="19">
        <f>IF($A393="","",IF(AND(D393="GAS",E393="OIL"),"GOC",IF(AND(D393="OIL",E393="WATER"),"OWC",IF(AND(D393="GAS",E393="WATER"),"GWC",IF(AND(D393="OIL",E393="OIL_WATER"),"OWC_TRANSITION",IF(AND(D393="OIL_WATER",E393="WATER"),"OWC_TRANSITION",IF(AND(D393="GAS",E393="GAS_WATER"),"GOC_TRANSITION",IF(AND(D393="GAS_WATER",E393="OIL"),"GOC_TRANSITION",IF(OR(D393="OIL_WATER",D393="GAS_WATER"),"TRANSITION_INTERVAL","")))))))))</f>
        <v/>
      </c>
      <c r="G393" s="20">
        <f>IF(OR(F393="",Master_Data!R393="",Master_Data!S393=""),"",IF(RIGHT(F393,10)="TRANSITION",AVERAGE(Master_Data!R393:Master_Data!S393),AVERAGE(Master_Data!S393,Master_Data!R394)))</f>
        <v/>
      </c>
      <c r="H393" s="20">
        <f>IF(G393="","",MAX(Settings!$B$4,Settings!$B$5*AVERAGE(IF(Master_Data!O393&lt;&gt;"",Master_Data!O393,Master_Data!H393),IF(Master_Data!O394&lt;&gt;"",Master_Data!O394,Master_Data!H394))))</f>
        <v/>
      </c>
      <c r="I393" s="20">
        <f>IF(G393="","",G393-H393)</f>
        <v/>
      </c>
      <c r="J393" s="20">
        <f>IF(G393="","",G393+H393)</f>
        <v/>
      </c>
      <c r="K393" s="20">
        <f>IF($A393="","",Master_Data!G393)</f>
        <v/>
      </c>
      <c r="L393" s="20">
        <f>IF($A393="","",Master_Data!G394)</f>
        <v/>
      </c>
      <c r="M393" s="20">
        <f>IF(AND(ISNUMBER(K393),ISNUMBER(L393)),L393-K393,"")</f>
        <v/>
      </c>
      <c r="N393" s="19">
        <f>IF(G393="","",IF(AND(ISNUMBER(K393),ISNUMBER(L393)),IF(OR(F393="GOC",F393="OWC",F393="GWC",F393="OWC_TRANSITION",F393="GOC_TRANSITION"),IF(L393&gt;=K393,"Supports","Conflicts"),"N/A"),"No Sw"))</f>
        <v/>
      </c>
      <c r="O393" s="20">
        <f>IF(G393="","",Settings!$B$6*IF(OR(F393="GOC",F393="OWC",F393="GWC"),1,0.7)+Settings!$B$7*IF(N393="Supports",1,IF(N393="Conflicts",0,0.5))+Settings!$B$8*IF(AND(Master_Data!R393&lt;&gt;"",Master_Data!S393&lt;&gt;"",Master_Data!R394&lt;&gt;"",Master_Data!S394&lt;&gt;""),1,0.5))</f>
        <v/>
      </c>
      <c r="P393" s="19">
        <f>IF(G393="","",IF(N393="Conflicts","SW_CONFLICT",IF(OR(F393="GOC",F393="OWC",F393="GWC"),"DIRECT_FLUID_TRANSITION","TRANSITION_INTERVAL")))</f>
        <v/>
      </c>
      <c r="Q393" s="19">
        <f>IF(G393="","",IF(N393="Conflicts","Investigate contact interpretation / saturation behaviour",IF(OR(F393="OWC",F393="GOC",F393="GWC"),"Candidate contact — validate with logs, pressure and dynamic evidence","Transition zone — do not force to a sharp contact")))</f>
        <v/>
      </c>
    </row>
    <row r="394">
      <c r="A394" s="19">
        <f>IF(AND(Master_Data!A394&lt;&gt;"",Master_Data!A394=Master_Data!A395),Master_Data!A394,"")</f>
        <v/>
      </c>
      <c r="B394" s="19">
        <f>IF($A394="","",Master_Data!B394)</f>
        <v/>
      </c>
      <c r="C394" s="19">
        <f>IF($A394="","",Master_Data!B395)</f>
        <v/>
      </c>
      <c r="D394" s="19">
        <f>IF($A394="","",Master_Data!Q394)</f>
        <v/>
      </c>
      <c r="E394" s="19">
        <f>IF($A394="","",Master_Data!Q395)</f>
        <v/>
      </c>
      <c r="F394" s="19">
        <f>IF($A394="","",IF(AND(D394="GAS",E394="OIL"),"GOC",IF(AND(D394="OIL",E394="WATER"),"OWC",IF(AND(D394="GAS",E394="WATER"),"GWC",IF(AND(D394="OIL",E394="OIL_WATER"),"OWC_TRANSITION",IF(AND(D394="OIL_WATER",E394="WATER"),"OWC_TRANSITION",IF(AND(D394="GAS",E394="GAS_WATER"),"GOC_TRANSITION",IF(AND(D394="GAS_WATER",E394="OIL"),"GOC_TRANSITION",IF(OR(D394="OIL_WATER",D394="GAS_WATER"),"TRANSITION_INTERVAL","")))))))))</f>
        <v/>
      </c>
      <c r="G394" s="20">
        <f>IF(OR(F394="",Master_Data!R394="",Master_Data!S394=""),"",IF(RIGHT(F394,10)="TRANSITION",AVERAGE(Master_Data!R394:Master_Data!S394),AVERAGE(Master_Data!S394,Master_Data!R395)))</f>
        <v/>
      </c>
      <c r="H394" s="20">
        <f>IF(G394="","",MAX(Settings!$B$4,Settings!$B$5*AVERAGE(IF(Master_Data!O394&lt;&gt;"",Master_Data!O394,Master_Data!H394),IF(Master_Data!O395&lt;&gt;"",Master_Data!O395,Master_Data!H395))))</f>
        <v/>
      </c>
      <c r="I394" s="20">
        <f>IF(G394="","",G394-H394)</f>
        <v/>
      </c>
      <c r="J394" s="20">
        <f>IF(G394="","",G394+H394)</f>
        <v/>
      </c>
      <c r="K394" s="20">
        <f>IF($A394="","",Master_Data!G394)</f>
        <v/>
      </c>
      <c r="L394" s="20">
        <f>IF($A394="","",Master_Data!G395)</f>
        <v/>
      </c>
      <c r="M394" s="20">
        <f>IF(AND(ISNUMBER(K394),ISNUMBER(L394)),L394-K394,"")</f>
        <v/>
      </c>
      <c r="N394" s="19">
        <f>IF(G394="","",IF(AND(ISNUMBER(K394),ISNUMBER(L394)),IF(OR(F394="GOC",F394="OWC",F394="GWC",F394="OWC_TRANSITION",F394="GOC_TRANSITION"),IF(L394&gt;=K394,"Supports","Conflicts"),"N/A"),"No Sw"))</f>
        <v/>
      </c>
      <c r="O394" s="20">
        <f>IF(G394="","",Settings!$B$6*IF(OR(F394="GOC",F394="OWC",F394="GWC"),1,0.7)+Settings!$B$7*IF(N394="Supports",1,IF(N394="Conflicts",0,0.5))+Settings!$B$8*IF(AND(Master_Data!R394&lt;&gt;"",Master_Data!S394&lt;&gt;"",Master_Data!R395&lt;&gt;"",Master_Data!S395&lt;&gt;""),1,0.5))</f>
        <v/>
      </c>
      <c r="P394" s="19">
        <f>IF(G394="","",IF(N394="Conflicts","SW_CONFLICT",IF(OR(F394="GOC",F394="OWC",F394="GWC"),"DIRECT_FLUID_TRANSITION","TRANSITION_INTERVAL")))</f>
        <v/>
      </c>
      <c r="Q394" s="19">
        <f>IF(G394="","",IF(N394="Conflicts","Investigate contact interpretation / saturation behaviour",IF(OR(F394="OWC",F394="GOC",F394="GWC"),"Candidate contact — validate with logs, pressure and dynamic evidence","Transition zone — do not force to a sharp contact")))</f>
        <v/>
      </c>
    </row>
    <row r="395">
      <c r="A395" s="19">
        <f>IF(AND(Master_Data!A395&lt;&gt;"",Master_Data!A395=Master_Data!A396),Master_Data!A395,"")</f>
        <v/>
      </c>
      <c r="B395" s="19">
        <f>IF($A395="","",Master_Data!B395)</f>
        <v/>
      </c>
      <c r="C395" s="19">
        <f>IF($A395="","",Master_Data!B396)</f>
        <v/>
      </c>
      <c r="D395" s="19">
        <f>IF($A395="","",Master_Data!Q395)</f>
        <v/>
      </c>
      <c r="E395" s="19">
        <f>IF($A395="","",Master_Data!Q396)</f>
        <v/>
      </c>
      <c r="F395" s="19">
        <f>IF($A395="","",IF(AND(D395="GAS",E395="OIL"),"GOC",IF(AND(D395="OIL",E395="WATER"),"OWC",IF(AND(D395="GAS",E395="WATER"),"GWC",IF(AND(D395="OIL",E395="OIL_WATER"),"OWC_TRANSITION",IF(AND(D395="OIL_WATER",E395="WATER"),"OWC_TRANSITION",IF(AND(D395="GAS",E395="GAS_WATER"),"GOC_TRANSITION",IF(AND(D395="GAS_WATER",E395="OIL"),"GOC_TRANSITION",IF(OR(D395="OIL_WATER",D395="GAS_WATER"),"TRANSITION_INTERVAL","")))))))))</f>
        <v/>
      </c>
      <c r="G395" s="20">
        <f>IF(OR(F395="",Master_Data!R395="",Master_Data!S395=""),"",IF(RIGHT(F395,10)="TRANSITION",AVERAGE(Master_Data!R395:Master_Data!S395),AVERAGE(Master_Data!S395,Master_Data!R396)))</f>
        <v/>
      </c>
      <c r="H395" s="20">
        <f>IF(G395="","",MAX(Settings!$B$4,Settings!$B$5*AVERAGE(IF(Master_Data!O395&lt;&gt;"",Master_Data!O395,Master_Data!H395),IF(Master_Data!O396&lt;&gt;"",Master_Data!O396,Master_Data!H396))))</f>
        <v/>
      </c>
      <c r="I395" s="20">
        <f>IF(G395="","",G395-H395)</f>
        <v/>
      </c>
      <c r="J395" s="20">
        <f>IF(G395="","",G395+H395)</f>
        <v/>
      </c>
      <c r="K395" s="20">
        <f>IF($A395="","",Master_Data!G395)</f>
        <v/>
      </c>
      <c r="L395" s="20">
        <f>IF($A395="","",Master_Data!G396)</f>
        <v/>
      </c>
      <c r="M395" s="20">
        <f>IF(AND(ISNUMBER(K395),ISNUMBER(L395)),L395-K395,"")</f>
        <v/>
      </c>
      <c r="N395" s="19">
        <f>IF(G395="","",IF(AND(ISNUMBER(K395),ISNUMBER(L395)),IF(OR(F395="GOC",F395="OWC",F395="GWC",F395="OWC_TRANSITION",F395="GOC_TRANSITION"),IF(L395&gt;=K395,"Supports","Conflicts"),"N/A"),"No Sw"))</f>
        <v/>
      </c>
      <c r="O395" s="20">
        <f>IF(G395="","",Settings!$B$6*IF(OR(F395="GOC",F395="OWC",F395="GWC"),1,0.7)+Settings!$B$7*IF(N395="Supports",1,IF(N395="Conflicts",0,0.5))+Settings!$B$8*IF(AND(Master_Data!R395&lt;&gt;"",Master_Data!S395&lt;&gt;"",Master_Data!R396&lt;&gt;"",Master_Data!S396&lt;&gt;""),1,0.5))</f>
        <v/>
      </c>
      <c r="P395" s="19">
        <f>IF(G395="","",IF(N395="Conflicts","SW_CONFLICT",IF(OR(F395="GOC",F395="OWC",F395="GWC"),"DIRECT_FLUID_TRANSITION","TRANSITION_INTERVAL")))</f>
        <v/>
      </c>
      <c r="Q395" s="19">
        <f>IF(G395="","",IF(N395="Conflicts","Investigate contact interpretation / saturation behaviour",IF(OR(F395="OWC",F395="GOC",F395="GWC"),"Candidate contact — validate with logs, pressure and dynamic evidence","Transition zone — do not force to a sharp contact")))</f>
        <v/>
      </c>
    </row>
    <row r="396">
      <c r="A396" s="19">
        <f>IF(AND(Master_Data!A396&lt;&gt;"",Master_Data!A396=Master_Data!A397),Master_Data!A396,"")</f>
        <v/>
      </c>
      <c r="B396" s="19">
        <f>IF($A396="","",Master_Data!B396)</f>
        <v/>
      </c>
      <c r="C396" s="19">
        <f>IF($A396="","",Master_Data!B397)</f>
        <v/>
      </c>
      <c r="D396" s="19">
        <f>IF($A396="","",Master_Data!Q396)</f>
        <v/>
      </c>
      <c r="E396" s="19">
        <f>IF($A396="","",Master_Data!Q397)</f>
        <v/>
      </c>
      <c r="F396" s="19">
        <f>IF($A396="","",IF(AND(D396="GAS",E396="OIL"),"GOC",IF(AND(D396="OIL",E396="WATER"),"OWC",IF(AND(D396="GAS",E396="WATER"),"GWC",IF(AND(D396="OIL",E396="OIL_WATER"),"OWC_TRANSITION",IF(AND(D396="OIL_WATER",E396="WATER"),"OWC_TRANSITION",IF(AND(D396="GAS",E396="GAS_WATER"),"GOC_TRANSITION",IF(AND(D396="GAS_WATER",E396="OIL"),"GOC_TRANSITION",IF(OR(D396="OIL_WATER",D396="GAS_WATER"),"TRANSITION_INTERVAL","")))))))))</f>
        <v/>
      </c>
      <c r="G396" s="20">
        <f>IF(OR(F396="",Master_Data!R396="",Master_Data!S396=""),"",IF(RIGHT(F396,10)="TRANSITION",AVERAGE(Master_Data!R396:Master_Data!S396),AVERAGE(Master_Data!S396,Master_Data!R397)))</f>
        <v/>
      </c>
      <c r="H396" s="20">
        <f>IF(G396="","",MAX(Settings!$B$4,Settings!$B$5*AVERAGE(IF(Master_Data!O396&lt;&gt;"",Master_Data!O396,Master_Data!H396),IF(Master_Data!O397&lt;&gt;"",Master_Data!O397,Master_Data!H397))))</f>
        <v/>
      </c>
      <c r="I396" s="20">
        <f>IF(G396="","",G396-H396)</f>
        <v/>
      </c>
      <c r="J396" s="20">
        <f>IF(G396="","",G396+H396)</f>
        <v/>
      </c>
      <c r="K396" s="20">
        <f>IF($A396="","",Master_Data!G396)</f>
        <v/>
      </c>
      <c r="L396" s="20">
        <f>IF($A396="","",Master_Data!G397)</f>
        <v/>
      </c>
      <c r="M396" s="20">
        <f>IF(AND(ISNUMBER(K396),ISNUMBER(L396)),L396-K396,"")</f>
        <v/>
      </c>
      <c r="N396" s="19">
        <f>IF(G396="","",IF(AND(ISNUMBER(K396),ISNUMBER(L396)),IF(OR(F396="GOC",F396="OWC",F396="GWC",F396="OWC_TRANSITION",F396="GOC_TRANSITION"),IF(L396&gt;=K396,"Supports","Conflicts"),"N/A"),"No Sw"))</f>
        <v/>
      </c>
      <c r="O396" s="20">
        <f>IF(G396="","",Settings!$B$6*IF(OR(F396="GOC",F396="OWC",F396="GWC"),1,0.7)+Settings!$B$7*IF(N396="Supports",1,IF(N396="Conflicts",0,0.5))+Settings!$B$8*IF(AND(Master_Data!R396&lt;&gt;"",Master_Data!S396&lt;&gt;"",Master_Data!R397&lt;&gt;"",Master_Data!S397&lt;&gt;""),1,0.5))</f>
        <v/>
      </c>
      <c r="P396" s="19">
        <f>IF(G396="","",IF(N396="Conflicts","SW_CONFLICT",IF(OR(F396="GOC",F396="OWC",F396="GWC"),"DIRECT_FLUID_TRANSITION","TRANSITION_INTERVAL")))</f>
        <v/>
      </c>
      <c r="Q396" s="19">
        <f>IF(G396="","",IF(N396="Conflicts","Investigate contact interpretation / saturation behaviour",IF(OR(F396="OWC",F396="GOC",F396="GWC"),"Candidate contact — validate with logs, pressure and dynamic evidence","Transition zone — do not force to a sharp contact")))</f>
        <v/>
      </c>
    </row>
    <row r="397">
      <c r="A397" s="19">
        <f>IF(AND(Master_Data!A397&lt;&gt;"",Master_Data!A397=Master_Data!A398),Master_Data!A397,"")</f>
        <v/>
      </c>
      <c r="B397" s="19">
        <f>IF($A397="","",Master_Data!B397)</f>
        <v/>
      </c>
      <c r="C397" s="19">
        <f>IF($A397="","",Master_Data!B398)</f>
        <v/>
      </c>
      <c r="D397" s="19">
        <f>IF($A397="","",Master_Data!Q397)</f>
        <v/>
      </c>
      <c r="E397" s="19">
        <f>IF($A397="","",Master_Data!Q398)</f>
        <v/>
      </c>
      <c r="F397" s="19">
        <f>IF($A397="","",IF(AND(D397="GAS",E397="OIL"),"GOC",IF(AND(D397="OIL",E397="WATER"),"OWC",IF(AND(D397="GAS",E397="WATER"),"GWC",IF(AND(D397="OIL",E397="OIL_WATER"),"OWC_TRANSITION",IF(AND(D397="OIL_WATER",E397="WATER"),"OWC_TRANSITION",IF(AND(D397="GAS",E397="GAS_WATER"),"GOC_TRANSITION",IF(AND(D397="GAS_WATER",E397="OIL"),"GOC_TRANSITION",IF(OR(D397="OIL_WATER",D397="GAS_WATER"),"TRANSITION_INTERVAL","")))))))))</f>
        <v/>
      </c>
      <c r="G397" s="20">
        <f>IF(OR(F397="",Master_Data!R397="",Master_Data!S397=""),"",IF(RIGHT(F397,10)="TRANSITION",AVERAGE(Master_Data!R397:Master_Data!S397),AVERAGE(Master_Data!S397,Master_Data!R398)))</f>
        <v/>
      </c>
      <c r="H397" s="20">
        <f>IF(G397="","",MAX(Settings!$B$4,Settings!$B$5*AVERAGE(IF(Master_Data!O397&lt;&gt;"",Master_Data!O397,Master_Data!H397),IF(Master_Data!O398&lt;&gt;"",Master_Data!O398,Master_Data!H398))))</f>
        <v/>
      </c>
      <c r="I397" s="20">
        <f>IF(G397="","",G397-H397)</f>
        <v/>
      </c>
      <c r="J397" s="20">
        <f>IF(G397="","",G397+H397)</f>
        <v/>
      </c>
      <c r="K397" s="20">
        <f>IF($A397="","",Master_Data!G397)</f>
        <v/>
      </c>
      <c r="L397" s="20">
        <f>IF($A397="","",Master_Data!G398)</f>
        <v/>
      </c>
      <c r="M397" s="20">
        <f>IF(AND(ISNUMBER(K397),ISNUMBER(L397)),L397-K397,"")</f>
        <v/>
      </c>
      <c r="N397" s="19">
        <f>IF(G397="","",IF(AND(ISNUMBER(K397),ISNUMBER(L397)),IF(OR(F397="GOC",F397="OWC",F397="GWC",F397="OWC_TRANSITION",F397="GOC_TRANSITION"),IF(L397&gt;=K397,"Supports","Conflicts"),"N/A"),"No Sw"))</f>
        <v/>
      </c>
      <c r="O397" s="20">
        <f>IF(G397="","",Settings!$B$6*IF(OR(F397="GOC",F397="OWC",F397="GWC"),1,0.7)+Settings!$B$7*IF(N397="Supports",1,IF(N397="Conflicts",0,0.5))+Settings!$B$8*IF(AND(Master_Data!R397&lt;&gt;"",Master_Data!S397&lt;&gt;"",Master_Data!R398&lt;&gt;"",Master_Data!S398&lt;&gt;""),1,0.5))</f>
        <v/>
      </c>
      <c r="P397" s="19">
        <f>IF(G397="","",IF(N397="Conflicts","SW_CONFLICT",IF(OR(F397="GOC",F397="OWC",F397="GWC"),"DIRECT_FLUID_TRANSITION","TRANSITION_INTERVAL")))</f>
        <v/>
      </c>
      <c r="Q397" s="19">
        <f>IF(G397="","",IF(N397="Conflicts","Investigate contact interpretation / saturation behaviour",IF(OR(F397="OWC",F397="GOC",F397="GWC"),"Candidate contact — validate with logs, pressure and dynamic evidence","Transition zone — do not force to a sharp contact")))</f>
        <v/>
      </c>
    </row>
    <row r="398">
      <c r="A398" s="19">
        <f>IF(AND(Master_Data!A398&lt;&gt;"",Master_Data!A398=Master_Data!A399),Master_Data!A398,"")</f>
        <v/>
      </c>
      <c r="B398" s="19">
        <f>IF($A398="","",Master_Data!B398)</f>
        <v/>
      </c>
      <c r="C398" s="19">
        <f>IF($A398="","",Master_Data!B399)</f>
        <v/>
      </c>
      <c r="D398" s="19">
        <f>IF($A398="","",Master_Data!Q398)</f>
        <v/>
      </c>
      <c r="E398" s="19">
        <f>IF($A398="","",Master_Data!Q399)</f>
        <v/>
      </c>
      <c r="F398" s="19">
        <f>IF($A398="","",IF(AND(D398="GAS",E398="OIL"),"GOC",IF(AND(D398="OIL",E398="WATER"),"OWC",IF(AND(D398="GAS",E398="WATER"),"GWC",IF(AND(D398="OIL",E398="OIL_WATER"),"OWC_TRANSITION",IF(AND(D398="OIL_WATER",E398="WATER"),"OWC_TRANSITION",IF(AND(D398="GAS",E398="GAS_WATER"),"GOC_TRANSITION",IF(AND(D398="GAS_WATER",E398="OIL"),"GOC_TRANSITION",IF(OR(D398="OIL_WATER",D398="GAS_WATER"),"TRANSITION_INTERVAL","")))))))))</f>
        <v/>
      </c>
      <c r="G398" s="20">
        <f>IF(OR(F398="",Master_Data!R398="",Master_Data!S398=""),"",IF(RIGHT(F398,10)="TRANSITION",AVERAGE(Master_Data!R398:Master_Data!S398),AVERAGE(Master_Data!S398,Master_Data!R399)))</f>
        <v/>
      </c>
      <c r="H398" s="20">
        <f>IF(G398="","",MAX(Settings!$B$4,Settings!$B$5*AVERAGE(IF(Master_Data!O398&lt;&gt;"",Master_Data!O398,Master_Data!H398),IF(Master_Data!O399&lt;&gt;"",Master_Data!O399,Master_Data!H399))))</f>
        <v/>
      </c>
      <c r="I398" s="20">
        <f>IF(G398="","",G398-H398)</f>
        <v/>
      </c>
      <c r="J398" s="20">
        <f>IF(G398="","",G398+H398)</f>
        <v/>
      </c>
      <c r="K398" s="20">
        <f>IF($A398="","",Master_Data!G398)</f>
        <v/>
      </c>
      <c r="L398" s="20">
        <f>IF($A398="","",Master_Data!G399)</f>
        <v/>
      </c>
      <c r="M398" s="20">
        <f>IF(AND(ISNUMBER(K398),ISNUMBER(L398)),L398-K398,"")</f>
        <v/>
      </c>
      <c r="N398" s="19">
        <f>IF(G398="","",IF(AND(ISNUMBER(K398),ISNUMBER(L398)),IF(OR(F398="GOC",F398="OWC",F398="GWC",F398="OWC_TRANSITION",F398="GOC_TRANSITION"),IF(L398&gt;=K398,"Supports","Conflicts"),"N/A"),"No Sw"))</f>
        <v/>
      </c>
      <c r="O398" s="20">
        <f>IF(G398="","",Settings!$B$6*IF(OR(F398="GOC",F398="OWC",F398="GWC"),1,0.7)+Settings!$B$7*IF(N398="Supports",1,IF(N398="Conflicts",0,0.5))+Settings!$B$8*IF(AND(Master_Data!R398&lt;&gt;"",Master_Data!S398&lt;&gt;"",Master_Data!R399&lt;&gt;"",Master_Data!S399&lt;&gt;""),1,0.5))</f>
        <v/>
      </c>
      <c r="P398" s="19">
        <f>IF(G398="","",IF(N398="Conflicts","SW_CONFLICT",IF(OR(F398="GOC",F398="OWC",F398="GWC"),"DIRECT_FLUID_TRANSITION","TRANSITION_INTERVAL")))</f>
        <v/>
      </c>
      <c r="Q398" s="19">
        <f>IF(G398="","",IF(N398="Conflicts","Investigate contact interpretation / saturation behaviour",IF(OR(F398="OWC",F398="GOC",F398="GWC"),"Candidate contact — validate with logs, pressure and dynamic evidence","Transition zone — do not force to a sharp contact")))</f>
        <v/>
      </c>
    </row>
    <row r="399">
      <c r="A399" s="19">
        <f>IF(AND(Master_Data!A399&lt;&gt;"",Master_Data!A399=Master_Data!A400),Master_Data!A399,"")</f>
        <v/>
      </c>
      <c r="B399" s="19">
        <f>IF($A399="","",Master_Data!B399)</f>
        <v/>
      </c>
      <c r="C399" s="19">
        <f>IF($A399="","",Master_Data!B400)</f>
        <v/>
      </c>
      <c r="D399" s="19">
        <f>IF($A399="","",Master_Data!Q399)</f>
        <v/>
      </c>
      <c r="E399" s="19">
        <f>IF($A399="","",Master_Data!Q400)</f>
        <v/>
      </c>
      <c r="F399" s="19">
        <f>IF($A399="","",IF(AND(D399="GAS",E399="OIL"),"GOC",IF(AND(D399="OIL",E399="WATER"),"OWC",IF(AND(D399="GAS",E399="WATER"),"GWC",IF(AND(D399="OIL",E399="OIL_WATER"),"OWC_TRANSITION",IF(AND(D399="OIL_WATER",E399="WATER"),"OWC_TRANSITION",IF(AND(D399="GAS",E399="GAS_WATER"),"GOC_TRANSITION",IF(AND(D399="GAS_WATER",E399="OIL"),"GOC_TRANSITION",IF(OR(D399="OIL_WATER",D399="GAS_WATER"),"TRANSITION_INTERVAL","")))))))))</f>
        <v/>
      </c>
      <c r="G399" s="20">
        <f>IF(OR(F399="",Master_Data!R399="",Master_Data!S399=""),"",IF(RIGHT(F399,10)="TRANSITION",AVERAGE(Master_Data!R399:Master_Data!S399),AVERAGE(Master_Data!S399,Master_Data!R400)))</f>
        <v/>
      </c>
      <c r="H399" s="20">
        <f>IF(G399="","",MAX(Settings!$B$4,Settings!$B$5*AVERAGE(IF(Master_Data!O399&lt;&gt;"",Master_Data!O399,Master_Data!H399),IF(Master_Data!O400&lt;&gt;"",Master_Data!O400,Master_Data!H400))))</f>
        <v/>
      </c>
      <c r="I399" s="20">
        <f>IF(G399="","",G399-H399)</f>
        <v/>
      </c>
      <c r="J399" s="20">
        <f>IF(G399="","",G399+H399)</f>
        <v/>
      </c>
      <c r="K399" s="20">
        <f>IF($A399="","",Master_Data!G399)</f>
        <v/>
      </c>
      <c r="L399" s="20">
        <f>IF($A399="","",Master_Data!G400)</f>
        <v/>
      </c>
      <c r="M399" s="20">
        <f>IF(AND(ISNUMBER(K399),ISNUMBER(L399)),L399-K399,"")</f>
        <v/>
      </c>
      <c r="N399" s="19">
        <f>IF(G399="","",IF(AND(ISNUMBER(K399),ISNUMBER(L399)),IF(OR(F399="GOC",F399="OWC",F399="GWC",F399="OWC_TRANSITION",F399="GOC_TRANSITION"),IF(L399&gt;=K399,"Supports","Conflicts"),"N/A"),"No Sw"))</f>
        <v/>
      </c>
      <c r="O399" s="20">
        <f>IF(G399="","",Settings!$B$6*IF(OR(F399="GOC",F399="OWC",F399="GWC"),1,0.7)+Settings!$B$7*IF(N399="Supports",1,IF(N399="Conflicts",0,0.5))+Settings!$B$8*IF(AND(Master_Data!R399&lt;&gt;"",Master_Data!S399&lt;&gt;"",Master_Data!R400&lt;&gt;"",Master_Data!S400&lt;&gt;""),1,0.5))</f>
        <v/>
      </c>
      <c r="P399" s="19">
        <f>IF(G399="","",IF(N399="Conflicts","SW_CONFLICT",IF(OR(F399="GOC",F399="OWC",F399="GWC"),"DIRECT_FLUID_TRANSITION","TRANSITION_INTERVAL")))</f>
        <v/>
      </c>
      <c r="Q399" s="19">
        <f>IF(G399="","",IF(N399="Conflicts","Investigate contact interpretation / saturation behaviour",IF(OR(F399="OWC",F399="GOC",F399="GWC"),"Candidate contact — validate with logs, pressure and dynamic evidence","Transition zone — do not force to a sharp contact")))</f>
        <v/>
      </c>
    </row>
    <row r="400">
      <c r="A400" s="19">
        <f>IF(AND(Master_Data!A400&lt;&gt;"",Master_Data!A400=Master_Data!A401),Master_Data!A400,"")</f>
        <v/>
      </c>
      <c r="B400" s="19">
        <f>IF($A400="","",Master_Data!B400)</f>
        <v/>
      </c>
      <c r="C400" s="19">
        <f>IF($A400="","",Master_Data!B401)</f>
        <v/>
      </c>
      <c r="D400" s="19">
        <f>IF($A400="","",Master_Data!Q400)</f>
        <v/>
      </c>
      <c r="E400" s="19">
        <f>IF($A400="","",Master_Data!Q401)</f>
        <v/>
      </c>
      <c r="F400" s="19">
        <f>IF($A400="","",IF(AND(D400="GAS",E400="OIL"),"GOC",IF(AND(D400="OIL",E400="WATER"),"OWC",IF(AND(D400="GAS",E400="WATER"),"GWC",IF(AND(D400="OIL",E400="OIL_WATER"),"OWC_TRANSITION",IF(AND(D400="OIL_WATER",E400="WATER"),"OWC_TRANSITION",IF(AND(D400="GAS",E400="GAS_WATER"),"GOC_TRANSITION",IF(AND(D400="GAS_WATER",E400="OIL"),"GOC_TRANSITION",IF(OR(D400="OIL_WATER",D400="GAS_WATER"),"TRANSITION_INTERVAL","")))))))))</f>
        <v/>
      </c>
      <c r="G400" s="20">
        <f>IF(OR(F400="",Master_Data!R400="",Master_Data!S400=""),"",IF(RIGHT(F400,10)="TRANSITION",AVERAGE(Master_Data!R400:Master_Data!S400),AVERAGE(Master_Data!S400,Master_Data!R401)))</f>
        <v/>
      </c>
      <c r="H400" s="20">
        <f>IF(G400="","",MAX(Settings!$B$4,Settings!$B$5*AVERAGE(IF(Master_Data!O400&lt;&gt;"",Master_Data!O400,Master_Data!H400),IF(Master_Data!O401&lt;&gt;"",Master_Data!O401,Master_Data!H401))))</f>
        <v/>
      </c>
      <c r="I400" s="20">
        <f>IF(G400="","",G400-H400)</f>
        <v/>
      </c>
      <c r="J400" s="20">
        <f>IF(G400="","",G400+H400)</f>
        <v/>
      </c>
      <c r="K400" s="20">
        <f>IF($A400="","",Master_Data!G400)</f>
        <v/>
      </c>
      <c r="L400" s="20">
        <f>IF($A400="","",Master_Data!G401)</f>
        <v/>
      </c>
      <c r="M400" s="20">
        <f>IF(AND(ISNUMBER(K400),ISNUMBER(L400)),L400-K400,"")</f>
        <v/>
      </c>
      <c r="N400" s="19">
        <f>IF(G400="","",IF(AND(ISNUMBER(K400),ISNUMBER(L400)),IF(OR(F400="GOC",F400="OWC",F400="GWC",F400="OWC_TRANSITION",F400="GOC_TRANSITION"),IF(L400&gt;=K400,"Supports","Conflicts"),"N/A"),"No Sw"))</f>
        <v/>
      </c>
      <c r="O400" s="20">
        <f>IF(G400="","",Settings!$B$6*IF(OR(F400="GOC",F400="OWC",F400="GWC"),1,0.7)+Settings!$B$7*IF(N400="Supports",1,IF(N400="Conflicts",0,0.5))+Settings!$B$8*IF(AND(Master_Data!R400&lt;&gt;"",Master_Data!S400&lt;&gt;"",Master_Data!R401&lt;&gt;"",Master_Data!S401&lt;&gt;""),1,0.5))</f>
        <v/>
      </c>
      <c r="P400" s="19">
        <f>IF(G400="","",IF(N400="Conflicts","SW_CONFLICT",IF(OR(F400="GOC",F400="OWC",F400="GWC"),"DIRECT_FLUID_TRANSITION","TRANSITION_INTERVAL")))</f>
        <v/>
      </c>
      <c r="Q400" s="19">
        <f>IF(G400="","",IF(N400="Conflicts","Investigate contact interpretation / saturation behaviour",IF(OR(F400="OWC",F400="GOC",F400="GWC"),"Candidate contact — validate with logs, pressure and dynamic evidence","Transition zone — do not force to a sharp contact")))</f>
        <v/>
      </c>
    </row>
    <row r="401">
      <c r="A401" s="19">
        <f>IF(AND(Master_Data!A401&lt;&gt;"",Master_Data!A401=Master_Data!A402),Master_Data!A401,"")</f>
        <v/>
      </c>
      <c r="B401" s="19">
        <f>IF($A401="","",Master_Data!B401)</f>
        <v/>
      </c>
      <c r="C401" s="19">
        <f>IF($A401="","",Master_Data!B402)</f>
        <v/>
      </c>
      <c r="D401" s="19">
        <f>IF($A401="","",Master_Data!Q401)</f>
        <v/>
      </c>
      <c r="E401" s="19">
        <f>IF($A401="","",Master_Data!Q402)</f>
        <v/>
      </c>
      <c r="F401" s="19">
        <f>IF($A401="","",IF(AND(D401="GAS",E401="OIL"),"GOC",IF(AND(D401="OIL",E401="WATER"),"OWC",IF(AND(D401="GAS",E401="WATER"),"GWC",IF(AND(D401="OIL",E401="OIL_WATER"),"OWC_TRANSITION",IF(AND(D401="OIL_WATER",E401="WATER"),"OWC_TRANSITION",IF(AND(D401="GAS",E401="GAS_WATER"),"GOC_TRANSITION",IF(AND(D401="GAS_WATER",E401="OIL"),"GOC_TRANSITION",IF(OR(D401="OIL_WATER",D401="GAS_WATER"),"TRANSITION_INTERVAL","")))))))))</f>
        <v/>
      </c>
      <c r="G401" s="20">
        <f>IF(OR(F401="",Master_Data!R401="",Master_Data!S401=""),"",IF(RIGHT(F401,10)="TRANSITION",AVERAGE(Master_Data!R401:Master_Data!S401),AVERAGE(Master_Data!S401,Master_Data!R402)))</f>
        <v/>
      </c>
      <c r="H401" s="20">
        <f>IF(G401="","",MAX(Settings!$B$4,Settings!$B$5*AVERAGE(IF(Master_Data!O401&lt;&gt;"",Master_Data!O401,Master_Data!H401),IF(Master_Data!O402&lt;&gt;"",Master_Data!O402,Master_Data!H402))))</f>
        <v/>
      </c>
      <c r="I401" s="20">
        <f>IF(G401="","",G401-H401)</f>
        <v/>
      </c>
      <c r="J401" s="20">
        <f>IF(G401="","",G401+H401)</f>
        <v/>
      </c>
      <c r="K401" s="20">
        <f>IF($A401="","",Master_Data!G401)</f>
        <v/>
      </c>
      <c r="L401" s="20">
        <f>IF($A401="","",Master_Data!G402)</f>
        <v/>
      </c>
      <c r="M401" s="20">
        <f>IF(AND(ISNUMBER(K401),ISNUMBER(L401)),L401-K401,"")</f>
        <v/>
      </c>
      <c r="N401" s="19">
        <f>IF(G401="","",IF(AND(ISNUMBER(K401),ISNUMBER(L401)),IF(OR(F401="GOC",F401="OWC",F401="GWC",F401="OWC_TRANSITION",F401="GOC_TRANSITION"),IF(L401&gt;=K401,"Supports","Conflicts"),"N/A"),"No Sw"))</f>
        <v/>
      </c>
      <c r="O401" s="20">
        <f>IF(G401="","",Settings!$B$6*IF(OR(F401="GOC",F401="OWC",F401="GWC"),1,0.7)+Settings!$B$7*IF(N401="Supports",1,IF(N401="Conflicts",0,0.5))+Settings!$B$8*IF(AND(Master_Data!R401&lt;&gt;"",Master_Data!S401&lt;&gt;"",Master_Data!R402&lt;&gt;"",Master_Data!S402&lt;&gt;""),1,0.5))</f>
        <v/>
      </c>
      <c r="P401" s="19">
        <f>IF(G401="","",IF(N401="Conflicts","SW_CONFLICT",IF(OR(F401="GOC",F401="OWC",F401="GWC"),"DIRECT_FLUID_TRANSITION","TRANSITION_INTERVAL")))</f>
        <v/>
      </c>
      <c r="Q401" s="19">
        <f>IF(G401="","",IF(N401="Conflicts","Investigate contact interpretation / saturation behaviour",IF(OR(F401="OWC",F401="GOC",F401="GWC"),"Candidate contact — validate with logs, pressure and dynamic evidence","Transition zone — do not force to a sharp contact")))</f>
        <v/>
      </c>
    </row>
    <row r="402">
      <c r="A402" s="19">
        <f>IF(AND(Master_Data!A402&lt;&gt;"",Master_Data!A402=Master_Data!A403),Master_Data!A402,"")</f>
        <v/>
      </c>
      <c r="B402" s="19">
        <f>IF($A402="","",Master_Data!B402)</f>
        <v/>
      </c>
      <c r="C402" s="19">
        <f>IF($A402="","",Master_Data!B403)</f>
        <v/>
      </c>
      <c r="D402" s="19">
        <f>IF($A402="","",Master_Data!Q402)</f>
        <v/>
      </c>
      <c r="E402" s="19">
        <f>IF($A402="","",Master_Data!Q403)</f>
        <v/>
      </c>
      <c r="F402" s="19">
        <f>IF($A402="","",IF(AND(D402="GAS",E402="OIL"),"GOC",IF(AND(D402="OIL",E402="WATER"),"OWC",IF(AND(D402="GAS",E402="WATER"),"GWC",IF(AND(D402="OIL",E402="OIL_WATER"),"OWC_TRANSITION",IF(AND(D402="OIL_WATER",E402="WATER"),"OWC_TRANSITION",IF(AND(D402="GAS",E402="GAS_WATER"),"GOC_TRANSITION",IF(AND(D402="GAS_WATER",E402="OIL"),"GOC_TRANSITION",IF(OR(D402="OIL_WATER",D402="GAS_WATER"),"TRANSITION_INTERVAL","")))))))))</f>
        <v/>
      </c>
      <c r="G402" s="20">
        <f>IF(OR(F402="",Master_Data!R402="",Master_Data!S402=""),"",IF(RIGHT(F402,10)="TRANSITION",AVERAGE(Master_Data!R402:Master_Data!S402),AVERAGE(Master_Data!S402,Master_Data!R403)))</f>
        <v/>
      </c>
      <c r="H402" s="20">
        <f>IF(G402="","",MAX(Settings!$B$4,Settings!$B$5*AVERAGE(IF(Master_Data!O402&lt;&gt;"",Master_Data!O402,Master_Data!H402),IF(Master_Data!O403&lt;&gt;"",Master_Data!O403,Master_Data!H403))))</f>
        <v/>
      </c>
      <c r="I402" s="20">
        <f>IF(G402="","",G402-H402)</f>
        <v/>
      </c>
      <c r="J402" s="20">
        <f>IF(G402="","",G402+H402)</f>
        <v/>
      </c>
      <c r="K402" s="20">
        <f>IF($A402="","",Master_Data!G402)</f>
        <v/>
      </c>
      <c r="L402" s="20">
        <f>IF($A402="","",Master_Data!G403)</f>
        <v/>
      </c>
      <c r="M402" s="20">
        <f>IF(AND(ISNUMBER(K402),ISNUMBER(L402)),L402-K402,"")</f>
        <v/>
      </c>
      <c r="N402" s="19">
        <f>IF(G402="","",IF(AND(ISNUMBER(K402),ISNUMBER(L402)),IF(OR(F402="GOC",F402="OWC",F402="GWC",F402="OWC_TRANSITION",F402="GOC_TRANSITION"),IF(L402&gt;=K402,"Supports","Conflicts"),"N/A"),"No Sw"))</f>
        <v/>
      </c>
      <c r="O402" s="20">
        <f>IF(G402="","",Settings!$B$6*IF(OR(F402="GOC",F402="OWC",F402="GWC"),1,0.7)+Settings!$B$7*IF(N402="Supports",1,IF(N402="Conflicts",0,0.5))+Settings!$B$8*IF(AND(Master_Data!R402&lt;&gt;"",Master_Data!S402&lt;&gt;"",Master_Data!R403&lt;&gt;"",Master_Data!S403&lt;&gt;""),1,0.5))</f>
        <v/>
      </c>
      <c r="P402" s="19">
        <f>IF(G402="","",IF(N402="Conflicts","SW_CONFLICT",IF(OR(F402="GOC",F402="OWC",F402="GWC"),"DIRECT_FLUID_TRANSITION","TRANSITION_INTERVAL")))</f>
        <v/>
      </c>
      <c r="Q402" s="19">
        <f>IF(G402="","",IF(N402="Conflicts","Investigate contact interpretation / saturation behaviour",IF(OR(F402="OWC",F402="GOC",F402="GWC"),"Candidate contact — validate with logs, pressure and dynamic evidence","Transition zone — do not force to a sharp contact")))</f>
        <v/>
      </c>
    </row>
    <row r="403">
      <c r="A403" s="19">
        <f>IF(AND(Master_Data!A403&lt;&gt;"",Master_Data!A403=Master_Data!A404),Master_Data!A403,"")</f>
        <v/>
      </c>
      <c r="B403" s="19">
        <f>IF($A403="","",Master_Data!B403)</f>
        <v/>
      </c>
      <c r="C403" s="19">
        <f>IF($A403="","",Master_Data!B404)</f>
        <v/>
      </c>
      <c r="D403" s="19">
        <f>IF($A403="","",Master_Data!Q403)</f>
        <v/>
      </c>
      <c r="E403" s="19">
        <f>IF($A403="","",Master_Data!Q404)</f>
        <v/>
      </c>
      <c r="F403" s="19">
        <f>IF($A403="","",IF(AND(D403="GAS",E403="OIL"),"GOC",IF(AND(D403="OIL",E403="WATER"),"OWC",IF(AND(D403="GAS",E403="WATER"),"GWC",IF(AND(D403="OIL",E403="OIL_WATER"),"OWC_TRANSITION",IF(AND(D403="OIL_WATER",E403="WATER"),"OWC_TRANSITION",IF(AND(D403="GAS",E403="GAS_WATER"),"GOC_TRANSITION",IF(AND(D403="GAS_WATER",E403="OIL"),"GOC_TRANSITION",IF(OR(D403="OIL_WATER",D403="GAS_WATER"),"TRANSITION_INTERVAL","")))))))))</f>
        <v/>
      </c>
      <c r="G403" s="20">
        <f>IF(OR(F403="",Master_Data!R403="",Master_Data!S403=""),"",IF(RIGHT(F403,10)="TRANSITION",AVERAGE(Master_Data!R403:Master_Data!S403),AVERAGE(Master_Data!S403,Master_Data!R404)))</f>
        <v/>
      </c>
      <c r="H403" s="20">
        <f>IF(G403="","",MAX(Settings!$B$4,Settings!$B$5*AVERAGE(IF(Master_Data!O403&lt;&gt;"",Master_Data!O403,Master_Data!H403),IF(Master_Data!O404&lt;&gt;"",Master_Data!O404,Master_Data!H404))))</f>
        <v/>
      </c>
      <c r="I403" s="20">
        <f>IF(G403="","",G403-H403)</f>
        <v/>
      </c>
      <c r="J403" s="20">
        <f>IF(G403="","",G403+H403)</f>
        <v/>
      </c>
      <c r="K403" s="20">
        <f>IF($A403="","",Master_Data!G403)</f>
        <v/>
      </c>
      <c r="L403" s="20">
        <f>IF($A403="","",Master_Data!G404)</f>
        <v/>
      </c>
      <c r="M403" s="20">
        <f>IF(AND(ISNUMBER(K403),ISNUMBER(L403)),L403-K403,"")</f>
        <v/>
      </c>
      <c r="N403" s="19">
        <f>IF(G403="","",IF(AND(ISNUMBER(K403),ISNUMBER(L403)),IF(OR(F403="GOC",F403="OWC",F403="GWC",F403="OWC_TRANSITION",F403="GOC_TRANSITION"),IF(L403&gt;=K403,"Supports","Conflicts"),"N/A"),"No Sw"))</f>
        <v/>
      </c>
      <c r="O403" s="20">
        <f>IF(G403="","",Settings!$B$6*IF(OR(F403="GOC",F403="OWC",F403="GWC"),1,0.7)+Settings!$B$7*IF(N403="Supports",1,IF(N403="Conflicts",0,0.5))+Settings!$B$8*IF(AND(Master_Data!R403&lt;&gt;"",Master_Data!S403&lt;&gt;"",Master_Data!R404&lt;&gt;"",Master_Data!S404&lt;&gt;""),1,0.5))</f>
        <v/>
      </c>
      <c r="P403" s="19">
        <f>IF(G403="","",IF(N403="Conflicts","SW_CONFLICT",IF(OR(F403="GOC",F403="OWC",F403="GWC"),"DIRECT_FLUID_TRANSITION","TRANSITION_INTERVAL")))</f>
        <v/>
      </c>
      <c r="Q403" s="19">
        <f>IF(G403="","",IF(N403="Conflicts","Investigate contact interpretation / saturation behaviour",IF(OR(F403="OWC",F403="GOC",F403="GWC"),"Candidate contact — validate with logs, pressure and dynamic evidence","Transition zone — do not force to a sharp contact")))</f>
        <v/>
      </c>
    </row>
    <row r="404">
      <c r="A404" s="19">
        <f>IF(AND(Master_Data!A404&lt;&gt;"",Master_Data!A404=Master_Data!A405),Master_Data!A404,"")</f>
        <v/>
      </c>
      <c r="B404" s="19">
        <f>IF($A404="","",Master_Data!B404)</f>
        <v/>
      </c>
      <c r="C404" s="19">
        <f>IF($A404="","",Master_Data!B405)</f>
        <v/>
      </c>
      <c r="D404" s="19">
        <f>IF($A404="","",Master_Data!Q404)</f>
        <v/>
      </c>
      <c r="E404" s="19">
        <f>IF($A404="","",Master_Data!Q405)</f>
        <v/>
      </c>
      <c r="F404" s="19">
        <f>IF($A404="","",IF(AND(D404="GAS",E404="OIL"),"GOC",IF(AND(D404="OIL",E404="WATER"),"OWC",IF(AND(D404="GAS",E404="WATER"),"GWC",IF(AND(D404="OIL",E404="OIL_WATER"),"OWC_TRANSITION",IF(AND(D404="OIL_WATER",E404="WATER"),"OWC_TRANSITION",IF(AND(D404="GAS",E404="GAS_WATER"),"GOC_TRANSITION",IF(AND(D404="GAS_WATER",E404="OIL"),"GOC_TRANSITION",IF(OR(D404="OIL_WATER",D404="GAS_WATER"),"TRANSITION_INTERVAL","")))))))))</f>
        <v/>
      </c>
      <c r="G404" s="20">
        <f>IF(OR(F404="",Master_Data!R404="",Master_Data!S404=""),"",IF(RIGHT(F404,10)="TRANSITION",AVERAGE(Master_Data!R404:Master_Data!S404),AVERAGE(Master_Data!S404,Master_Data!R405)))</f>
        <v/>
      </c>
      <c r="H404" s="20">
        <f>IF(G404="","",MAX(Settings!$B$4,Settings!$B$5*AVERAGE(IF(Master_Data!O404&lt;&gt;"",Master_Data!O404,Master_Data!H404),IF(Master_Data!O405&lt;&gt;"",Master_Data!O405,Master_Data!H405))))</f>
        <v/>
      </c>
      <c r="I404" s="20">
        <f>IF(G404="","",G404-H404)</f>
        <v/>
      </c>
      <c r="J404" s="20">
        <f>IF(G404="","",G404+H404)</f>
        <v/>
      </c>
      <c r="K404" s="20">
        <f>IF($A404="","",Master_Data!G404)</f>
        <v/>
      </c>
      <c r="L404" s="20">
        <f>IF($A404="","",Master_Data!G405)</f>
        <v/>
      </c>
      <c r="M404" s="20">
        <f>IF(AND(ISNUMBER(K404),ISNUMBER(L404)),L404-K404,"")</f>
        <v/>
      </c>
      <c r="N404" s="19">
        <f>IF(G404="","",IF(AND(ISNUMBER(K404),ISNUMBER(L404)),IF(OR(F404="GOC",F404="OWC",F404="GWC",F404="OWC_TRANSITION",F404="GOC_TRANSITION"),IF(L404&gt;=K404,"Supports","Conflicts"),"N/A"),"No Sw"))</f>
        <v/>
      </c>
      <c r="O404" s="20">
        <f>IF(G404="","",Settings!$B$6*IF(OR(F404="GOC",F404="OWC",F404="GWC"),1,0.7)+Settings!$B$7*IF(N404="Supports",1,IF(N404="Conflicts",0,0.5))+Settings!$B$8*IF(AND(Master_Data!R404&lt;&gt;"",Master_Data!S404&lt;&gt;"",Master_Data!R405&lt;&gt;"",Master_Data!S405&lt;&gt;""),1,0.5))</f>
        <v/>
      </c>
      <c r="P404" s="19">
        <f>IF(G404="","",IF(N404="Conflicts","SW_CONFLICT",IF(OR(F404="GOC",F404="OWC",F404="GWC"),"DIRECT_FLUID_TRANSITION","TRANSITION_INTERVAL")))</f>
        <v/>
      </c>
      <c r="Q404" s="19">
        <f>IF(G404="","",IF(N404="Conflicts","Investigate contact interpretation / saturation behaviour",IF(OR(F404="OWC",F404="GOC",F404="GWC"),"Candidate contact — validate with logs, pressure and dynamic evidence","Transition zone — do not force to a sharp contact")))</f>
        <v/>
      </c>
    </row>
    <row r="405">
      <c r="A405" s="19">
        <f>IF(AND(Master_Data!A405&lt;&gt;"",Master_Data!A405=Master_Data!A406),Master_Data!A405,"")</f>
        <v/>
      </c>
      <c r="B405" s="19">
        <f>IF($A405="","",Master_Data!B405)</f>
        <v/>
      </c>
      <c r="C405" s="19">
        <f>IF($A405="","",Master_Data!B406)</f>
        <v/>
      </c>
      <c r="D405" s="19">
        <f>IF($A405="","",Master_Data!Q405)</f>
        <v/>
      </c>
      <c r="E405" s="19">
        <f>IF($A405="","",Master_Data!Q406)</f>
        <v/>
      </c>
      <c r="F405" s="19">
        <f>IF($A405="","",IF(AND(D405="GAS",E405="OIL"),"GOC",IF(AND(D405="OIL",E405="WATER"),"OWC",IF(AND(D405="GAS",E405="WATER"),"GWC",IF(AND(D405="OIL",E405="OIL_WATER"),"OWC_TRANSITION",IF(AND(D405="OIL_WATER",E405="WATER"),"OWC_TRANSITION",IF(AND(D405="GAS",E405="GAS_WATER"),"GOC_TRANSITION",IF(AND(D405="GAS_WATER",E405="OIL"),"GOC_TRANSITION",IF(OR(D405="OIL_WATER",D405="GAS_WATER"),"TRANSITION_INTERVAL","")))))))))</f>
        <v/>
      </c>
      <c r="G405" s="20">
        <f>IF(OR(F405="",Master_Data!R405="",Master_Data!S405=""),"",IF(RIGHT(F405,10)="TRANSITION",AVERAGE(Master_Data!R405:Master_Data!S405),AVERAGE(Master_Data!S405,Master_Data!R406)))</f>
        <v/>
      </c>
      <c r="H405" s="20">
        <f>IF(G405="","",MAX(Settings!$B$4,Settings!$B$5*AVERAGE(IF(Master_Data!O405&lt;&gt;"",Master_Data!O405,Master_Data!H405),IF(Master_Data!O406&lt;&gt;"",Master_Data!O406,Master_Data!H406))))</f>
        <v/>
      </c>
      <c r="I405" s="20">
        <f>IF(G405="","",G405-H405)</f>
        <v/>
      </c>
      <c r="J405" s="20">
        <f>IF(G405="","",G405+H405)</f>
        <v/>
      </c>
      <c r="K405" s="20">
        <f>IF($A405="","",Master_Data!G405)</f>
        <v/>
      </c>
      <c r="L405" s="20">
        <f>IF($A405="","",Master_Data!G406)</f>
        <v/>
      </c>
      <c r="M405" s="20">
        <f>IF(AND(ISNUMBER(K405),ISNUMBER(L405)),L405-K405,"")</f>
        <v/>
      </c>
      <c r="N405" s="19">
        <f>IF(G405="","",IF(AND(ISNUMBER(K405),ISNUMBER(L405)),IF(OR(F405="GOC",F405="OWC",F405="GWC",F405="OWC_TRANSITION",F405="GOC_TRANSITION"),IF(L405&gt;=K405,"Supports","Conflicts"),"N/A"),"No Sw"))</f>
        <v/>
      </c>
      <c r="O405" s="20">
        <f>IF(G405="","",Settings!$B$6*IF(OR(F405="GOC",F405="OWC",F405="GWC"),1,0.7)+Settings!$B$7*IF(N405="Supports",1,IF(N405="Conflicts",0,0.5))+Settings!$B$8*IF(AND(Master_Data!R405&lt;&gt;"",Master_Data!S405&lt;&gt;"",Master_Data!R406&lt;&gt;"",Master_Data!S406&lt;&gt;""),1,0.5))</f>
        <v/>
      </c>
      <c r="P405" s="19">
        <f>IF(G405="","",IF(N405="Conflicts","SW_CONFLICT",IF(OR(F405="GOC",F405="OWC",F405="GWC"),"DIRECT_FLUID_TRANSITION","TRANSITION_INTERVAL")))</f>
        <v/>
      </c>
      <c r="Q405" s="19">
        <f>IF(G405="","",IF(N405="Conflicts","Investigate contact interpretation / saturation behaviour",IF(OR(F405="OWC",F405="GOC",F405="GWC"),"Candidate contact — validate with logs, pressure and dynamic evidence","Transition zone — do not force to a sharp contact")))</f>
        <v/>
      </c>
    </row>
    <row r="406">
      <c r="A406" s="19">
        <f>IF(AND(Master_Data!A406&lt;&gt;"",Master_Data!A406=Master_Data!A407),Master_Data!A406,"")</f>
        <v/>
      </c>
      <c r="B406" s="19">
        <f>IF($A406="","",Master_Data!B406)</f>
        <v/>
      </c>
      <c r="C406" s="19">
        <f>IF($A406="","",Master_Data!B407)</f>
        <v/>
      </c>
      <c r="D406" s="19">
        <f>IF($A406="","",Master_Data!Q406)</f>
        <v/>
      </c>
      <c r="E406" s="19">
        <f>IF($A406="","",Master_Data!Q407)</f>
        <v/>
      </c>
      <c r="F406" s="19">
        <f>IF($A406="","",IF(AND(D406="GAS",E406="OIL"),"GOC",IF(AND(D406="OIL",E406="WATER"),"OWC",IF(AND(D406="GAS",E406="WATER"),"GWC",IF(AND(D406="OIL",E406="OIL_WATER"),"OWC_TRANSITION",IF(AND(D406="OIL_WATER",E406="WATER"),"OWC_TRANSITION",IF(AND(D406="GAS",E406="GAS_WATER"),"GOC_TRANSITION",IF(AND(D406="GAS_WATER",E406="OIL"),"GOC_TRANSITION",IF(OR(D406="OIL_WATER",D406="GAS_WATER"),"TRANSITION_INTERVAL","")))))))))</f>
        <v/>
      </c>
      <c r="G406" s="20">
        <f>IF(OR(F406="",Master_Data!R406="",Master_Data!S406=""),"",IF(RIGHT(F406,10)="TRANSITION",AVERAGE(Master_Data!R406:Master_Data!S406),AVERAGE(Master_Data!S406,Master_Data!R407)))</f>
        <v/>
      </c>
      <c r="H406" s="20">
        <f>IF(G406="","",MAX(Settings!$B$4,Settings!$B$5*AVERAGE(IF(Master_Data!O406&lt;&gt;"",Master_Data!O406,Master_Data!H406),IF(Master_Data!O407&lt;&gt;"",Master_Data!O407,Master_Data!H407))))</f>
        <v/>
      </c>
      <c r="I406" s="20">
        <f>IF(G406="","",G406-H406)</f>
        <v/>
      </c>
      <c r="J406" s="20">
        <f>IF(G406="","",G406+H406)</f>
        <v/>
      </c>
      <c r="K406" s="20">
        <f>IF($A406="","",Master_Data!G406)</f>
        <v/>
      </c>
      <c r="L406" s="20">
        <f>IF($A406="","",Master_Data!G407)</f>
        <v/>
      </c>
      <c r="M406" s="20">
        <f>IF(AND(ISNUMBER(K406),ISNUMBER(L406)),L406-K406,"")</f>
        <v/>
      </c>
      <c r="N406" s="19">
        <f>IF(G406="","",IF(AND(ISNUMBER(K406),ISNUMBER(L406)),IF(OR(F406="GOC",F406="OWC",F406="GWC",F406="OWC_TRANSITION",F406="GOC_TRANSITION"),IF(L406&gt;=K406,"Supports","Conflicts"),"N/A"),"No Sw"))</f>
        <v/>
      </c>
      <c r="O406" s="20">
        <f>IF(G406="","",Settings!$B$6*IF(OR(F406="GOC",F406="OWC",F406="GWC"),1,0.7)+Settings!$B$7*IF(N406="Supports",1,IF(N406="Conflicts",0,0.5))+Settings!$B$8*IF(AND(Master_Data!R406&lt;&gt;"",Master_Data!S406&lt;&gt;"",Master_Data!R407&lt;&gt;"",Master_Data!S407&lt;&gt;""),1,0.5))</f>
        <v/>
      </c>
      <c r="P406" s="19">
        <f>IF(G406="","",IF(N406="Conflicts","SW_CONFLICT",IF(OR(F406="GOC",F406="OWC",F406="GWC"),"DIRECT_FLUID_TRANSITION","TRANSITION_INTERVAL")))</f>
        <v/>
      </c>
      <c r="Q406" s="19">
        <f>IF(G406="","",IF(N406="Conflicts","Investigate contact interpretation / saturation behaviour",IF(OR(F406="OWC",F406="GOC",F406="GWC"),"Candidate contact — validate with logs, pressure and dynamic evidence","Transition zone — do not force to a sharp contact")))</f>
        <v/>
      </c>
    </row>
    <row r="407">
      <c r="A407" s="19">
        <f>IF(AND(Master_Data!A407&lt;&gt;"",Master_Data!A407=Master_Data!A408),Master_Data!A407,"")</f>
        <v/>
      </c>
      <c r="B407" s="19">
        <f>IF($A407="","",Master_Data!B407)</f>
        <v/>
      </c>
      <c r="C407" s="19">
        <f>IF($A407="","",Master_Data!B408)</f>
        <v/>
      </c>
      <c r="D407" s="19">
        <f>IF($A407="","",Master_Data!Q407)</f>
        <v/>
      </c>
      <c r="E407" s="19">
        <f>IF($A407="","",Master_Data!Q408)</f>
        <v/>
      </c>
      <c r="F407" s="19">
        <f>IF($A407="","",IF(AND(D407="GAS",E407="OIL"),"GOC",IF(AND(D407="OIL",E407="WATER"),"OWC",IF(AND(D407="GAS",E407="WATER"),"GWC",IF(AND(D407="OIL",E407="OIL_WATER"),"OWC_TRANSITION",IF(AND(D407="OIL_WATER",E407="WATER"),"OWC_TRANSITION",IF(AND(D407="GAS",E407="GAS_WATER"),"GOC_TRANSITION",IF(AND(D407="GAS_WATER",E407="OIL"),"GOC_TRANSITION",IF(OR(D407="OIL_WATER",D407="GAS_WATER"),"TRANSITION_INTERVAL","")))))))))</f>
        <v/>
      </c>
      <c r="G407" s="20">
        <f>IF(OR(F407="",Master_Data!R407="",Master_Data!S407=""),"",IF(RIGHT(F407,10)="TRANSITION",AVERAGE(Master_Data!R407:Master_Data!S407),AVERAGE(Master_Data!S407,Master_Data!R408)))</f>
        <v/>
      </c>
      <c r="H407" s="20">
        <f>IF(G407="","",MAX(Settings!$B$4,Settings!$B$5*AVERAGE(IF(Master_Data!O407&lt;&gt;"",Master_Data!O407,Master_Data!H407),IF(Master_Data!O408&lt;&gt;"",Master_Data!O408,Master_Data!H408))))</f>
        <v/>
      </c>
      <c r="I407" s="20">
        <f>IF(G407="","",G407-H407)</f>
        <v/>
      </c>
      <c r="J407" s="20">
        <f>IF(G407="","",G407+H407)</f>
        <v/>
      </c>
      <c r="K407" s="20">
        <f>IF($A407="","",Master_Data!G407)</f>
        <v/>
      </c>
      <c r="L407" s="20">
        <f>IF($A407="","",Master_Data!G408)</f>
        <v/>
      </c>
      <c r="M407" s="20">
        <f>IF(AND(ISNUMBER(K407),ISNUMBER(L407)),L407-K407,"")</f>
        <v/>
      </c>
      <c r="N407" s="19">
        <f>IF(G407="","",IF(AND(ISNUMBER(K407),ISNUMBER(L407)),IF(OR(F407="GOC",F407="OWC",F407="GWC",F407="OWC_TRANSITION",F407="GOC_TRANSITION"),IF(L407&gt;=K407,"Supports","Conflicts"),"N/A"),"No Sw"))</f>
        <v/>
      </c>
      <c r="O407" s="20">
        <f>IF(G407="","",Settings!$B$6*IF(OR(F407="GOC",F407="OWC",F407="GWC"),1,0.7)+Settings!$B$7*IF(N407="Supports",1,IF(N407="Conflicts",0,0.5))+Settings!$B$8*IF(AND(Master_Data!R407&lt;&gt;"",Master_Data!S407&lt;&gt;"",Master_Data!R408&lt;&gt;"",Master_Data!S408&lt;&gt;""),1,0.5))</f>
        <v/>
      </c>
      <c r="P407" s="19">
        <f>IF(G407="","",IF(N407="Conflicts","SW_CONFLICT",IF(OR(F407="GOC",F407="OWC",F407="GWC"),"DIRECT_FLUID_TRANSITION","TRANSITION_INTERVAL")))</f>
        <v/>
      </c>
      <c r="Q407" s="19">
        <f>IF(G407="","",IF(N407="Conflicts","Investigate contact interpretation / saturation behaviour",IF(OR(F407="OWC",F407="GOC",F407="GWC"),"Candidate contact — validate with logs, pressure and dynamic evidence","Transition zone — do not force to a sharp contact")))</f>
        <v/>
      </c>
    </row>
    <row r="408">
      <c r="A408" s="19">
        <f>IF(AND(Master_Data!A408&lt;&gt;"",Master_Data!A408=Master_Data!A409),Master_Data!A408,"")</f>
        <v/>
      </c>
      <c r="B408" s="19">
        <f>IF($A408="","",Master_Data!B408)</f>
        <v/>
      </c>
      <c r="C408" s="19">
        <f>IF($A408="","",Master_Data!B409)</f>
        <v/>
      </c>
      <c r="D408" s="19">
        <f>IF($A408="","",Master_Data!Q408)</f>
        <v/>
      </c>
      <c r="E408" s="19">
        <f>IF($A408="","",Master_Data!Q409)</f>
        <v/>
      </c>
      <c r="F408" s="19">
        <f>IF($A408="","",IF(AND(D408="GAS",E408="OIL"),"GOC",IF(AND(D408="OIL",E408="WATER"),"OWC",IF(AND(D408="GAS",E408="WATER"),"GWC",IF(AND(D408="OIL",E408="OIL_WATER"),"OWC_TRANSITION",IF(AND(D408="OIL_WATER",E408="WATER"),"OWC_TRANSITION",IF(AND(D408="GAS",E408="GAS_WATER"),"GOC_TRANSITION",IF(AND(D408="GAS_WATER",E408="OIL"),"GOC_TRANSITION",IF(OR(D408="OIL_WATER",D408="GAS_WATER"),"TRANSITION_INTERVAL","")))))))))</f>
        <v/>
      </c>
      <c r="G408" s="20">
        <f>IF(OR(F408="",Master_Data!R408="",Master_Data!S408=""),"",IF(RIGHT(F408,10)="TRANSITION",AVERAGE(Master_Data!R408:Master_Data!S408),AVERAGE(Master_Data!S408,Master_Data!R409)))</f>
        <v/>
      </c>
      <c r="H408" s="20">
        <f>IF(G408="","",MAX(Settings!$B$4,Settings!$B$5*AVERAGE(IF(Master_Data!O408&lt;&gt;"",Master_Data!O408,Master_Data!H408),IF(Master_Data!O409&lt;&gt;"",Master_Data!O409,Master_Data!H409))))</f>
        <v/>
      </c>
      <c r="I408" s="20">
        <f>IF(G408="","",G408-H408)</f>
        <v/>
      </c>
      <c r="J408" s="20">
        <f>IF(G408="","",G408+H408)</f>
        <v/>
      </c>
      <c r="K408" s="20">
        <f>IF($A408="","",Master_Data!G408)</f>
        <v/>
      </c>
      <c r="L408" s="20">
        <f>IF($A408="","",Master_Data!G409)</f>
        <v/>
      </c>
      <c r="M408" s="20">
        <f>IF(AND(ISNUMBER(K408),ISNUMBER(L408)),L408-K408,"")</f>
        <v/>
      </c>
      <c r="N408" s="19">
        <f>IF(G408="","",IF(AND(ISNUMBER(K408),ISNUMBER(L408)),IF(OR(F408="GOC",F408="OWC",F408="GWC",F408="OWC_TRANSITION",F408="GOC_TRANSITION"),IF(L408&gt;=K408,"Supports","Conflicts"),"N/A"),"No Sw"))</f>
        <v/>
      </c>
      <c r="O408" s="20">
        <f>IF(G408="","",Settings!$B$6*IF(OR(F408="GOC",F408="OWC",F408="GWC"),1,0.7)+Settings!$B$7*IF(N408="Supports",1,IF(N408="Conflicts",0,0.5))+Settings!$B$8*IF(AND(Master_Data!R408&lt;&gt;"",Master_Data!S408&lt;&gt;"",Master_Data!R409&lt;&gt;"",Master_Data!S409&lt;&gt;""),1,0.5))</f>
        <v/>
      </c>
      <c r="P408" s="19">
        <f>IF(G408="","",IF(N408="Conflicts","SW_CONFLICT",IF(OR(F408="GOC",F408="OWC",F408="GWC"),"DIRECT_FLUID_TRANSITION","TRANSITION_INTERVAL")))</f>
        <v/>
      </c>
      <c r="Q408" s="19">
        <f>IF(G408="","",IF(N408="Conflicts","Investigate contact interpretation / saturation behaviour",IF(OR(F408="OWC",F408="GOC",F408="GWC"),"Candidate contact — validate with logs, pressure and dynamic evidence","Transition zone — do not force to a sharp contact")))</f>
        <v/>
      </c>
    </row>
    <row r="409">
      <c r="A409" s="19">
        <f>IF(AND(Master_Data!A409&lt;&gt;"",Master_Data!A409=Master_Data!A410),Master_Data!A409,"")</f>
        <v/>
      </c>
      <c r="B409" s="19">
        <f>IF($A409="","",Master_Data!B409)</f>
        <v/>
      </c>
      <c r="C409" s="19">
        <f>IF($A409="","",Master_Data!B410)</f>
        <v/>
      </c>
      <c r="D409" s="19">
        <f>IF($A409="","",Master_Data!Q409)</f>
        <v/>
      </c>
      <c r="E409" s="19">
        <f>IF($A409="","",Master_Data!Q410)</f>
        <v/>
      </c>
      <c r="F409" s="19">
        <f>IF($A409="","",IF(AND(D409="GAS",E409="OIL"),"GOC",IF(AND(D409="OIL",E409="WATER"),"OWC",IF(AND(D409="GAS",E409="WATER"),"GWC",IF(AND(D409="OIL",E409="OIL_WATER"),"OWC_TRANSITION",IF(AND(D409="OIL_WATER",E409="WATER"),"OWC_TRANSITION",IF(AND(D409="GAS",E409="GAS_WATER"),"GOC_TRANSITION",IF(AND(D409="GAS_WATER",E409="OIL"),"GOC_TRANSITION",IF(OR(D409="OIL_WATER",D409="GAS_WATER"),"TRANSITION_INTERVAL","")))))))))</f>
        <v/>
      </c>
      <c r="G409" s="20">
        <f>IF(OR(F409="",Master_Data!R409="",Master_Data!S409=""),"",IF(RIGHT(F409,10)="TRANSITION",AVERAGE(Master_Data!R409:Master_Data!S409),AVERAGE(Master_Data!S409,Master_Data!R410)))</f>
        <v/>
      </c>
      <c r="H409" s="20">
        <f>IF(G409="","",MAX(Settings!$B$4,Settings!$B$5*AVERAGE(IF(Master_Data!O409&lt;&gt;"",Master_Data!O409,Master_Data!H409),IF(Master_Data!O410&lt;&gt;"",Master_Data!O410,Master_Data!H410))))</f>
        <v/>
      </c>
      <c r="I409" s="20">
        <f>IF(G409="","",G409-H409)</f>
        <v/>
      </c>
      <c r="J409" s="20">
        <f>IF(G409="","",G409+H409)</f>
        <v/>
      </c>
      <c r="K409" s="20">
        <f>IF($A409="","",Master_Data!G409)</f>
        <v/>
      </c>
      <c r="L409" s="20">
        <f>IF($A409="","",Master_Data!G410)</f>
        <v/>
      </c>
      <c r="M409" s="20">
        <f>IF(AND(ISNUMBER(K409),ISNUMBER(L409)),L409-K409,"")</f>
        <v/>
      </c>
      <c r="N409" s="19">
        <f>IF(G409="","",IF(AND(ISNUMBER(K409),ISNUMBER(L409)),IF(OR(F409="GOC",F409="OWC",F409="GWC",F409="OWC_TRANSITION",F409="GOC_TRANSITION"),IF(L409&gt;=K409,"Supports","Conflicts"),"N/A"),"No Sw"))</f>
        <v/>
      </c>
      <c r="O409" s="20">
        <f>IF(G409="","",Settings!$B$6*IF(OR(F409="GOC",F409="OWC",F409="GWC"),1,0.7)+Settings!$B$7*IF(N409="Supports",1,IF(N409="Conflicts",0,0.5))+Settings!$B$8*IF(AND(Master_Data!R409&lt;&gt;"",Master_Data!S409&lt;&gt;"",Master_Data!R410&lt;&gt;"",Master_Data!S410&lt;&gt;""),1,0.5))</f>
        <v/>
      </c>
      <c r="P409" s="19">
        <f>IF(G409="","",IF(N409="Conflicts","SW_CONFLICT",IF(OR(F409="GOC",F409="OWC",F409="GWC"),"DIRECT_FLUID_TRANSITION","TRANSITION_INTERVAL")))</f>
        <v/>
      </c>
      <c r="Q409" s="19">
        <f>IF(G409="","",IF(N409="Conflicts","Investigate contact interpretation / saturation behaviour",IF(OR(F409="OWC",F409="GOC",F409="GWC"),"Candidate contact — validate with logs, pressure and dynamic evidence","Transition zone — do not force to a sharp contact")))</f>
        <v/>
      </c>
    </row>
    <row r="410">
      <c r="A410" s="19">
        <f>IF(AND(Master_Data!A410&lt;&gt;"",Master_Data!A410=Master_Data!A411),Master_Data!A410,"")</f>
        <v/>
      </c>
      <c r="B410" s="19">
        <f>IF($A410="","",Master_Data!B410)</f>
        <v/>
      </c>
      <c r="C410" s="19">
        <f>IF($A410="","",Master_Data!B411)</f>
        <v/>
      </c>
      <c r="D410" s="19">
        <f>IF($A410="","",Master_Data!Q410)</f>
        <v/>
      </c>
      <c r="E410" s="19">
        <f>IF($A410="","",Master_Data!Q411)</f>
        <v/>
      </c>
      <c r="F410" s="19">
        <f>IF($A410="","",IF(AND(D410="GAS",E410="OIL"),"GOC",IF(AND(D410="OIL",E410="WATER"),"OWC",IF(AND(D410="GAS",E410="WATER"),"GWC",IF(AND(D410="OIL",E410="OIL_WATER"),"OWC_TRANSITION",IF(AND(D410="OIL_WATER",E410="WATER"),"OWC_TRANSITION",IF(AND(D410="GAS",E410="GAS_WATER"),"GOC_TRANSITION",IF(AND(D410="GAS_WATER",E410="OIL"),"GOC_TRANSITION",IF(OR(D410="OIL_WATER",D410="GAS_WATER"),"TRANSITION_INTERVAL","")))))))))</f>
        <v/>
      </c>
      <c r="G410" s="20">
        <f>IF(OR(F410="",Master_Data!R410="",Master_Data!S410=""),"",IF(RIGHT(F410,10)="TRANSITION",AVERAGE(Master_Data!R410:Master_Data!S410),AVERAGE(Master_Data!S410,Master_Data!R411)))</f>
        <v/>
      </c>
      <c r="H410" s="20">
        <f>IF(G410="","",MAX(Settings!$B$4,Settings!$B$5*AVERAGE(IF(Master_Data!O410&lt;&gt;"",Master_Data!O410,Master_Data!H410),IF(Master_Data!O411&lt;&gt;"",Master_Data!O411,Master_Data!H411))))</f>
        <v/>
      </c>
      <c r="I410" s="20">
        <f>IF(G410="","",G410-H410)</f>
        <v/>
      </c>
      <c r="J410" s="20">
        <f>IF(G410="","",G410+H410)</f>
        <v/>
      </c>
      <c r="K410" s="20">
        <f>IF($A410="","",Master_Data!G410)</f>
        <v/>
      </c>
      <c r="L410" s="20">
        <f>IF($A410="","",Master_Data!G411)</f>
        <v/>
      </c>
      <c r="M410" s="20">
        <f>IF(AND(ISNUMBER(K410),ISNUMBER(L410)),L410-K410,"")</f>
        <v/>
      </c>
      <c r="N410" s="19">
        <f>IF(G410="","",IF(AND(ISNUMBER(K410),ISNUMBER(L410)),IF(OR(F410="GOC",F410="OWC",F410="GWC",F410="OWC_TRANSITION",F410="GOC_TRANSITION"),IF(L410&gt;=K410,"Supports","Conflicts"),"N/A"),"No Sw"))</f>
        <v/>
      </c>
      <c r="O410" s="20">
        <f>IF(G410="","",Settings!$B$6*IF(OR(F410="GOC",F410="OWC",F410="GWC"),1,0.7)+Settings!$B$7*IF(N410="Supports",1,IF(N410="Conflicts",0,0.5))+Settings!$B$8*IF(AND(Master_Data!R410&lt;&gt;"",Master_Data!S410&lt;&gt;"",Master_Data!R411&lt;&gt;"",Master_Data!S411&lt;&gt;""),1,0.5))</f>
        <v/>
      </c>
      <c r="P410" s="19">
        <f>IF(G410="","",IF(N410="Conflicts","SW_CONFLICT",IF(OR(F410="GOC",F410="OWC",F410="GWC"),"DIRECT_FLUID_TRANSITION","TRANSITION_INTERVAL")))</f>
        <v/>
      </c>
      <c r="Q410" s="19">
        <f>IF(G410="","",IF(N410="Conflicts","Investigate contact interpretation / saturation behaviour",IF(OR(F410="OWC",F410="GOC",F410="GWC"),"Candidate contact — validate with logs, pressure and dynamic evidence","Transition zone — do not force to a sharp contact")))</f>
        <v/>
      </c>
    </row>
    <row r="411">
      <c r="A411" s="19">
        <f>IF(AND(Master_Data!A411&lt;&gt;"",Master_Data!A411=Master_Data!A412),Master_Data!A411,"")</f>
        <v/>
      </c>
      <c r="B411" s="19">
        <f>IF($A411="","",Master_Data!B411)</f>
        <v/>
      </c>
      <c r="C411" s="19">
        <f>IF($A411="","",Master_Data!B412)</f>
        <v/>
      </c>
      <c r="D411" s="19">
        <f>IF($A411="","",Master_Data!Q411)</f>
        <v/>
      </c>
      <c r="E411" s="19">
        <f>IF($A411="","",Master_Data!Q412)</f>
        <v/>
      </c>
      <c r="F411" s="19">
        <f>IF($A411="","",IF(AND(D411="GAS",E411="OIL"),"GOC",IF(AND(D411="OIL",E411="WATER"),"OWC",IF(AND(D411="GAS",E411="WATER"),"GWC",IF(AND(D411="OIL",E411="OIL_WATER"),"OWC_TRANSITION",IF(AND(D411="OIL_WATER",E411="WATER"),"OWC_TRANSITION",IF(AND(D411="GAS",E411="GAS_WATER"),"GOC_TRANSITION",IF(AND(D411="GAS_WATER",E411="OIL"),"GOC_TRANSITION",IF(OR(D411="OIL_WATER",D411="GAS_WATER"),"TRANSITION_INTERVAL","")))))))))</f>
        <v/>
      </c>
      <c r="G411" s="20">
        <f>IF(OR(F411="",Master_Data!R411="",Master_Data!S411=""),"",IF(RIGHT(F411,10)="TRANSITION",AVERAGE(Master_Data!R411:Master_Data!S411),AVERAGE(Master_Data!S411,Master_Data!R412)))</f>
        <v/>
      </c>
      <c r="H411" s="20">
        <f>IF(G411="","",MAX(Settings!$B$4,Settings!$B$5*AVERAGE(IF(Master_Data!O411&lt;&gt;"",Master_Data!O411,Master_Data!H411),IF(Master_Data!O412&lt;&gt;"",Master_Data!O412,Master_Data!H412))))</f>
        <v/>
      </c>
      <c r="I411" s="20">
        <f>IF(G411="","",G411-H411)</f>
        <v/>
      </c>
      <c r="J411" s="20">
        <f>IF(G411="","",G411+H411)</f>
        <v/>
      </c>
      <c r="K411" s="20">
        <f>IF($A411="","",Master_Data!G411)</f>
        <v/>
      </c>
      <c r="L411" s="20">
        <f>IF($A411="","",Master_Data!G412)</f>
        <v/>
      </c>
      <c r="M411" s="20">
        <f>IF(AND(ISNUMBER(K411),ISNUMBER(L411)),L411-K411,"")</f>
        <v/>
      </c>
      <c r="N411" s="19">
        <f>IF(G411="","",IF(AND(ISNUMBER(K411),ISNUMBER(L411)),IF(OR(F411="GOC",F411="OWC",F411="GWC",F411="OWC_TRANSITION",F411="GOC_TRANSITION"),IF(L411&gt;=K411,"Supports","Conflicts"),"N/A"),"No Sw"))</f>
        <v/>
      </c>
      <c r="O411" s="20">
        <f>IF(G411="","",Settings!$B$6*IF(OR(F411="GOC",F411="OWC",F411="GWC"),1,0.7)+Settings!$B$7*IF(N411="Supports",1,IF(N411="Conflicts",0,0.5))+Settings!$B$8*IF(AND(Master_Data!R411&lt;&gt;"",Master_Data!S411&lt;&gt;"",Master_Data!R412&lt;&gt;"",Master_Data!S412&lt;&gt;""),1,0.5))</f>
        <v/>
      </c>
      <c r="P411" s="19">
        <f>IF(G411="","",IF(N411="Conflicts","SW_CONFLICT",IF(OR(F411="GOC",F411="OWC",F411="GWC"),"DIRECT_FLUID_TRANSITION","TRANSITION_INTERVAL")))</f>
        <v/>
      </c>
      <c r="Q411" s="19">
        <f>IF(G411="","",IF(N411="Conflicts","Investigate contact interpretation / saturation behaviour",IF(OR(F411="OWC",F411="GOC",F411="GWC"),"Candidate contact — validate with logs, pressure and dynamic evidence","Transition zone — do not force to a sharp contact")))</f>
        <v/>
      </c>
    </row>
    <row r="412">
      <c r="A412" s="19">
        <f>IF(AND(Master_Data!A412&lt;&gt;"",Master_Data!A412=Master_Data!A413),Master_Data!A412,"")</f>
        <v/>
      </c>
      <c r="B412" s="19">
        <f>IF($A412="","",Master_Data!B412)</f>
        <v/>
      </c>
      <c r="C412" s="19">
        <f>IF($A412="","",Master_Data!B413)</f>
        <v/>
      </c>
      <c r="D412" s="19">
        <f>IF($A412="","",Master_Data!Q412)</f>
        <v/>
      </c>
      <c r="E412" s="19">
        <f>IF($A412="","",Master_Data!Q413)</f>
        <v/>
      </c>
      <c r="F412" s="19">
        <f>IF($A412="","",IF(AND(D412="GAS",E412="OIL"),"GOC",IF(AND(D412="OIL",E412="WATER"),"OWC",IF(AND(D412="GAS",E412="WATER"),"GWC",IF(AND(D412="OIL",E412="OIL_WATER"),"OWC_TRANSITION",IF(AND(D412="OIL_WATER",E412="WATER"),"OWC_TRANSITION",IF(AND(D412="GAS",E412="GAS_WATER"),"GOC_TRANSITION",IF(AND(D412="GAS_WATER",E412="OIL"),"GOC_TRANSITION",IF(OR(D412="OIL_WATER",D412="GAS_WATER"),"TRANSITION_INTERVAL","")))))))))</f>
        <v/>
      </c>
      <c r="G412" s="20">
        <f>IF(OR(F412="",Master_Data!R412="",Master_Data!S412=""),"",IF(RIGHT(F412,10)="TRANSITION",AVERAGE(Master_Data!R412:Master_Data!S412),AVERAGE(Master_Data!S412,Master_Data!R413)))</f>
        <v/>
      </c>
      <c r="H412" s="20">
        <f>IF(G412="","",MAX(Settings!$B$4,Settings!$B$5*AVERAGE(IF(Master_Data!O412&lt;&gt;"",Master_Data!O412,Master_Data!H412),IF(Master_Data!O413&lt;&gt;"",Master_Data!O413,Master_Data!H413))))</f>
        <v/>
      </c>
      <c r="I412" s="20">
        <f>IF(G412="","",G412-H412)</f>
        <v/>
      </c>
      <c r="J412" s="20">
        <f>IF(G412="","",G412+H412)</f>
        <v/>
      </c>
      <c r="K412" s="20">
        <f>IF($A412="","",Master_Data!G412)</f>
        <v/>
      </c>
      <c r="L412" s="20">
        <f>IF($A412="","",Master_Data!G413)</f>
        <v/>
      </c>
      <c r="M412" s="20">
        <f>IF(AND(ISNUMBER(K412),ISNUMBER(L412)),L412-K412,"")</f>
        <v/>
      </c>
      <c r="N412" s="19">
        <f>IF(G412="","",IF(AND(ISNUMBER(K412),ISNUMBER(L412)),IF(OR(F412="GOC",F412="OWC",F412="GWC",F412="OWC_TRANSITION",F412="GOC_TRANSITION"),IF(L412&gt;=K412,"Supports","Conflicts"),"N/A"),"No Sw"))</f>
        <v/>
      </c>
      <c r="O412" s="20">
        <f>IF(G412="","",Settings!$B$6*IF(OR(F412="GOC",F412="OWC",F412="GWC"),1,0.7)+Settings!$B$7*IF(N412="Supports",1,IF(N412="Conflicts",0,0.5))+Settings!$B$8*IF(AND(Master_Data!R412&lt;&gt;"",Master_Data!S412&lt;&gt;"",Master_Data!R413&lt;&gt;"",Master_Data!S413&lt;&gt;""),1,0.5))</f>
        <v/>
      </c>
      <c r="P412" s="19">
        <f>IF(G412="","",IF(N412="Conflicts","SW_CONFLICT",IF(OR(F412="GOC",F412="OWC",F412="GWC"),"DIRECT_FLUID_TRANSITION","TRANSITION_INTERVAL")))</f>
        <v/>
      </c>
      <c r="Q412" s="19">
        <f>IF(G412="","",IF(N412="Conflicts","Investigate contact interpretation / saturation behaviour",IF(OR(F412="OWC",F412="GOC",F412="GWC"),"Candidate contact — validate with logs, pressure and dynamic evidence","Transition zone — do not force to a sharp contact")))</f>
        <v/>
      </c>
    </row>
    <row r="413">
      <c r="A413" s="19">
        <f>IF(AND(Master_Data!A413&lt;&gt;"",Master_Data!A413=Master_Data!A414),Master_Data!A413,"")</f>
        <v/>
      </c>
      <c r="B413" s="19">
        <f>IF($A413="","",Master_Data!B413)</f>
        <v/>
      </c>
      <c r="C413" s="19">
        <f>IF($A413="","",Master_Data!B414)</f>
        <v/>
      </c>
      <c r="D413" s="19">
        <f>IF($A413="","",Master_Data!Q413)</f>
        <v/>
      </c>
      <c r="E413" s="19">
        <f>IF($A413="","",Master_Data!Q414)</f>
        <v/>
      </c>
      <c r="F413" s="19">
        <f>IF($A413="","",IF(AND(D413="GAS",E413="OIL"),"GOC",IF(AND(D413="OIL",E413="WATER"),"OWC",IF(AND(D413="GAS",E413="WATER"),"GWC",IF(AND(D413="OIL",E413="OIL_WATER"),"OWC_TRANSITION",IF(AND(D413="OIL_WATER",E413="WATER"),"OWC_TRANSITION",IF(AND(D413="GAS",E413="GAS_WATER"),"GOC_TRANSITION",IF(AND(D413="GAS_WATER",E413="OIL"),"GOC_TRANSITION",IF(OR(D413="OIL_WATER",D413="GAS_WATER"),"TRANSITION_INTERVAL","")))))))))</f>
        <v/>
      </c>
      <c r="G413" s="20">
        <f>IF(OR(F413="",Master_Data!R413="",Master_Data!S413=""),"",IF(RIGHT(F413,10)="TRANSITION",AVERAGE(Master_Data!R413:Master_Data!S413),AVERAGE(Master_Data!S413,Master_Data!R414)))</f>
        <v/>
      </c>
      <c r="H413" s="20">
        <f>IF(G413="","",MAX(Settings!$B$4,Settings!$B$5*AVERAGE(IF(Master_Data!O413&lt;&gt;"",Master_Data!O413,Master_Data!H413),IF(Master_Data!O414&lt;&gt;"",Master_Data!O414,Master_Data!H414))))</f>
        <v/>
      </c>
      <c r="I413" s="20">
        <f>IF(G413="","",G413-H413)</f>
        <v/>
      </c>
      <c r="J413" s="20">
        <f>IF(G413="","",G413+H413)</f>
        <v/>
      </c>
      <c r="K413" s="20">
        <f>IF($A413="","",Master_Data!G413)</f>
        <v/>
      </c>
      <c r="L413" s="20">
        <f>IF($A413="","",Master_Data!G414)</f>
        <v/>
      </c>
      <c r="M413" s="20">
        <f>IF(AND(ISNUMBER(K413),ISNUMBER(L413)),L413-K413,"")</f>
        <v/>
      </c>
      <c r="N413" s="19">
        <f>IF(G413="","",IF(AND(ISNUMBER(K413),ISNUMBER(L413)),IF(OR(F413="GOC",F413="OWC",F413="GWC",F413="OWC_TRANSITION",F413="GOC_TRANSITION"),IF(L413&gt;=K413,"Supports","Conflicts"),"N/A"),"No Sw"))</f>
        <v/>
      </c>
      <c r="O413" s="20">
        <f>IF(G413="","",Settings!$B$6*IF(OR(F413="GOC",F413="OWC",F413="GWC"),1,0.7)+Settings!$B$7*IF(N413="Supports",1,IF(N413="Conflicts",0,0.5))+Settings!$B$8*IF(AND(Master_Data!R413&lt;&gt;"",Master_Data!S413&lt;&gt;"",Master_Data!R414&lt;&gt;"",Master_Data!S414&lt;&gt;""),1,0.5))</f>
        <v/>
      </c>
      <c r="P413" s="19">
        <f>IF(G413="","",IF(N413="Conflicts","SW_CONFLICT",IF(OR(F413="GOC",F413="OWC",F413="GWC"),"DIRECT_FLUID_TRANSITION","TRANSITION_INTERVAL")))</f>
        <v/>
      </c>
      <c r="Q413" s="19">
        <f>IF(G413="","",IF(N413="Conflicts","Investigate contact interpretation / saturation behaviour",IF(OR(F413="OWC",F413="GOC",F413="GWC"),"Candidate contact — validate with logs, pressure and dynamic evidence","Transition zone — do not force to a sharp contact")))</f>
        <v/>
      </c>
    </row>
    <row r="414">
      <c r="A414" s="19">
        <f>IF(AND(Master_Data!A414&lt;&gt;"",Master_Data!A414=Master_Data!A415),Master_Data!A414,"")</f>
        <v/>
      </c>
      <c r="B414" s="19">
        <f>IF($A414="","",Master_Data!B414)</f>
        <v/>
      </c>
      <c r="C414" s="19">
        <f>IF($A414="","",Master_Data!B415)</f>
        <v/>
      </c>
      <c r="D414" s="19">
        <f>IF($A414="","",Master_Data!Q414)</f>
        <v/>
      </c>
      <c r="E414" s="19">
        <f>IF($A414="","",Master_Data!Q415)</f>
        <v/>
      </c>
      <c r="F414" s="19">
        <f>IF($A414="","",IF(AND(D414="GAS",E414="OIL"),"GOC",IF(AND(D414="OIL",E414="WATER"),"OWC",IF(AND(D414="GAS",E414="WATER"),"GWC",IF(AND(D414="OIL",E414="OIL_WATER"),"OWC_TRANSITION",IF(AND(D414="OIL_WATER",E414="WATER"),"OWC_TRANSITION",IF(AND(D414="GAS",E414="GAS_WATER"),"GOC_TRANSITION",IF(AND(D414="GAS_WATER",E414="OIL"),"GOC_TRANSITION",IF(OR(D414="OIL_WATER",D414="GAS_WATER"),"TRANSITION_INTERVAL","")))))))))</f>
        <v/>
      </c>
      <c r="G414" s="20">
        <f>IF(OR(F414="",Master_Data!R414="",Master_Data!S414=""),"",IF(RIGHT(F414,10)="TRANSITION",AVERAGE(Master_Data!R414:Master_Data!S414),AVERAGE(Master_Data!S414,Master_Data!R415)))</f>
        <v/>
      </c>
      <c r="H414" s="20">
        <f>IF(G414="","",MAX(Settings!$B$4,Settings!$B$5*AVERAGE(IF(Master_Data!O414&lt;&gt;"",Master_Data!O414,Master_Data!H414),IF(Master_Data!O415&lt;&gt;"",Master_Data!O415,Master_Data!H415))))</f>
        <v/>
      </c>
      <c r="I414" s="20">
        <f>IF(G414="","",G414-H414)</f>
        <v/>
      </c>
      <c r="J414" s="20">
        <f>IF(G414="","",G414+H414)</f>
        <v/>
      </c>
      <c r="K414" s="20">
        <f>IF($A414="","",Master_Data!G414)</f>
        <v/>
      </c>
      <c r="L414" s="20">
        <f>IF($A414="","",Master_Data!G415)</f>
        <v/>
      </c>
      <c r="M414" s="20">
        <f>IF(AND(ISNUMBER(K414),ISNUMBER(L414)),L414-K414,"")</f>
        <v/>
      </c>
      <c r="N414" s="19">
        <f>IF(G414="","",IF(AND(ISNUMBER(K414),ISNUMBER(L414)),IF(OR(F414="GOC",F414="OWC",F414="GWC",F414="OWC_TRANSITION",F414="GOC_TRANSITION"),IF(L414&gt;=K414,"Supports","Conflicts"),"N/A"),"No Sw"))</f>
        <v/>
      </c>
      <c r="O414" s="20">
        <f>IF(G414="","",Settings!$B$6*IF(OR(F414="GOC",F414="OWC",F414="GWC"),1,0.7)+Settings!$B$7*IF(N414="Supports",1,IF(N414="Conflicts",0,0.5))+Settings!$B$8*IF(AND(Master_Data!R414&lt;&gt;"",Master_Data!S414&lt;&gt;"",Master_Data!R415&lt;&gt;"",Master_Data!S415&lt;&gt;""),1,0.5))</f>
        <v/>
      </c>
      <c r="P414" s="19">
        <f>IF(G414="","",IF(N414="Conflicts","SW_CONFLICT",IF(OR(F414="GOC",F414="OWC",F414="GWC"),"DIRECT_FLUID_TRANSITION","TRANSITION_INTERVAL")))</f>
        <v/>
      </c>
      <c r="Q414" s="19">
        <f>IF(G414="","",IF(N414="Conflicts","Investigate contact interpretation / saturation behaviour",IF(OR(F414="OWC",F414="GOC",F414="GWC"),"Candidate contact — validate with logs, pressure and dynamic evidence","Transition zone — do not force to a sharp contact")))</f>
        <v/>
      </c>
    </row>
    <row r="415">
      <c r="A415" s="19">
        <f>IF(AND(Master_Data!A415&lt;&gt;"",Master_Data!A415=Master_Data!A416),Master_Data!A415,"")</f>
        <v/>
      </c>
      <c r="B415" s="19">
        <f>IF($A415="","",Master_Data!B415)</f>
        <v/>
      </c>
      <c r="C415" s="19">
        <f>IF($A415="","",Master_Data!B416)</f>
        <v/>
      </c>
      <c r="D415" s="19">
        <f>IF($A415="","",Master_Data!Q415)</f>
        <v/>
      </c>
      <c r="E415" s="19">
        <f>IF($A415="","",Master_Data!Q416)</f>
        <v/>
      </c>
      <c r="F415" s="19">
        <f>IF($A415="","",IF(AND(D415="GAS",E415="OIL"),"GOC",IF(AND(D415="OIL",E415="WATER"),"OWC",IF(AND(D415="GAS",E415="WATER"),"GWC",IF(AND(D415="OIL",E415="OIL_WATER"),"OWC_TRANSITION",IF(AND(D415="OIL_WATER",E415="WATER"),"OWC_TRANSITION",IF(AND(D415="GAS",E415="GAS_WATER"),"GOC_TRANSITION",IF(AND(D415="GAS_WATER",E415="OIL"),"GOC_TRANSITION",IF(OR(D415="OIL_WATER",D415="GAS_WATER"),"TRANSITION_INTERVAL","")))))))))</f>
        <v/>
      </c>
      <c r="G415" s="20">
        <f>IF(OR(F415="",Master_Data!R415="",Master_Data!S415=""),"",IF(RIGHT(F415,10)="TRANSITION",AVERAGE(Master_Data!R415:Master_Data!S415),AVERAGE(Master_Data!S415,Master_Data!R416)))</f>
        <v/>
      </c>
      <c r="H415" s="20">
        <f>IF(G415="","",MAX(Settings!$B$4,Settings!$B$5*AVERAGE(IF(Master_Data!O415&lt;&gt;"",Master_Data!O415,Master_Data!H415),IF(Master_Data!O416&lt;&gt;"",Master_Data!O416,Master_Data!H416))))</f>
        <v/>
      </c>
      <c r="I415" s="20">
        <f>IF(G415="","",G415-H415)</f>
        <v/>
      </c>
      <c r="J415" s="20">
        <f>IF(G415="","",G415+H415)</f>
        <v/>
      </c>
      <c r="K415" s="20">
        <f>IF($A415="","",Master_Data!G415)</f>
        <v/>
      </c>
      <c r="L415" s="20">
        <f>IF($A415="","",Master_Data!G416)</f>
        <v/>
      </c>
      <c r="M415" s="20">
        <f>IF(AND(ISNUMBER(K415),ISNUMBER(L415)),L415-K415,"")</f>
        <v/>
      </c>
      <c r="N415" s="19">
        <f>IF(G415="","",IF(AND(ISNUMBER(K415),ISNUMBER(L415)),IF(OR(F415="GOC",F415="OWC",F415="GWC",F415="OWC_TRANSITION",F415="GOC_TRANSITION"),IF(L415&gt;=K415,"Supports","Conflicts"),"N/A"),"No Sw"))</f>
        <v/>
      </c>
      <c r="O415" s="20">
        <f>IF(G415="","",Settings!$B$6*IF(OR(F415="GOC",F415="OWC",F415="GWC"),1,0.7)+Settings!$B$7*IF(N415="Supports",1,IF(N415="Conflicts",0,0.5))+Settings!$B$8*IF(AND(Master_Data!R415&lt;&gt;"",Master_Data!S415&lt;&gt;"",Master_Data!R416&lt;&gt;"",Master_Data!S416&lt;&gt;""),1,0.5))</f>
        <v/>
      </c>
      <c r="P415" s="19">
        <f>IF(G415="","",IF(N415="Conflicts","SW_CONFLICT",IF(OR(F415="GOC",F415="OWC",F415="GWC"),"DIRECT_FLUID_TRANSITION","TRANSITION_INTERVAL")))</f>
        <v/>
      </c>
      <c r="Q415" s="19">
        <f>IF(G415="","",IF(N415="Conflicts","Investigate contact interpretation / saturation behaviour",IF(OR(F415="OWC",F415="GOC",F415="GWC"),"Candidate contact — validate with logs, pressure and dynamic evidence","Transition zone — do not force to a sharp contact")))</f>
        <v/>
      </c>
    </row>
    <row r="416">
      <c r="A416" s="19">
        <f>IF(AND(Master_Data!A416&lt;&gt;"",Master_Data!A416=Master_Data!A417),Master_Data!A416,"")</f>
        <v/>
      </c>
      <c r="B416" s="19">
        <f>IF($A416="","",Master_Data!B416)</f>
        <v/>
      </c>
      <c r="C416" s="19">
        <f>IF($A416="","",Master_Data!B417)</f>
        <v/>
      </c>
      <c r="D416" s="19">
        <f>IF($A416="","",Master_Data!Q416)</f>
        <v/>
      </c>
      <c r="E416" s="19">
        <f>IF($A416="","",Master_Data!Q417)</f>
        <v/>
      </c>
      <c r="F416" s="19">
        <f>IF($A416="","",IF(AND(D416="GAS",E416="OIL"),"GOC",IF(AND(D416="OIL",E416="WATER"),"OWC",IF(AND(D416="GAS",E416="WATER"),"GWC",IF(AND(D416="OIL",E416="OIL_WATER"),"OWC_TRANSITION",IF(AND(D416="OIL_WATER",E416="WATER"),"OWC_TRANSITION",IF(AND(D416="GAS",E416="GAS_WATER"),"GOC_TRANSITION",IF(AND(D416="GAS_WATER",E416="OIL"),"GOC_TRANSITION",IF(OR(D416="OIL_WATER",D416="GAS_WATER"),"TRANSITION_INTERVAL","")))))))))</f>
        <v/>
      </c>
      <c r="G416" s="20">
        <f>IF(OR(F416="",Master_Data!R416="",Master_Data!S416=""),"",IF(RIGHT(F416,10)="TRANSITION",AVERAGE(Master_Data!R416:Master_Data!S416),AVERAGE(Master_Data!S416,Master_Data!R417)))</f>
        <v/>
      </c>
      <c r="H416" s="20">
        <f>IF(G416="","",MAX(Settings!$B$4,Settings!$B$5*AVERAGE(IF(Master_Data!O416&lt;&gt;"",Master_Data!O416,Master_Data!H416),IF(Master_Data!O417&lt;&gt;"",Master_Data!O417,Master_Data!H417))))</f>
        <v/>
      </c>
      <c r="I416" s="20">
        <f>IF(G416="","",G416-H416)</f>
        <v/>
      </c>
      <c r="J416" s="20">
        <f>IF(G416="","",G416+H416)</f>
        <v/>
      </c>
      <c r="K416" s="20">
        <f>IF($A416="","",Master_Data!G416)</f>
        <v/>
      </c>
      <c r="L416" s="20">
        <f>IF($A416="","",Master_Data!G417)</f>
        <v/>
      </c>
      <c r="M416" s="20">
        <f>IF(AND(ISNUMBER(K416),ISNUMBER(L416)),L416-K416,"")</f>
        <v/>
      </c>
      <c r="N416" s="19">
        <f>IF(G416="","",IF(AND(ISNUMBER(K416),ISNUMBER(L416)),IF(OR(F416="GOC",F416="OWC",F416="GWC",F416="OWC_TRANSITION",F416="GOC_TRANSITION"),IF(L416&gt;=K416,"Supports","Conflicts"),"N/A"),"No Sw"))</f>
        <v/>
      </c>
      <c r="O416" s="20">
        <f>IF(G416="","",Settings!$B$6*IF(OR(F416="GOC",F416="OWC",F416="GWC"),1,0.7)+Settings!$B$7*IF(N416="Supports",1,IF(N416="Conflicts",0,0.5))+Settings!$B$8*IF(AND(Master_Data!R416&lt;&gt;"",Master_Data!S416&lt;&gt;"",Master_Data!R417&lt;&gt;"",Master_Data!S417&lt;&gt;""),1,0.5))</f>
        <v/>
      </c>
      <c r="P416" s="19">
        <f>IF(G416="","",IF(N416="Conflicts","SW_CONFLICT",IF(OR(F416="GOC",F416="OWC",F416="GWC"),"DIRECT_FLUID_TRANSITION","TRANSITION_INTERVAL")))</f>
        <v/>
      </c>
      <c r="Q416" s="19">
        <f>IF(G416="","",IF(N416="Conflicts","Investigate contact interpretation / saturation behaviour",IF(OR(F416="OWC",F416="GOC",F416="GWC"),"Candidate contact — validate with logs, pressure and dynamic evidence","Transition zone — do not force to a sharp contact")))</f>
        <v/>
      </c>
    </row>
    <row r="417">
      <c r="A417" s="19">
        <f>IF(AND(Master_Data!A417&lt;&gt;"",Master_Data!A417=Master_Data!A418),Master_Data!A417,"")</f>
        <v/>
      </c>
      <c r="B417" s="19">
        <f>IF($A417="","",Master_Data!B417)</f>
        <v/>
      </c>
      <c r="C417" s="19">
        <f>IF($A417="","",Master_Data!B418)</f>
        <v/>
      </c>
      <c r="D417" s="19">
        <f>IF($A417="","",Master_Data!Q417)</f>
        <v/>
      </c>
      <c r="E417" s="19">
        <f>IF($A417="","",Master_Data!Q418)</f>
        <v/>
      </c>
      <c r="F417" s="19">
        <f>IF($A417="","",IF(AND(D417="GAS",E417="OIL"),"GOC",IF(AND(D417="OIL",E417="WATER"),"OWC",IF(AND(D417="GAS",E417="WATER"),"GWC",IF(AND(D417="OIL",E417="OIL_WATER"),"OWC_TRANSITION",IF(AND(D417="OIL_WATER",E417="WATER"),"OWC_TRANSITION",IF(AND(D417="GAS",E417="GAS_WATER"),"GOC_TRANSITION",IF(AND(D417="GAS_WATER",E417="OIL"),"GOC_TRANSITION",IF(OR(D417="OIL_WATER",D417="GAS_WATER"),"TRANSITION_INTERVAL","")))))))))</f>
        <v/>
      </c>
      <c r="G417" s="20">
        <f>IF(OR(F417="",Master_Data!R417="",Master_Data!S417=""),"",IF(RIGHT(F417,10)="TRANSITION",AVERAGE(Master_Data!R417:Master_Data!S417),AVERAGE(Master_Data!S417,Master_Data!R418)))</f>
        <v/>
      </c>
      <c r="H417" s="20">
        <f>IF(G417="","",MAX(Settings!$B$4,Settings!$B$5*AVERAGE(IF(Master_Data!O417&lt;&gt;"",Master_Data!O417,Master_Data!H417),IF(Master_Data!O418&lt;&gt;"",Master_Data!O418,Master_Data!H418))))</f>
        <v/>
      </c>
      <c r="I417" s="20">
        <f>IF(G417="","",G417-H417)</f>
        <v/>
      </c>
      <c r="J417" s="20">
        <f>IF(G417="","",G417+H417)</f>
        <v/>
      </c>
      <c r="K417" s="20">
        <f>IF($A417="","",Master_Data!G417)</f>
        <v/>
      </c>
      <c r="L417" s="20">
        <f>IF($A417="","",Master_Data!G418)</f>
        <v/>
      </c>
      <c r="M417" s="20">
        <f>IF(AND(ISNUMBER(K417),ISNUMBER(L417)),L417-K417,"")</f>
        <v/>
      </c>
      <c r="N417" s="19">
        <f>IF(G417="","",IF(AND(ISNUMBER(K417),ISNUMBER(L417)),IF(OR(F417="GOC",F417="OWC",F417="GWC",F417="OWC_TRANSITION",F417="GOC_TRANSITION"),IF(L417&gt;=K417,"Supports","Conflicts"),"N/A"),"No Sw"))</f>
        <v/>
      </c>
      <c r="O417" s="20">
        <f>IF(G417="","",Settings!$B$6*IF(OR(F417="GOC",F417="OWC",F417="GWC"),1,0.7)+Settings!$B$7*IF(N417="Supports",1,IF(N417="Conflicts",0,0.5))+Settings!$B$8*IF(AND(Master_Data!R417&lt;&gt;"",Master_Data!S417&lt;&gt;"",Master_Data!R418&lt;&gt;"",Master_Data!S418&lt;&gt;""),1,0.5))</f>
        <v/>
      </c>
      <c r="P417" s="19">
        <f>IF(G417="","",IF(N417="Conflicts","SW_CONFLICT",IF(OR(F417="GOC",F417="OWC",F417="GWC"),"DIRECT_FLUID_TRANSITION","TRANSITION_INTERVAL")))</f>
        <v/>
      </c>
      <c r="Q417" s="19">
        <f>IF(G417="","",IF(N417="Conflicts","Investigate contact interpretation / saturation behaviour",IF(OR(F417="OWC",F417="GOC",F417="GWC"),"Candidate contact — validate with logs, pressure and dynamic evidence","Transition zone — do not force to a sharp contact")))</f>
        <v/>
      </c>
    </row>
    <row r="418">
      <c r="A418" s="19">
        <f>IF(AND(Master_Data!A418&lt;&gt;"",Master_Data!A418=Master_Data!A419),Master_Data!A418,"")</f>
        <v/>
      </c>
      <c r="B418" s="19">
        <f>IF($A418="","",Master_Data!B418)</f>
        <v/>
      </c>
      <c r="C418" s="19">
        <f>IF($A418="","",Master_Data!B419)</f>
        <v/>
      </c>
      <c r="D418" s="19">
        <f>IF($A418="","",Master_Data!Q418)</f>
        <v/>
      </c>
      <c r="E418" s="19">
        <f>IF($A418="","",Master_Data!Q419)</f>
        <v/>
      </c>
      <c r="F418" s="19">
        <f>IF($A418="","",IF(AND(D418="GAS",E418="OIL"),"GOC",IF(AND(D418="OIL",E418="WATER"),"OWC",IF(AND(D418="GAS",E418="WATER"),"GWC",IF(AND(D418="OIL",E418="OIL_WATER"),"OWC_TRANSITION",IF(AND(D418="OIL_WATER",E418="WATER"),"OWC_TRANSITION",IF(AND(D418="GAS",E418="GAS_WATER"),"GOC_TRANSITION",IF(AND(D418="GAS_WATER",E418="OIL"),"GOC_TRANSITION",IF(OR(D418="OIL_WATER",D418="GAS_WATER"),"TRANSITION_INTERVAL","")))))))))</f>
        <v/>
      </c>
      <c r="G418" s="20">
        <f>IF(OR(F418="",Master_Data!R418="",Master_Data!S418=""),"",IF(RIGHT(F418,10)="TRANSITION",AVERAGE(Master_Data!R418:Master_Data!S418),AVERAGE(Master_Data!S418,Master_Data!R419)))</f>
        <v/>
      </c>
      <c r="H418" s="20">
        <f>IF(G418="","",MAX(Settings!$B$4,Settings!$B$5*AVERAGE(IF(Master_Data!O418&lt;&gt;"",Master_Data!O418,Master_Data!H418),IF(Master_Data!O419&lt;&gt;"",Master_Data!O419,Master_Data!H419))))</f>
        <v/>
      </c>
      <c r="I418" s="20">
        <f>IF(G418="","",G418-H418)</f>
        <v/>
      </c>
      <c r="J418" s="20">
        <f>IF(G418="","",G418+H418)</f>
        <v/>
      </c>
      <c r="K418" s="20">
        <f>IF($A418="","",Master_Data!G418)</f>
        <v/>
      </c>
      <c r="L418" s="20">
        <f>IF($A418="","",Master_Data!G419)</f>
        <v/>
      </c>
      <c r="M418" s="20">
        <f>IF(AND(ISNUMBER(K418),ISNUMBER(L418)),L418-K418,"")</f>
        <v/>
      </c>
      <c r="N418" s="19">
        <f>IF(G418="","",IF(AND(ISNUMBER(K418),ISNUMBER(L418)),IF(OR(F418="GOC",F418="OWC",F418="GWC",F418="OWC_TRANSITION",F418="GOC_TRANSITION"),IF(L418&gt;=K418,"Supports","Conflicts"),"N/A"),"No Sw"))</f>
        <v/>
      </c>
      <c r="O418" s="20">
        <f>IF(G418="","",Settings!$B$6*IF(OR(F418="GOC",F418="OWC",F418="GWC"),1,0.7)+Settings!$B$7*IF(N418="Supports",1,IF(N418="Conflicts",0,0.5))+Settings!$B$8*IF(AND(Master_Data!R418&lt;&gt;"",Master_Data!S418&lt;&gt;"",Master_Data!R419&lt;&gt;"",Master_Data!S419&lt;&gt;""),1,0.5))</f>
        <v/>
      </c>
      <c r="P418" s="19">
        <f>IF(G418="","",IF(N418="Conflicts","SW_CONFLICT",IF(OR(F418="GOC",F418="OWC",F418="GWC"),"DIRECT_FLUID_TRANSITION","TRANSITION_INTERVAL")))</f>
        <v/>
      </c>
      <c r="Q418" s="19">
        <f>IF(G418="","",IF(N418="Conflicts","Investigate contact interpretation / saturation behaviour",IF(OR(F418="OWC",F418="GOC",F418="GWC"),"Candidate contact — validate with logs, pressure and dynamic evidence","Transition zone — do not force to a sharp contact")))</f>
        <v/>
      </c>
    </row>
    <row r="419">
      <c r="A419" s="19">
        <f>IF(AND(Master_Data!A419&lt;&gt;"",Master_Data!A419=Master_Data!A420),Master_Data!A419,"")</f>
        <v/>
      </c>
      <c r="B419" s="19">
        <f>IF($A419="","",Master_Data!B419)</f>
        <v/>
      </c>
      <c r="C419" s="19">
        <f>IF($A419="","",Master_Data!B420)</f>
        <v/>
      </c>
      <c r="D419" s="19">
        <f>IF($A419="","",Master_Data!Q419)</f>
        <v/>
      </c>
      <c r="E419" s="19">
        <f>IF($A419="","",Master_Data!Q420)</f>
        <v/>
      </c>
      <c r="F419" s="19">
        <f>IF($A419="","",IF(AND(D419="GAS",E419="OIL"),"GOC",IF(AND(D419="OIL",E419="WATER"),"OWC",IF(AND(D419="GAS",E419="WATER"),"GWC",IF(AND(D419="OIL",E419="OIL_WATER"),"OWC_TRANSITION",IF(AND(D419="OIL_WATER",E419="WATER"),"OWC_TRANSITION",IF(AND(D419="GAS",E419="GAS_WATER"),"GOC_TRANSITION",IF(AND(D419="GAS_WATER",E419="OIL"),"GOC_TRANSITION",IF(OR(D419="OIL_WATER",D419="GAS_WATER"),"TRANSITION_INTERVAL","")))))))))</f>
        <v/>
      </c>
      <c r="G419" s="20">
        <f>IF(OR(F419="",Master_Data!R419="",Master_Data!S419=""),"",IF(RIGHT(F419,10)="TRANSITION",AVERAGE(Master_Data!R419:Master_Data!S419),AVERAGE(Master_Data!S419,Master_Data!R420)))</f>
        <v/>
      </c>
      <c r="H419" s="20">
        <f>IF(G419="","",MAX(Settings!$B$4,Settings!$B$5*AVERAGE(IF(Master_Data!O419&lt;&gt;"",Master_Data!O419,Master_Data!H419),IF(Master_Data!O420&lt;&gt;"",Master_Data!O420,Master_Data!H420))))</f>
        <v/>
      </c>
      <c r="I419" s="20">
        <f>IF(G419="","",G419-H419)</f>
        <v/>
      </c>
      <c r="J419" s="20">
        <f>IF(G419="","",G419+H419)</f>
        <v/>
      </c>
      <c r="K419" s="20">
        <f>IF($A419="","",Master_Data!G419)</f>
        <v/>
      </c>
      <c r="L419" s="20">
        <f>IF($A419="","",Master_Data!G420)</f>
        <v/>
      </c>
      <c r="M419" s="20">
        <f>IF(AND(ISNUMBER(K419),ISNUMBER(L419)),L419-K419,"")</f>
        <v/>
      </c>
      <c r="N419" s="19">
        <f>IF(G419="","",IF(AND(ISNUMBER(K419),ISNUMBER(L419)),IF(OR(F419="GOC",F419="OWC",F419="GWC",F419="OWC_TRANSITION",F419="GOC_TRANSITION"),IF(L419&gt;=K419,"Supports","Conflicts"),"N/A"),"No Sw"))</f>
        <v/>
      </c>
      <c r="O419" s="20">
        <f>IF(G419="","",Settings!$B$6*IF(OR(F419="GOC",F419="OWC",F419="GWC"),1,0.7)+Settings!$B$7*IF(N419="Supports",1,IF(N419="Conflicts",0,0.5))+Settings!$B$8*IF(AND(Master_Data!R419&lt;&gt;"",Master_Data!S419&lt;&gt;"",Master_Data!R420&lt;&gt;"",Master_Data!S420&lt;&gt;""),1,0.5))</f>
        <v/>
      </c>
      <c r="P419" s="19">
        <f>IF(G419="","",IF(N419="Conflicts","SW_CONFLICT",IF(OR(F419="GOC",F419="OWC",F419="GWC"),"DIRECT_FLUID_TRANSITION","TRANSITION_INTERVAL")))</f>
        <v/>
      </c>
      <c r="Q419" s="19">
        <f>IF(G419="","",IF(N419="Conflicts","Investigate contact interpretation / saturation behaviour",IF(OR(F419="OWC",F419="GOC",F419="GWC"),"Candidate contact — validate with logs, pressure and dynamic evidence","Transition zone — do not force to a sharp contact")))</f>
        <v/>
      </c>
    </row>
    <row r="420">
      <c r="A420" s="19">
        <f>IF(AND(Master_Data!A420&lt;&gt;"",Master_Data!A420=Master_Data!A421),Master_Data!A420,"")</f>
        <v/>
      </c>
      <c r="B420" s="19">
        <f>IF($A420="","",Master_Data!B420)</f>
        <v/>
      </c>
      <c r="C420" s="19">
        <f>IF($A420="","",Master_Data!B421)</f>
        <v/>
      </c>
      <c r="D420" s="19">
        <f>IF($A420="","",Master_Data!Q420)</f>
        <v/>
      </c>
      <c r="E420" s="19">
        <f>IF($A420="","",Master_Data!Q421)</f>
        <v/>
      </c>
      <c r="F420" s="19">
        <f>IF($A420="","",IF(AND(D420="GAS",E420="OIL"),"GOC",IF(AND(D420="OIL",E420="WATER"),"OWC",IF(AND(D420="GAS",E420="WATER"),"GWC",IF(AND(D420="OIL",E420="OIL_WATER"),"OWC_TRANSITION",IF(AND(D420="OIL_WATER",E420="WATER"),"OWC_TRANSITION",IF(AND(D420="GAS",E420="GAS_WATER"),"GOC_TRANSITION",IF(AND(D420="GAS_WATER",E420="OIL"),"GOC_TRANSITION",IF(OR(D420="OIL_WATER",D420="GAS_WATER"),"TRANSITION_INTERVAL","")))))))))</f>
        <v/>
      </c>
      <c r="G420" s="20">
        <f>IF(OR(F420="",Master_Data!R420="",Master_Data!S420=""),"",IF(RIGHT(F420,10)="TRANSITION",AVERAGE(Master_Data!R420:Master_Data!S420),AVERAGE(Master_Data!S420,Master_Data!R421)))</f>
        <v/>
      </c>
      <c r="H420" s="20">
        <f>IF(G420="","",MAX(Settings!$B$4,Settings!$B$5*AVERAGE(IF(Master_Data!O420&lt;&gt;"",Master_Data!O420,Master_Data!H420),IF(Master_Data!O421&lt;&gt;"",Master_Data!O421,Master_Data!H421))))</f>
        <v/>
      </c>
      <c r="I420" s="20">
        <f>IF(G420="","",G420-H420)</f>
        <v/>
      </c>
      <c r="J420" s="20">
        <f>IF(G420="","",G420+H420)</f>
        <v/>
      </c>
      <c r="K420" s="20">
        <f>IF($A420="","",Master_Data!G420)</f>
        <v/>
      </c>
      <c r="L420" s="20">
        <f>IF($A420="","",Master_Data!G421)</f>
        <v/>
      </c>
      <c r="M420" s="20">
        <f>IF(AND(ISNUMBER(K420),ISNUMBER(L420)),L420-K420,"")</f>
        <v/>
      </c>
      <c r="N420" s="19">
        <f>IF(G420="","",IF(AND(ISNUMBER(K420),ISNUMBER(L420)),IF(OR(F420="GOC",F420="OWC",F420="GWC",F420="OWC_TRANSITION",F420="GOC_TRANSITION"),IF(L420&gt;=K420,"Supports","Conflicts"),"N/A"),"No Sw"))</f>
        <v/>
      </c>
      <c r="O420" s="20">
        <f>IF(G420="","",Settings!$B$6*IF(OR(F420="GOC",F420="OWC",F420="GWC"),1,0.7)+Settings!$B$7*IF(N420="Supports",1,IF(N420="Conflicts",0,0.5))+Settings!$B$8*IF(AND(Master_Data!R420&lt;&gt;"",Master_Data!S420&lt;&gt;"",Master_Data!R421&lt;&gt;"",Master_Data!S421&lt;&gt;""),1,0.5))</f>
        <v/>
      </c>
      <c r="P420" s="19">
        <f>IF(G420="","",IF(N420="Conflicts","SW_CONFLICT",IF(OR(F420="GOC",F420="OWC",F420="GWC"),"DIRECT_FLUID_TRANSITION","TRANSITION_INTERVAL")))</f>
        <v/>
      </c>
      <c r="Q420" s="19">
        <f>IF(G420="","",IF(N420="Conflicts","Investigate contact interpretation / saturation behaviour",IF(OR(F420="OWC",F420="GOC",F420="GWC"),"Candidate contact — validate with logs, pressure and dynamic evidence","Transition zone — do not force to a sharp contact")))</f>
        <v/>
      </c>
    </row>
    <row r="421">
      <c r="A421" s="19">
        <f>IF(AND(Master_Data!A421&lt;&gt;"",Master_Data!A421=Master_Data!A422),Master_Data!A421,"")</f>
        <v/>
      </c>
      <c r="B421" s="19">
        <f>IF($A421="","",Master_Data!B421)</f>
        <v/>
      </c>
      <c r="C421" s="19">
        <f>IF($A421="","",Master_Data!B422)</f>
        <v/>
      </c>
      <c r="D421" s="19">
        <f>IF($A421="","",Master_Data!Q421)</f>
        <v/>
      </c>
      <c r="E421" s="19">
        <f>IF($A421="","",Master_Data!Q422)</f>
        <v/>
      </c>
      <c r="F421" s="19">
        <f>IF($A421="","",IF(AND(D421="GAS",E421="OIL"),"GOC",IF(AND(D421="OIL",E421="WATER"),"OWC",IF(AND(D421="GAS",E421="WATER"),"GWC",IF(AND(D421="OIL",E421="OIL_WATER"),"OWC_TRANSITION",IF(AND(D421="OIL_WATER",E421="WATER"),"OWC_TRANSITION",IF(AND(D421="GAS",E421="GAS_WATER"),"GOC_TRANSITION",IF(AND(D421="GAS_WATER",E421="OIL"),"GOC_TRANSITION",IF(OR(D421="OIL_WATER",D421="GAS_WATER"),"TRANSITION_INTERVAL","")))))))))</f>
        <v/>
      </c>
      <c r="G421" s="20">
        <f>IF(OR(F421="",Master_Data!R421="",Master_Data!S421=""),"",IF(RIGHT(F421,10)="TRANSITION",AVERAGE(Master_Data!R421:Master_Data!S421),AVERAGE(Master_Data!S421,Master_Data!R422)))</f>
        <v/>
      </c>
      <c r="H421" s="20">
        <f>IF(G421="","",MAX(Settings!$B$4,Settings!$B$5*AVERAGE(IF(Master_Data!O421&lt;&gt;"",Master_Data!O421,Master_Data!H421),IF(Master_Data!O422&lt;&gt;"",Master_Data!O422,Master_Data!H422))))</f>
        <v/>
      </c>
      <c r="I421" s="20">
        <f>IF(G421="","",G421-H421)</f>
        <v/>
      </c>
      <c r="J421" s="20">
        <f>IF(G421="","",G421+H421)</f>
        <v/>
      </c>
      <c r="K421" s="20">
        <f>IF($A421="","",Master_Data!G421)</f>
        <v/>
      </c>
      <c r="L421" s="20">
        <f>IF($A421="","",Master_Data!G422)</f>
        <v/>
      </c>
      <c r="M421" s="20">
        <f>IF(AND(ISNUMBER(K421),ISNUMBER(L421)),L421-K421,"")</f>
        <v/>
      </c>
      <c r="N421" s="19">
        <f>IF(G421="","",IF(AND(ISNUMBER(K421),ISNUMBER(L421)),IF(OR(F421="GOC",F421="OWC",F421="GWC",F421="OWC_TRANSITION",F421="GOC_TRANSITION"),IF(L421&gt;=K421,"Supports","Conflicts"),"N/A"),"No Sw"))</f>
        <v/>
      </c>
      <c r="O421" s="20">
        <f>IF(G421="","",Settings!$B$6*IF(OR(F421="GOC",F421="OWC",F421="GWC"),1,0.7)+Settings!$B$7*IF(N421="Supports",1,IF(N421="Conflicts",0,0.5))+Settings!$B$8*IF(AND(Master_Data!R421&lt;&gt;"",Master_Data!S421&lt;&gt;"",Master_Data!R422&lt;&gt;"",Master_Data!S422&lt;&gt;""),1,0.5))</f>
        <v/>
      </c>
      <c r="P421" s="19">
        <f>IF(G421="","",IF(N421="Conflicts","SW_CONFLICT",IF(OR(F421="GOC",F421="OWC",F421="GWC"),"DIRECT_FLUID_TRANSITION","TRANSITION_INTERVAL")))</f>
        <v/>
      </c>
      <c r="Q421" s="19">
        <f>IF(G421="","",IF(N421="Conflicts","Investigate contact interpretation / saturation behaviour",IF(OR(F421="OWC",F421="GOC",F421="GWC"),"Candidate contact — validate with logs, pressure and dynamic evidence","Transition zone — do not force to a sharp contact")))</f>
        <v/>
      </c>
    </row>
    <row r="422">
      <c r="A422" s="19">
        <f>IF(AND(Master_Data!A422&lt;&gt;"",Master_Data!A422=Master_Data!A423),Master_Data!A422,"")</f>
        <v/>
      </c>
      <c r="B422" s="19">
        <f>IF($A422="","",Master_Data!B422)</f>
        <v/>
      </c>
      <c r="C422" s="19">
        <f>IF($A422="","",Master_Data!B423)</f>
        <v/>
      </c>
      <c r="D422" s="19">
        <f>IF($A422="","",Master_Data!Q422)</f>
        <v/>
      </c>
      <c r="E422" s="19">
        <f>IF($A422="","",Master_Data!Q423)</f>
        <v/>
      </c>
      <c r="F422" s="19">
        <f>IF($A422="","",IF(AND(D422="GAS",E422="OIL"),"GOC",IF(AND(D422="OIL",E422="WATER"),"OWC",IF(AND(D422="GAS",E422="WATER"),"GWC",IF(AND(D422="OIL",E422="OIL_WATER"),"OWC_TRANSITION",IF(AND(D422="OIL_WATER",E422="WATER"),"OWC_TRANSITION",IF(AND(D422="GAS",E422="GAS_WATER"),"GOC_TRANSITION",IF(AND(D422="GAS_WATER",E422="OIL"),"GOC_TRANSITION",IF(OR(D422="OIL_WATER",D422="GAS_WATER"),"TRANSITION_INTERVAL","")))))))))</f>
        <v/>
      </c>
      <c r="G422" s="20">
        <f>IF(OR(F422="",Master_Data!R422="",Master_Data!S422=""),"",IF(RIGHT(F422,10)="TRANSITION",AVERAGE(Master_Data!R422:Master_Data!S422),AVERAGE(Master_Data!S422,Master_Data!R423)))</f>
        <v/>
      </c>
      <c r="H422" s="20">
        <f>IF(G422="","",MAX(Settings!$B$4,Settings!$B$5*AVERAGE(IF(Master_Data!O422&lt;&gt;"",Master_Data!O422,Master_Data!H422),IF(Master_Data!O423&lt;&gt;"",Master_Data!O423,Master_Data!H423))))</f>
        <v/>
      </c>
      <c r="I422" s="20">
        <f>IF(G422="","",G422-H422)</f>
        <v/>
      </c>
      <c r="J422" s="20">
        <f>IF(G422="","",G422+H422)</f>
        <v/>
      </c>
      <c r="K422" s="20">
        <f>IF($A422="","",Master_Data!G422)</f>
        <v/>
      </c>
      <c r="L422" s="20">
        <f>IF($A422="","",Master_Data!G423)</f>
        <v/>
      </c>
      <c r="M422" s="20">
        <f>IF(AND(ISNUMBER(K422),ISNUMBER(L422)),L422-K422,"")</f>
        <v/>
      </c>
      <c r="N422" s="19">
        <f>IF(G422="","",IF(AND(ISNUMBER(K422),ISNUMBER(L422)),IF(OR(F422="GOC",F422="OWC",F422="GWC",F422="OWC_TRANSITION",F422="GOC_TRANSITION"),IF(L422&gt;=K422,"Supports","Conflicts"),"N/A"),"No Sw"))</f>
        <v/>
      </c>
      <c r="O422" s="20">
        <f>IF(G422="","",Settings!$B$6*IF(OR(F422="GOC",F422="OWC",F422="GWC"),1,0.7)+Settings!$B$7*IF(N422="Supports",1,IF(N422="Conflicts",0,0.5))+Settings!$B$8*IF(AND(Master_Data!R422&lt;&gt;"",Master_Data!S422&lt;&gt;"",Master_Data!R423&lt;&gt;"",Master_Data!S423&lt;&gt;""),1,0.5))</f>
        <v/>
      </c>
      <c r="P422" s="19">
        <f>IF(G422="","",IF(N422="Conflicts","SW_CONFLICT",IF(OR(F422="GOC",F422="OWC",F422="GWC"),"DIRECT_FLUID_TRANSITION","TRANSITION_INTERVAL")))</f>
        <v/>
      </c>
      <c r="Q422" s="19">
        <f>IF(G422="","",IF(N422="Conflicts","Investigate contact interpretation / saturation behaviour",IF(OR(F422="OWC",F422="GOC",F422="GWC"),"Candidate contact — validate with logs, pressure and dynamic evidence","Transition zone — do not force to a sharp contact")))</f>
        <v/>
      </c>
    </row>
    <row r="423">
      <c r="A423" s="19">
        <f>IF(AND(Master_Data!A423&lt;&gt;"",Master_Data!A423=Master_Data!A424),Master_Data!A423,"")</f>
        <v/>
      </c>
      <c r="B423" s="19">
        <f>IF($A423="","",Master_Data!B423)</f>
        <v/>
      </c>
      <c r="C423" s="19">
        <f>IF($A423="","",Master_Data!B424)</f>
        <v/>
      </c>
      <c r="D423" s="19">
        <f>IF($A423="","",Master_Data!Q423)</f>
        <v/>
      </c>
      <c r="E423" s="19">
        <f>IF($A423="","",Master_Data!Q424)</f>
        <v/>
      </c>
      <c r="F423" s="19">
        <f>IF($A423="","",IF(AND(D423="GAS",E423="OIL"),"GOC",IF(AND(D423="OIL",E423="WATER"),"OWC",IF(AND(D423="GAS",E423="WATER"),"GWC",IF(AND(D423="OIL",E423="OIL_WATER"),"OWC_TRANSITION",IF(AND(D423="OIL_WATER",E423="WATER"),"OWC_TRANSITION",IF(AND(D423="GAS",E423="GAS_WATER"),"GOC_TRANSITION",IF(AND(D423="GAS_WATER",E423="OIL"),"GOC_TRANSITION",IF(OR(D423="OIL_WATER",D423="GAS_WATER"),"TRANSITION_INTERVAL","")))))))))</f>
        <v/>
      </c>
      <c r="G423" s="20">
        <f>IF(OR(F423="",Master_Data!R423="",Master_Data!S423=""),"",IF(RIGHT(F423,10)="TRANSITION",AVERAGE(Master_Data!R423:Master_Data!S423),AVERAGE(Master_Data!S423,Master_Data!R424)))</f>
        <v/>
      </c>
      <c r="H423" s="20">
        <f>IF(G423="","",MAX(Settings!$B$4,Settings!$B$5*AVERAGE(IF(Master_Data!O423&lt;&gt;"",Master_Data!O423,Master_Data!H423),IF(Master_Data!O424&lt;&gt;"",Master_Data!O424,Master_Data!H424))))</f>
        <v/>
      </c>
      <c r="I423" s="20">
        <f>IF(G423="","",G423-H423)</f>
        <v/>
      </c>
      <c r="J423" s="20">
        <f>IF(G423="","",G423+H423)</f>
        <v/>
      </c>
      <c r="K423" s="20">
        <f>IF($A423="","",Master_Data!G423)</f>
        <v/>
      </c>
      <c r="L423" s="20">
        <f>IF($A423="","",Master_Data!G424)</f>
        <v/>
      </c>
      <c r="M423" s="20">
        <f>IF(AND(ISNUMBER(K423),ISNUMBER(L423)),L423-K423,"")</f>
        <v/>
      </c>
      <c r="N423" s="19">
        <f>IF(G423="","",IF(AND(ISNUMBER(K423),ISNUMBER(L423)),IF(OR(F423="GOC",F423="OWC",F423="GWC",F423="OWC_TRANSITION",F423="GOC_TRANSITION"),IF(L423&gt;=K423,"Supports","Conflicts"),"N/A"),"No Sw"))</f>
        <v/>
      </c>
      <c r="O423" s="20">
        <f>IF(G423="","",Settings!$B$6*IF(OR(F423="GOC",F423="OWC",F423="GWC"),1,0.7)+Settings!$B$7*IF(N423="Supports",1,IF(N423="Conflicts",0,0.5))+Settings!$B$8*IF(AND(Master_Data!R423&lt;&gt;"",Master_Data!S423&lt;&gt;"",Master_Data!R424&lt;&gt;"",Master_Data!S424&lt;&gt;""),1,0.5))</f>
        <v/>
      </c>
      <c r="P423" s="19">
        <f>IF(G423="","",IF(N423="Conflicts","SW_CONFLICT",IF(OR(F423="GOC",F423="OWC",F423="GWC"),"DIRECT_FLUID_TRANSITION","TRANSITION_INTERVAL")))</f>
        <v/>
      </c>
      <c r="Q423" s="19">
        <f>IF(G423="","",IF(N423="Conflicts","Investigate contact interpretation / saturation behaviour",IF(OR(F423="OWC",F423="GOC",F423="GWC"),"Candidate contact — validate with logs, pressure and dynamic evidence","Transition zone — do not force to a sharp contact")))</f>
        <v/>
      </c>
    </row>
    <row r="424">
      <c r="A424" s="19">
        <f>IF(AND(Master_Data!A424&lt;&gt;"",Master_Data!A424=Master_Data!A425),Master_Data!A424,"")</f>
        <v/>
      </c>
      <c r="B424" s="19">
        <f>IF($A424="","",Master_Data!B424)</f>
        <v/>
      </c>
      <c r="C424" s="19">
        <f>IF($A424="","",Master_Data!B425)</f>
        <v/>
      </c>
      <c r="D424" s="19">
        <f>IF($A424="","",Master_Data!Q424)</f>
        <v/>
      </c>
      <c r="E424" s="19">
        <f>IF($A424="","",Master_Data!Q425)</f>
        <v/>
      </c>
      <c r="F424" s="19">
        <f>IF($A424="","",IF(AND(D424="GAS",E424="OIL"),"GOC",IF(AND(D424="OIL",E424="WATER"),"OWC",IF(AND(D424="GAS",E424="WATER"),"GWC",IF(AND(D424="OIL",E424="OIL_WATER"),"OWC_TRANSITION",IF(AND(D424="OIL_WATER",E424="WATER"),"OWC_TRANSITION",IF(AND(D424="GAS",E424="GAS_WATER"),"GOC_TRANSITION",IF(AND(D424="GAS_WATER",E424="OIL"),"GOC_TRANSITION",IF(OR(D424="OIL_WATER",D424="GAS_WATER"),"TRANSITION_INTERVAL","")))))))))</f>
        <v/>
      </c>
      <c r="G424" s="20">
        <f>IF(OR(F424="",Master_Data!R424="",Master_Data!S424=""),"",IF(RIGHT(F424,10)="TRANSITION",AVERAGE(Master_Data!R424:Master_Data!S424),AVERAGE(Master_Data!S424,Master_Data!R425)))</f>
        <v/>
      </c>
      <c r="H424" s="20">
        <f>IF(G424="","",MAX(Settings!$B$4,Settings!$B$5*AVERAGE(IF(Master_Data!O424&lt;&gt;"",Master_Data!O424,Master_Data!H424),IF(Master_Data!O425&lt;&gt;"",Master_Data!O425,Master_Data!H425))))</f>
        <v/>
      </c>
      <c r="I424" s="20">
        <f>IF(G424="","",G424-H424)</f>
        <v/>
      </c>
      <c r="J424" s="20">
        <f>IF(G424="","",G424+H424)</f>
        <v/>
      </c>
      <c r="K424" s="20">
        <f>IF($A424="","",Master_Data!G424)</f>
        <v/>
      </c>
      <c r="L424" s="20">
        <f>IF($A424="","",Master_Data!G425)</f>
        <v/>
      </c>
      <c r="M424" s="20">
        <f>IF(AND(ISNUMBER(K424),ISNUMBER(L424)),L424-K424,"")</f>
        <v/>
      </c>
      <c r="N424" s="19">
        <f>IF(G424="","",IF(AND(ISNUMBER(K424),ISNUMBER(L424)),IF(OR(F424="GOC",F424="OWC",F424="GWC",F424="OWC_TRANSITION",F424="GOC_TRANSITION"),IF(L424&gt;=K424,"Supports","Conflicts"),"N/A"),"No Sw"))</f>
        <v/>
      </c>
      <c r="O424" s="20">
        <f>IF(G424="","",Settings!$B$6*IF(OR(F424="GOC",F424="OWC",F424="GWC"),1,0.7)+Settings!$B$7*IF(N424="Supports",1,IF(N424="Conflicts",0,0.5))+Settings!$B$8*IF(AND(Master_Data!R424&lt;&gt;"",Master_Data!S424&lt;&gt;"",Master_Data!R425&lt;&gt;"",Master_Data!S425&lt;&gt;""),1,0.5))</f>
        <v/>
      </c>
      <c r="P424" s="19">
        <f>IF(G424="","",IF(N424="Conflicts","SW_CONFLICT",IF(OR(F424="GOC",F424="OWC",F424="GWC"),"DIRECT_FLUID_TRANSITION","TRANSITION_INTERVAL")))</f>
        <v/>
      </c>
      <c r="Q424" s="19">
        <f>IF(G424="","",IF(N424="Conflicts","Investigate contact interpretation / saturation behaviour",IF(OR(F424="OWC",F424="GOC",F424="GWC"),"Candidate contact — validate with logs, pressure and dynamic evidence","Transition zone — do not force to a sharp contact")))</f>
        <v/>
      </c>
    </row>
    <row r="425">
      <c r="A425" s="19">
        <f>IF(AND(Master_Data!A425&lt;&gt;"",Master_Data!A425=Master_Data!A426),Master_Data!A425,"")</f>
        <v/>
      </c>
      <c r="B425" s="19">
        <f>IF($A425="","",Master_Data!B425)</f>
        <v/>
      </c>
      <c r="C425" s="19">
        <f>IF($A425="","",Master_Data!B426)</f>
        <v/>
      </c>
      <c r="D425" s="19">
        <f>IF($A425="","",Master_Data!Q425)</f>
        <v/>
      </c>
      <c r="E425" s="19">
        <f>IF($A425="","",Master_Data!Q426)</f>
        <v/>
      </c>
      <c r="F425" s="19">
        <f>IF($A425="","",IF(AND(D425="GAS",E425="OIL"),"GOC",IF(AND(D425="OIL",E425="WATER"),"OWC",IF(AND(D425="GAS",E425="WATER"),"GWC",IF(AND(D425="OIL",E425="OIL_WATER"),"OWC_TRANSITION",IF(AND(D425="OIL_WATER",E425="WATER"),"OWC_TRANSITION",IF(AND(D425="GAS",E425="GAS_WATER"),"GOC_TRANSITION",IF(AND(D425="GAS_WATER",E425="OIL"),"GOC_TRANSITION",IF(OR(D425="OIL_WATER",D425="GAS_WATER"),"TRANSITION_INTERVAL","")))))))))</f>
        <v/>
      </c>
      <c r="G425" s="20">
        <f>IF(OR(F425="",Master_Data!R425="",Master_Data!S425=""),"",IF(RIGHT(F425,10)="TRANSITION",AVERAGE(Master_Data!R425:Master_Data!S425),AVERAGE(Master_Data!S425,Master_Data!R426)))</f>
        <v/>
      </c>
      <c r="H425" s="20">
        <f>IF(G425="","",MAX(Settings!$B$4,Settings!$B$5*AVERAGE(IF(Master_Data!O425&lt;&gt;"",Master_Data!O425,Master_Data!H425),IF(Master_Data!O426&lt;&gt;"",Master_Data!O426,Master_Data!H426))))</f>
        <v/>
      </c>
      <c r="I425" s="20">
        <f>IF(G425="","",G425-H425)</f>
        <v/>
      </c>
      <c r="J425" s="20">
        <f>IF(G425="","",G425+H425)</f>
        <v/>
      </c>
      <c r="K425" s="20">
        <f>IF($A425="","",Master_Data!G425)</f>
        <v/>
      </c>
      <c r="L425" s="20">
        <f>IF($A425="","",Master_Data!G426)</f>
        <v/>
      </c>
      <c r="M425" s="20">
        <f>IF(AND(ISNUMBER(K425),ISNUMBER(L425)),L425-K425,"")</f>
        <v/>
      </c>
      <c r="N425" s="19">
        <f>IF(G425="","",IF(AND(ISNUMBER(K425),ISNUMBER(L425)),IF(OR(F425="GOC",F425="OWC",F425="GWC",F425="OWC_TRANSITION",F425="GOC_TRANSITION"),IF(L425&gt;=K425,"Supports","Conflicts"),"N/A"),"No Sw"))</f>
        <v/>
      </c>
      <c r="O425" s="20">
        <f>IF(G425="","",Settings!$B$6*IF(OR(F425="GOC",F425="OWC",F425="GWC"),1,0.7)+Settings!$B$7*IF(N425="Supports",1,IF(N425="Conflicts",0,0.5))+Settings!$B$8*IF(AND(Master_Data!R425&lt;&gt;"",Master_Data!S425&lt;&gt;"",Master_Data!R426&lt;&gt;"",Master_Data!S426&lt;&gt;""),1,0.5))</f>
        <v/>
      </c>
      <c r="P425" s="19">
        <f>IF(G425="","",IF(N425="Conflicts","SW_CONFLICT",IF(OR(F425="GOC",F425="OWC",F425="GWC"),"DIRECT_FLUID_TRANSITION","TRANSITION_INTERVAL")))</f>
        <v/>
      </c>
      <c r="Q425" s="19">
        <f>IF(G425="","",IF(N425="Conflicts","Investigate contact interpretation / saturation behaviour",IF(OR(F425="OWC",F425="GOC",F425="GWC"),"Candidate contact — validate with logs, pressure and dynamic evidence","Transition zone — do not force to a sharp contact")))</f>
        <v/>
      </c>
    </row>
    <row r="426">
      <c r="A426" s="19">
        <f>IF(AND(Master_Data!A426&lt;&gt;"",Master_Data!A426=Master_Data!A427),Master_Data!A426,"")</f>
        <v/>
      </c>
      <c r="B426" s="19">
        <f>IF($A426="","",Master_Data!B426)</f>
        <v/>
      </c>
      <c r="C426" s="19">
        <f>IF($A426="","",Master_Data!B427)</f>
        <v/>
      </c>
      <c r="D426" s="19">
        <f>IF($A426="","",Master_Data!Q426)</f>
        <v/>
      </c>
      <c r="E426" s="19">
        <f>IF($A426="","",Master_Data!Q427)</f>
        <v/>
      </c>
      <c r="F426" s="19">
        <f>IF($A426="","",IF(AND(D426="GAS",E426="OIL"),"GOC",IF(AND(D426="OIL",E426="WATER"),"OWC",IF(AND(D426="GAS",E426="WATER"),"GWC",IF(AND(D426="OIL",E426="OIL_WATER"),"OWC_TRANSITION",IF(AND(D426="OIL_WATER",E426="WATER"),"OWC_TRANSITION",IF(AND(D426="GAS",E426="GAS_WATER"),"GOC_TRANSITION",IF(AND(D426="GAS_WATER",E426="OIL"),"GOC_TRANSITION",IF(OR(D426="OIL_WATER",D426="GAS_WATER"),"TRANSITION_INTERVAL","")))))))))</f>
        <v/>
      </c>
      <c r="G426" s="20">
        <f>IF(OR(F426="",Master_Data!R426="",Master_Data!S426=""),"",IF(RIGHT(F426,10)="TRANSITION",AVERAGE(Master_Data!R426:Master_Data!S426),AVERAGE(Master_Data!S426,Master_Data!R427)))</f>
        <v/>
      </c>
      <c r="H426" s="20">
        <f>IF(G426="","",MAX(Settings!$B$4,Settings!$B$5*AVERAGE(IF(Master_Data!O426&lt;&gt;"",Master_Data!O426,Master_Data!H426),IF(Master_Data!O427&lt;&gt;"",Master_Data!O427,Master_Data!H427))))</f>
        <v/>
      </c>
      <c r="I426" s="20">
        <f>IF(G426="","",G426-H426)</f>
        <v/>
      </c>
      <c r="J426" s="20">
        <f>IF(G426="","",G426+H426)</f>
        <v/>
      </c>
      <c r="K426" s="20">
        <f>IF($A426="","",Master_Data!G426)</f>
        <v/>
      </c>
      <c r="L426" s="20">
        <f>IF($A426="","",Master_Data!G427)</f>
        <v/>
      </c>
      <c r="M426" s="20">
        <f>IF(AND(ISNUMBER(K426),ISNUMBER(L426)),L426-K426,"")</f>
        <v/>
      </c>
      <c r="N426" s="19">
        <f>IF(G426="","",IF(AND(ISNUMBER(K426),ISNUMBER(L426)),IF(OR(F426="GOC",F426="OWC",F426="GWC",F426="OWC_TRANSITION",F426="GOC_TRANSITION"),IF(L426&gt;=K426,"Supports","Conflicts"),"N/A"),"No Sw"))</f>
        <v/>
      </c>
      <c r="O426" s="20">
        <f>IF(G426="","",Settings!$B$6*IF(OR(F426="GOC",F426="OWC",F426="GWC"),1,0.7)+Settings!$B$7*IF(N426="Supports",1,IF(N426="Conflicts",0,0.5))+Settings!$B$8*IF(AND(Master_Data!R426&lt;&gt;"",Master_Data!S426&lt;&gt;"",Master_Data!R427&lt;&gt;"",Master_Data!S427&lt;&gt;""),1,0.5))</f>
        <v/>
      </c>
      <c r="P426" s="19">
        <f>IF(G426="","",IF(N426="Conflicts","SW_CONFLICT",IF(OR(F426="GOC",F426="OWC",F426="GWC"),"DIRECT_FLUID_TRANSITION","TRANSITION_INTERVAL")))</f>
        <v/>
      </c>
      <c r="Q426" s="19">
        <f>IF(G426="","",IF(N426="Conflicts","Investigate contact interpretation / saturation behaviour",IF(OR(F426="OWC",F426="GOC",F426="GWC"),"Candidate contact — validate with logs, pressure and dynamic evidence","Transition zone — do not force to a sharp contact")))</f>
        <v/>
      </c>
    </row>
    <row r="427">
      <c r="A427" s="19">
        <f>IF(AND(Master_Data!A427&lt;&gt;"",Master_Data!A427=Master_Data!A428),Master_Data!A427,"")</f>
        <v/>
      </c>
      <c r="B427" s="19">
        <f>IF($A427="","",Master_Data!B427)</f>
        <v/>
      </c>
      <c r="C427" s="19">
        <f>IF($A427="","",Master_Data!B428)</f>
        <v/>
      </c>
      <c r="D427" s="19">
        <f>IF($A427="","",Master_Data!Q427)</f>
        <v/>
      </c>
      <c r="E427" s="19">
        <f>IF($A427="","",Master_Data!Q428)</f>
        <v/>
      </c>
      <c r="F427" s="19">
        <f>IF($A427="","",IF(AND(D427="GAS",E427="OIL"),"GOC",IF(AND(D427="OIL",E427="WATER"),"OWC",IF(AND(D427="GAS",E427="WATER"),"GWC",IF(AND(D427="OIL",E427="OIL_WATER"),"OWC_TRANSITION",IF(AND(D427="OIL_WATER",E427="WATER"),"OWC_TRANSITION",IF(AND(D427="GAS",E427="GAS_WATER"),"GOC_TRANSITION",IF(AND(D427="GAS_WATER",E427="OIL"),"GOC_TRANSITION",IF(OR(D427="OIL_WATER",D427="GAS_WATER"),"TRANSITION_INTERVAL","")))))))))</f>
        <v/>
      </c>
      <c r="G427" s="20">
        <f>IF(OR(F427="",Master_Data!R427="",Master_Data!S427=""),"",IF(RIGHT(F427,10)="TRANSITION",AVERAGE(Master_Data!R427:Master_Data!S427),AVERAGE(Master_Data!S427,Master_Data!R428)))</f>
        <v/>
      </c>
      <c r="H427" s="20">
        <f>IF(G427="","",MAX(Settings!$B$4,Settings!$B$5*AVERAGE(IF(Master_Data!O427&lt;&gt;"",Master_Data!O427,Master_Data!H427),IF(Master_Data!O428&lt;&gt;"",Master_Data!O428,Master_Data!H428))))</f>
        <v/>
      </c>
      <c r="I427" s="20">
        <f>IF(G427="","",G427-H427)</f>
        <v/>
      </c>
      <c r="J427" s="20">
        <f>IF(G427="","",G427+H427)</f>
        <v/>
      </c>
      <c r="K427" s="20">
        <f>IF($A427="","",Master_Data!G427)</f>
        <v/>
      </c>
      <c r="L427" s="20">
        <f>IF($A427="","",Master_Data!G428)</f>
        <v/>
      </c>
      <c r="M427" s="20">
        <f>IF(AND(ISNUMBER(K427),ISNUMBER(L427)),L427-K427,"")</f>
        <v/>
      </c>
      <c r="N427" s="19">
        <f>IF(G427="","",IF(AND(ISNUMBER(K427),ISNUMBER(L427)),IF(OR(F427="GOC",F427="OWC",F427="GWC",F427="OWC_TRANSITION",F427="GOC_TRANSITION"),IF(L427&gt;=K427,"Supports","Conflicts"),"N/A"),"No Sw"))</f>
        <v/>
      </c>
      <c r="O427" s="20">
        <f>IF(G427="","",Settings!$B$6*IF(OR(F427="GOC",F427="OWC",F427="GWC"),1,0.7)+Settings!$B$7*IF(N427="Supports",1,IF(N427="Conflicts",0,0.5))+Settings!$B$8*IF(AND(Master_Data!R427&lt;&gt;"",Master_Data!S427&lt;&gt;"",Master_Data!R428&lt;&gt;"",Master_Data!S428&lt;&gt;""),1,0.5))</f>
        <v/>
      </c>
      <c r="P427" s="19">
        <f>IF(G427="","",IF(N427="Conflicts","SW_CONFLICT",IF(OR(F427="GOC",F427="OWC",F427="GWC"),"DIRECT_FLUID_TRANSITION","TRANSITION_INTERVAL")))</f>
        <v/>
      </c>
      <c r="Q427" s="19">
        <f>IF(G427="","",IF(N427="Conflicts","Investigate contact interpretation / saturation behaviour",IF(OR(F427="OWC",F427="GOC",F427="GWC"),"Candidate contact — validate with logs, pressure and dynamic evidence","Transition zone — do not force to a sharp contact")))</f>
        <v/>
      </c>
    </row>
    <row r="428">
      <c r="A428" s="19">
        <f>IF(AND(Master_Data!A428&lt;&gt;"",Master_Data!A428=Master_Data!A429),Master_Data!A428,"")</f>
        <v/>
      </c>
      <c r="B428" s="19">
        <f>IF($A428="","",Master_Data!B428)</f>
        <v/>
      </c>
      <c r="C428" s="19">
        <f>IF($A428="","",Master_Data!B429)</f>
        <v/>
      </c>
      <c r="D428" s="19">
        <f>IF($A428="","",Master_Data!Q428)</f>
        <v/>
      </c>
      <c r="E428" s="19">
        <f>IF($A428="","",Master_Data!Q429)</f>
        <v/>
      </c>
      <c r="F428" s="19">
        <f>IF($A428="","",IF(AND(D428="GAS",E428="OIL"),"GOC",IF(AND(D428="OIL",E428="WATER"),"OWC",IF(AND(D428="GAS",E428="WATER"),"GWC",IF(AND(D428="OIL",E428="OIL_WATER"),"OWC_TRANSITION",IF(AND(D428="OIL_WATER",E428="WATER"),"OWC_TRANSITION",IF(AND(D428="GAS",E428="GAS_WATER"),"GOC_TRANSITION",IF(AND(D428="GAS_WATER",E428="OIL"),"GOC_TRANSITION",IF(OR(D428="OIL_WATER",D428="GAS_WATER"),"TRANSITION_INTERVAL","")))))))))</f>
        <v/>
      </c>
      <c r="G428" s="20">
        <f>IF(OR(F428="",Master_Data!R428="",Master_Data!S428=""),"",IF(RIGHT(F428,10)="TRANSITION",AVERAGE(Master_Data!R428:Master_Data!S428),AVERAGE(Master_Data!S428,Master_Data!R429)))</f>
        <v/>
      </c>
      <c r="H428" s="20">
        <f>IF(G428="","",MAX(Settings!$B$4,Settings!$B$5*AVERAGE(IF(Master_Data!O428&lt;&gt;"",Master_Data!O428,Master_Data!H428),IF(Master_Data!O429&lt;&gt;"",Master_Data!O429,Master_Data!H429))))</f>
        <v/>
      </c>
      <c r="I428" s="20">
        <f>IF(G428="","",G428-H428)</f>
        <v/>
      </c>
      <c r="J428" s="20">
        <f>IF(G428="","",G428+H428)</f>
        <v/>
      </c>
      <c r="K428" s="20">
        <f>IF($A428="","",Master_Data!G428)</f>
        <v/>
      </c>
      <c r="L428" s="20">
        <f>IF($A428="","",Master_Data!G429)</f>
        <v/>
      </c>
      <c r="M428" s="20">
        <f>IF(AND(ISNUMBER(K428),ISNUMBER(L428)),L428-K428,"")</f>
        <v/>
      </c>
      <c r="N428" s="19">
        <f>IF(G428="","",IF(AND(ISNUMBER(K428),ISNUMBER(L428)),IF(OR(F428="GOC",F428="OWC",F428="GWC",F428="OWC_TRANSITION",F428="GOC_TRANSITION"),IF(L428&gt;=K428,"Supports","Conflicts"),"N/A"),"No Sw"))</f>
        <v/>
      </c>
      <c r="O428" s="20">
        <f>IF(G428="","",Settings!$B$6*IF(OR(F428="GOC",F428="OWC",F428="GWC"),1,0.7)+Settings!$B$7*IF(N428="Supports",1,IF(N428="Conflicts",0,0.5))+Settings!$B$8*IF(AND(Master_Data!R428&lt;&gt;"",Master_Data!S428&lt;&gt;"",Master_Data!R429&lt;&gt;"",Master_Data!S429&lt;&gt;""),1,0.5))</f>
        <v/>
      </c>
      <c r="P428" s="19">
        <f>IF(G428="","",IF(N428="Conflicts","SW_CONFLICT",IF(OR(F428="GOC",F428="OWC",F428="GWC"),"DIRECT_FLUID_TRANSITION","TRANSITION_INTERVAL")))</f>
        <v/>
      </c>
      <c r="Q428" s="19">
        <f>IF(G428="","",IF(N428="Conflicts","Investigate contact interpretation / saturation behaviour",IF(OR(F428="OWC",F428="GOC",F428="GWC"),"Candidate contact — validate with logs, pressure and dynamic evidence","Transition zone — do not force to a sharp contact")))</f>
        <v/>
      </c>
    </row>
    <row r="429">
      <c r="A429" s="19">
        <f>IF(AND(Master_Data!A429&lt;&gt;"",Master_Data!A429=Master_Data!A430),Master_Data!A429,"")</f>
        <v/>
      </c>
      <c r="B429" s="19">
        <f>IF($A429="","",Master_Data!B429)</f>
        <v/>
      </c>
      <c r="C429" s="19">
        <f>IF($A429="","",Master_Data!B430)</f>
        <v/>
      </c>
      <c r="D429" s="19">
        <f>IF($A429="","",Master_Data!Q429)</f>
        <v/>
      </c>
      <c r="E429" s="19">
        <f>IF($A429="","",Master_Data!Q430)</f>
        <v/>
      </c>
      <c r="F429" s="19">
        <f>IF($A429="","",IF(AND(D429="GAS",E429="OIL"),"GOC",IF(AND(D429="OIL",E429="WATER"),"OWC",IF(AND(D429="GAS",E429="WATER"),"GWC",IF(AND(D429="OIL",E429="OIL_WATER"),"OWC_TRANSITION",IF(AND(D429="OIL_WATER",E429="WATER"),"OWC_TRANSITION",IF(AND(D429="GAS",E429="GAS_WATER"),"GOC_TRANSITION",IF(AND(D429="GAS_WATER",E429="OIL"),"GOC_TRANSITION",IF(OR(D429="OIL_WATER",D429="GAS_WATER"),"TRANSITION_INTERVAL","")))))))))</f>
        <v/>
      </c>
      <c r="G429" s="20">
        <f>IF(OR(F429="",Master_Data!R429="",Master_Data!S429=""),"",IF(RIGHT(F429,10)="TRANSITION",AVERAGE(Master_Data!R429:Master_Data!S429),AVERAGE(Master_Data!S429,Master_Data!R430)))</f>
        <v/>
      </c>
      <c r="H429" s="20">
        <f>IF(G429="","",MAX(Settings!$B$4,Settings!$B$5*AVERAGE(IF(Master_Data!O429&lt;&gt;"",Master_Data!O429,Master_Data!H429),IF(Master_Data!O430&lt;&gt;"",Master_Data!O430,Master_Data!H430))))</f>
        <v/>
      </c>
      <c r="I429" s="20">
        <f>IF(G429="","",G429-H429)</f>
        <v/>
      </c>
      <c r="J429" s="20">
        <f>IF(G429="","",G429+H429)</f>
        <v/>
      </c>
      <c r="K429" s="20">
        <f>IF($A429="","",Master_Data!G429)</f>
        <v/>
      </c>
      <c r="L429" s="20">
        <f>IF($A429="","",Master_Data!G430)</f>
        <v/>
      </c>
      <c r="M429" s="20">
        <f>IF(AND(ISNUMBER(K429),ISNUMBER(L429)),L429-K429,"")</f>
        <v/>
      </c>
      <c r="N429" s="19">
        <f>IF(G429="","",IF(AND(ISNUMBER(K429),ISNUMBER(L429)),IF(OR(F429="GOC",F429="OWC",F429="GWC",F429="OWC_TRANSITION",F429="GOC_TRANSITION"),IF(L429&gt;=K429,"Supports","Conflicts"),"N/A"),"No Sw"))</f>
        <v/>
      </c>
      <c r="O429" s="20">
        <f>IF(G429="","",Settings!$B$6*IF(OR(F429="GOC",F429="OWC",F429="GWC"),1,0.7)+Settings!$B$7*IF(N429="Supports",1,IF(N429="Conflicts",0,0.5))+Settings!$B$8*IF(AND(Master_Data!R429&lt;&gt;"",Master_Data!S429&lt;&gt;"",Master_Data!R430&lt;&gt;"",Master_Data!S430&lt;&gt;""),1,0.5))</f>
        <v/>
      </c>
      <c r="P429" s="19">
        <f>IF(G429="","",IF(N429="Conflicts","SW_CONFLICT",IF(OR(F429="GOC",F429="OWC",F429="GWC"),"DIRECT_FLUID_TRANSITION","TRANSITION_INTERVAL")))</f>
        <v/>
      </c>
      <c r="Q429" s="19">
        <f>IF(G429="","",IF(N429="Conflicts","Investigate contact interpretation / saturation behaviour",IF(OR(F429="OWC",F429="GOC",F429="GWC"),"Candidate contact — validate with logs, pressure and dynamic evidence","Transition zone — do not force to a sharp contact")))</f>
        <v/>
      </c>
    </row>
    <row r="430">
      <c r="A430" s="19">
        <f>IF(AND(Master_Data!A430&lt;&gt;"",Master_Data!A430=Master_Data!A431),Master_Data!A430,"")</f>
        <v/>
      </c>
      <c r="B430" s="19">
        <f>IF($A430="","",Master_Data!B430)</f>
        <v/>
      </c>
      <c r="C430" s="19">
        <f>IF($A430="","",Master_Data!B431)</f>
        <v/>
      </c>
      <c r="D430" s="19">
        <f>IF($A430="","",Master_Data!Q430)</f>
        <v/>
      </c>
      <c r="E430" s="19">
        <f>IF($A430="","",Master_Data!Q431)</f>
        <v/>
      </c>
      <c r="F430" s="19">
        <f>IF($A430="","",IF(AND(D430="GAS",E430="OIL"),"GOC",IF(AND(D430="OIL",E430="WATER"),"OWC",IF(AND(D430="GAS",E430="WATER"),"GWC",IF(AND(D430="OIL",E430="OIL_WATER"),"OWC_TRANSITION",IF(AND(D430="OIL_WATER",E430="WATER"),"OWC_TRANSITION",IF(AND(D430="GAS",E430="GAS_WATER"),"GOC_TRANSITION",IF(AND(D430="GAS_WATER",E430="OIL"),"GOC_TRANSITION",IF(OR(D430="OIL_WATER",D430="GAS_WATER"),"TRANSITION_INTERVAL","")))))))))</f>
        <v/>
      </c>
      <c r="G430" s="20">
        <f>IF(OR(F430="",Master_Data!R430="",Master_Data!S430=""),"",IF(RIGHT(F430,10)="TRANSITION",AVERAGE(Master_Data!R430:Master_Data!S430),AVERAGE(Master_Data!S430,Master_Data!R431)))</f>
        <v/>
      </c>
      <c r="H430" s="20">
        <f>IF(G430="","",MAX(Settings!$B$4,Settings!$B$5*AVERAGE(IF(Master_Data!O430&lt;&gt;"",Master_Data!O430,Master_Data!H430),IF(Master_Data!O431&lt;&gt;"",Master_Data!O431,Master_Data!H431))))</f>
        <v/>
      </c>
      <c r="I430" s="20">
        <f>IF(G430="","",G430-H430)</f>
        <v/>
      </c>
      <c r="J430" s="20">
        <f>IF(G430="","",G430+H430)</f>
        <v/>
      </c>
      <c r="K430" s="20">
        <f>IF($A430="","",Master_Data!G430)</f>
        <v/>
      </c>
      <c r="L430" s="20">
        <f>IF($A430="","",Master_Data!G431)</f>
        <v/>
      </c>
      <c r="M430" s="20">
        <f>IF(AND(ISNUMBER(K430),ISNUMBER(L430)),L430-K430,"")</f>
        <v/>
      </c>
      <c r="N430" s="19">
        <f>IF(G430="","",IF(AND(ISNUMBER(K430),ISNUMBER(L430)),IF(OR(F430="GOC",F430="OWC",F430="GWC",F430="OWC_TRANSITION",F430="GOC_TRANSITION"),IF(L430&gt;=K430,"Supports","Conflicts"),"N/A"),"No Sw"))</f>
        <v/>
      </c>
      <c r="O430" s="20">
        <f>IF(G430="","",Settings!$B$6*IF(OR(F430="GOC",F430="OWC",F430="GWC"),1,0.7)+Settings!$B$7*IF(N430="Supports",1,IF(N430="Conflicts",0,0.5))+Settings!$B$8*IF(AND(Master_Data!R430&lt;&gt;"",Master_Data!S430&lt;&gt;"",Master_Data!R431&lt;&gt;"",Master_Data!S431&lt;&gt;""),1,0.5))</f>
        <v/>
      </c>
      <c r="P430" s="19">
        <f>IF(G430="","",IF(N430="Conflicts","SW_CONFLICT",IF(OR(F430="GOC",F430="OWC",F430="GWC"),"DIRECT_FLUID_TRANSITION","TRANSITION_INTERVAL")))</f>
        <v/>
      </c>
      <c r="Q430" s="19">
        <f>IF(G430="","",IF(N430="Conflicts","Investigate contact interpretation / saturation behaviour",IF(OR(F430="OWC",F430="GOC",F430="GWC"),"Candidate contact — validate with logs, pressure and dynamic evidence","Transition zone — do not force to a sharp contact")))</f>
        <v/>
      </c>
    </row>
    <row r="431">
      <c r="A431" s="19">
        <f>IF(AND(Master_Data!A431&lt;&gt;"",Master_Data!A431=Master_Data!A432),Master_Data!A431,"")</f>
        <v/>
      </c>
      <c r="B431" s="19">
        <f>IF($A431="","",Master_Data!B431)</f>
        <v/>
      </c>
      <c r="C431" s="19">
        <f>IF($A431="","",Master_Data!B432)</f>
        <v/>
      </c>
      <c r="D431" s="19">
        <f>IF($A431="","",Master_Data!Q431)</f>
        <v/>
      </c>
      <c r="E431" s="19">
        <f>IF($A431="","",Master_Data!Q432)</f>
        <v/>
      </c>
      <c r="F431" s="19">
        <f>IF($A431="","",IF(AND(D431="GAS",E431="OIL"),"GOC",IF(AND(D431="OIL",E431="WATER"),"OWC",IF(AND(D431="GAS",E431="WATER"),"GWC",IF(AND(D431="OIL",E431="OIL_WATER"),"OWC_TRANSITION",IF(AND(D431="OIL_WATER",E431="WATER"),"OWC_TRANSITION",IF(AND(D431="GAS",E431="GAS_WATER"),"GOC_TRANSITION",IF(AND(D431="GAS_WATER",E431="OIL"),"GOC_TRANSITION",IF(OR(D431="OIL_WATER",D431="GAS_WATER"),"TRANSITION_INTERVAL","")))))))))</f>
        <v/>
      </c>
      <c r="G431" s="20">
        <f>IF(OR(F431="",Master_Data!R431="",Master_Data!S431=""),"",IF(RIGHT(F431,10)="TRANSITION",AVERAGE(Master_Data!R431:Master_Data!S431),AVERAGE(Master_Data!S431,Master_Data!R432)))</f>
        <v/>
      </c>
      <c r="H431" s="20">
        <f>IF(G431="","",MAX(Settings!$B$4,Settings!$B$5*AVERAGE(IF(Master_Data!O431&lt;&gt;"",Master_Data!O431,Master_Data!H431),IF(Master_Data!O432&lt;&gt;"",Master_Data!O432,Master_Data!H432))))</f>
        <v/>
      </c>
      <c r="I431" s="20">
        <f>IF(G431="","",G431-H431)</f>
        <v/>
      </c>
      <c r="J431" s="20">
        <f>IF(G431="","",G431+H431)</f>
        <v/>
      </c>
      <c r="K431" s="20">
        <f>IF($A431="","",Master_Data!G431)</f>
        <v/>
      </c>
      <c r="L431" s="20">
        <f>IF($A431="","",Master_Data!G432)</f>
        <v/>
      </c>
      <c r="M431" s="20">
        <f>IF(AND(ISNUMBER(K431),ISNUMBER(L431)),L431-K431,"")</f>
        <v/>
      </c>
      <c r="N431" s="19">
        <f>IF(G431="","",IF(AND(ISNUMBER(K431),ISNUMBER(L431)),IF(OR(F431="GOC",F431="OWC",F431="GWC",F431="OWC_TRANSITION",F431="GOC_TRANSITION"),IF(L431&gt;=K431,"Supports","Conflicts"),"N/A"),"No Sw"))</f>
        <v/>
      </c>
      <c r="O431" s="20">
        <f>IF(G431="","",Settings!$B$6*IF(OR(F431="GOC",F431="OWC",F431="GWC"),1,0.7)+Settings!$B$7*IF(N431="Supports",1,IF(N431="Conflicts",0,0.5))+Settings!$B$8*IF(AND(Master_Data!R431&lt;&gt;"",Master_Data!S431&lt;&gt;"",Master_Data!R432&lt;&gt;"",Master_Data!S432&lt;&gt;""),1,0.5))</f>
        <v/>
      </c>
      <c r="P431" s="19">
        <f>IF(G431="","",IF(N431="Conflicts","SW_CONFLICT",IF(OR(F431="GOC",F431="OWC",F431="GWC"),"DIRECT_FLUID_TRANSITION","TRANSITION_INTERVAL")))</f>
        <v/>
      </c>
      <c r="Q431" s="19">
        <f>IF(G431="","",IF(N431="Conflicts","Investigate contact interpretation / saturation behaviour",IF(OR(F431="OWC",F431="GOC",F431="GWC"),"Candidate contact — validate with logs, pressure and dynamic evidence","Transition zone — do not force to a sharp contact")))</f>
        <v/>
      </c>
    </row>
    <row r="432">
      <c r="A432" s="19">
        <f>IF(AND(Master_Data!A432&lt;&gt;"",Master_Data!A432=Master_Data!A433),Master_Data!A432,"")</f>
        <v/>
      </c>
      <c r="B432" s="19">
        <f>IF($A432="","",Master_Data!B432)</f>
        <v/>
      </c>
      <c r="C432" s="19">
        <f>IF($A432="","",Master_Data!B433)</f>
        <v/>
      </c>
      <c r="D432" s="19">
        <f>IF($A432="","",Master_Data!Q432)</f>
        <v/>
      </c>
      <c r="E432" s="19">
        <f>IF($A432="","",Master_Data!Q433)</f>
        <v/>
      </c>
      <c r="F432" s="19">
        <f>IF($A432="","",IF(AND(D432="GAS",E432="OIL"),"GOC",IF(AND(D432="OIL",E432="WATER"),"OWC",IF(AND(D432="GAS",E432="WATER"),"GWC",IF(AND(D432="OIL",E432="OIL_WATER"),"OWC_TRANSITION",IF(AND(D432="OIL_WATER",E432="WATER"),"OWC_TRANSITION",IF(AND(D432="GAS",E432="GAS_WATER"),"GOC_TRANSITION",IF(AND(D432="GAS_WATER",E432="OIL"),"GOC_TRANSITION",IF(OR(D432="OIL_WATER",D432="GAS_WATER"),"TRANSITION_INTERVAL","")))))))))</f>
        <v/>
      </c>
      <c r="G432" s="20">
        <f>IF(OR(F432="",Master_Data!R432="",Master_Data!S432=""),"",IF(RIGHT(F432,10)="TRANSITION",AVERAGE(Master_Data!R432:Master_Data!S432),AVERAGE(Master_Data!S432,Master_Data!R433)))</f>
        <v/>
      </c>
      <c r="H432" s="20">
        <f>IF(G432="","",MAX(Settings!$B$4,Settings!$B$5*AVERAGE(IF(Master_Data!O432&lt;&gt;"",Master_Data!O432,Master_Data!H432),IF(Master_Data!O433&lt;&gt;"",Master_Data!O433,Master_Data!H433))))</f>
        <v/>
      </c>
      <c r="I432" s="20">
        <f>IF(G432="","",G432-H432)</f>
        <v/>
      </c>
      <c r="J432" s="20">
        <f>IF(G432="","",G432+H432)</f>
        <v/>
      </c>
      <c r="K432" s="20">
        <f>IF($A432="","",Master_Data!G432)</f>
        <v/>
      </c>
      <c r="L432" s="20">
        <f>IF($A432="","",Master_Data!G433)</f>
        <v/>
      </c>
      <c r="M432" s="20">
        <f>IF(AND(ISNUMBER(K432),ISNUMBER(L432)),L432-K432,"")</f>
        <v/>
      </c>
      <c r="N432" s="19">
        <f>IF(G432="","",IF(AND(ISNUMBER(K432),ISNUMBER(L432)),IF(OR(F432="GOC",F432="OWC",F432="GWC",F432="OWC_TRANSITION",F432="GOC_TRANSITION"),IF(L432&gt;=K432,"Supports","Conflicts"),"N/A"),"No Sw"))</f>
        <v/>
      </c>
      <c r="O432" s="20">
        <f>IF(G432="","",Settings!$B$6*IF(OR(F432="GOC",F432="OWC",F432="GWC"),1,0.7)+Settings!$B$7*IF(N432="Supports",1,IF(N432="Conflicts",0,0.5))+Settings!$B$8*IF(AND(Master_Data!R432&lt;&gt;"",Master_Data!S432&lt;&gt;"",Master_Data!R433&lt;&gt;"",Master_Data!S433&lt;&gt;""),1,0.5))</f>
        <v/>
      </c>
      <c r="P432" s="19">
        <f>IF(G432="","",IF(N432="Conflicts","SW_CONFLICT",IF(OR(F432="GOC",F432="OWC",F432="GWC"),"DIRECT_FLUID_TRANSITION","TRANSITION_INTERVAL")))</f>
        <v/>
      </c>
      <c r="Q432" s="19">
        <f>IF(G432="","",IF(N432="Conflicts","Investigate contact interpretation / saturation behaviour",IF(OR(F432="OWC",F432="GOC",F432="GWC"),"Candidate contact — validate with logs, pressure and dynamic evidence","Transition zone — do not force to a sharp contact")))</f>
        <v/>
      </c>
    </row>
    <row r="433">
      <c r="A433" s="19">
        <f>IF(AND(Master_Data!A433&lt;&gt;"",Master_Data!A433=Master_Data!A434),Master_Data!A433,"")</f>
        <v/>
      </c>
      <c r="B433" s="19">
        <f>IF($A433="","",Master_Data!B433)</f>
        <v/>
      </c>
      <c r="C433" s="19">
        <f>IF($A433="","",Master_Data!B434)</f>
        <v/>
      </c>
      <c r="D433" s="19">
        <f>IF($A433="","",Master_Data!Q433)</f>
        <v/>
      </c>
      <c r="E433" s="19">
        <f>IF($A433="","",Master_Data!Q434)</f>
        <v/>
      </c>
      <c r="F433" s="19">
        <f>IF($A433="","",IF(AND(D433="GAS",E433="OIL"),"GOC",IF(AND(D433="OIL",E433="WATER"),"OWC",IF(AND(D433="GAS",E433="WATER"),"GWC",IF(AND(D433="OIL",E433="OIL_WATER"),"OWC_TRANSITION",IF(AND(D433="OIL_WATER",E433="WATER"),"OWC_TRANSITION",IF(AND(D433="GAS",E433="GAS_WATER"),"GOC_TRANSITION",IF(AND(D433="GAS_WATER",E433="OIL"),"GOC_TRANSITION",IF(OR(D433="OIL_WATER",D433="GAS_WATER"),"TRANSITION_INTERVAL","")))))))))</f>
        <v/>
      </c>
      <c r="G433" s="20">
        <f>IF(OR(F433="",Master_Data!R433="",Master_Data!S433=""),"",IF(RIGHT(F433,10)="TRANSITION",AVERAGE(Master_Data!R433:Master_Data!S433),AVERAGE(Master_Data!S433,Master_Data!R434)))</f>
        <v/>
      </c>
      <c r="H433" s="20">
        <f>IF(G433="","",MAX(Settings!$B$4,Settings!$B$5*AVERAGE(IF(Master_Data!O433&lt;&gt;"",Master_Data!O433,Master_Data!H433),IF(Master_Data!O434&lt;&gt;"",Master_Data!O434,Master_Data!H434))))</f>
        <v/>
      </c>
      <c r="I433" s="20">
        <f>IF(G433="","",G433-H433)</f>
        <v/>
      </c>
      <c r="J433" s="20">
        <f>IF(G433="","",G433+H433)</f>
        <v/>
      </c>
      <c r="K433" s="20">
        <f>IF($A433="","",Master_Data!G433)</f>
        <v/>
      </c>
      <c r="L433" s="20">
        <f>IF($A433="","",Master_Data!G434)</f>
        <v/>
      </c>
      <c r="M433" s="20">
        <f>IF(AND(ISNUMBER(K433),ISNUMBER(L433)),L433-K433,"")</f>
        <v/>
      </c>
      <c r="N433" s="19">
        <f>IF(G433="","",IF(AND(ISNUMBER(K433),ISNUMBER(L433)),IF(OR(F433="GOC",F433="OWC",F433="GWC",F433="OWC_TRANSITION",F433="GOC_TRANSITION"),IF(L433&gt;=K433,"Supports","Conflicts"),"N/A"),"No Sw"))</f>
        <v/>
      </c>
      <c r="O433" s="20">
        <f>IF(G433="","",Settings!$B$6*IF(OR(F433="GOC",F433="OWC",F433="GWC"),1,0.7)+Settings!$B$7*IF(N433="Supports",1,IF(N433="Conflicts",0,0.5))+Settings!$B$8*IF(AND(Master_Data!R433&lt;&gt;"",Master_Data!S433&lt;&gt;"",Master_Data!R434&lt;&gt;"",Master_Data!S434&lt;&gt;""),1,0.5))</f>
        <v/>
      </c>
      <c r="P433" s="19">
        <f>IF(G433="","",IF(N433="Conflicts","SW_CONFLICT",IF(OR(F433="GOC",F433="OWC",F433="GWC"),"DIRECT_FLUID_TRANSITION","TRANSITION_INTERVAL")))</f>
        <v/>
      </c>
      <c r="Q433" s="19">
        <f>IF(G433="","",IF(N433="Conflicts","Investigate contact interpretation / saturation behaviour",IF(OR(F433="OWC",F433="GOC",F433="GWC"),"Candidate contact — validate with logs, pressure and dynamic evidence","Transition zone — do not force to a sharp contact")))</f>
        <v/>
      </c>
    </row>
    <row r="434">
      <c r="A434" s="19">
        <f>IF(AND(Master_Data!A434&lt;&gt;"",Master_Data!A434=Master_Data!A435),Master_Data!A434,"")</f>
        <v/>
      </c>
      <c r="B434" s="19">
        <f>IF($A434="","",Master_Data!B434)</f>
        <v/>
      </c>
      <c r="C434" s="19">
        <f>IF($A434="","",Master_Data!B435)</f>
        <v/>
      </c>
      <c r="D434" s="19">
        <f>IF($A434="","",Master_Data!Q434)</f>
        <v/>
      </c>
      <c r="E434" s="19">
        <f>IF($A434="","",Master_Data!Q435)</f>
        <v/>
      </c>
      <c r="F434" s="19">
        <f>IF($A434="","",IF(AND(D434="GAS",E434="OIL"),"GOC",IF(AND(D434="OIL",E434="WATER"),"OWC",IF(AND(D434="GAS",E434="WATER"),"GWC",IF(AND(D434="OIL",E434="OIL_WATER"),"OWC_TRANSITION",IF(AND(D434="OIL_WATER",E434="WATER"),"OWC_TRANSITION",IF(AND(D434="GAS",E434="GAS_WATER"),"GOC_TRANSITION",IF(AND(D434="GAS_WATER",E434="OIL"),"GOC_TRANSITION",IF(OR(D434="OIL_WATER",D434="GAS_WATER"),"TRANSITION_INTERVAL","")))))))))</f>
        <v/>
      </c>
      <c r="G434" s="20">
        <f>IF(OR(F434="",Master_Data!R434="",Master_Data!S434=""),"",IF(RIGHT(F434,10)="TRANSITION",AVERAGE(Master_Data!R434:Master_Data!S434),AVERAGE(Master_Data!S434,Master_Data!R435)))</f>
        <v/>
      </c>
      <c r="H434" s="20">
        <f>IF(G434="","",MAX(Settings!$B$4,Settings!$B$5*AVERAGE(IF(Master_Data!O434&lt;&gt;"",Master_Data!O434,Master_Data!H434),IF(Master_Data!O435&lt;&gt;"",Master_Data!O435,Master_Data!H435))))</f>
        <v/>
      </c>
      <c r="I434" s="20">
        <f>IF(G434="","",G434-H434)</f>
        <v/>
      </c>
      <c r="J434" s="20">
        <f>IF(G434="","",G434+H434)</f>
        <v/>
      </c>
      <c r="K434" s="20">
        <f>IF($A434="","",Master_Data!G434)</f>
        <v/>
      </c>
      <c r="L434" s="20">
        <f>IF($A434="","",Master_Data!G435)</f>
        <v/>
      </c>
      <c r="M434" s="20">
        <f>IF(AND(ISNUMBER(K434),ISNUMBER(L434)),L434-K434,"")</f>
        <v/>
      </c>
      <c r="N434" s="19">
        <f>IF(G434="","",IF(AND(ISNUMBER(K434),ISNUMBER(L434)),IF(OR(F434="GOC",F434="OWC",F434="GWC",F434="OWC_TRANSITION",F434="GOC_TRANSITION"),IF(L434&gt;=K434,"Supports","Conflicts"),"N/A"),"No Sw"))</f>
        <v/>
      </c>
      <c r="O434" s="20">
        <f>IF(G434="","",Settings!$B$6*IF(OR(F434="GOC",F434="OWC",F434="GWC"),1,0.7)+Settings!$B$7*IF(N434="Supports",1,IF(N434="Conflicts",0,0.5))+Settings!$B$8*IF(AND(Master_Data!R434&lt;&gt;"",Master_Data!S434&lt;&gt;"",Master_Data!R435&lt;&gt;"",Master_Data!S435&lt;&gt;""),1,0.5))</f>
        <v/>
      </c>
      <c r="P434" s="19">
        <f>IF(G434="","",IF(N434="Conflicts","SW_CONFLICT",IF(OR(F434="GOC",F434="OWC",F434="GWC"),"DIRECT_FLUID_TRANSITION","TRANSITION_INTERVAL")))</f>
        <v/>
      </c>
      <c r="Q434" s="19">
        <f>IF(G434="","",IF(N434="Conflicts","Investigate contact interpretation / saturation behaviour",IF(OR(F434="OWC",F434="GOC",F434="GWC"),"Candidate contact — validate with logs, pressure and dynamic evidence","Transition zone — do not force to a sharp contact")))</f>
        <v/>
      </c>
    </row>
    <row r="435">
      <c r="A435" s="19">
        <f>IF(AND(Master_Data!A435&lt;&gt;"",Master_Data!A435=Master_Data!A436),Master_Data!A435,"")</f>
        <v/>
      </c>
      <c r="B435" s="19">
        <f>IF($A435="","",Master_Data!B435)</f>
        <v/>
      </c>
      <c r="C435" s="19">
        <f>IF($A435="","",Master_Data!B436)</f>
        <v/>
      </c>
      <c r="D435" s="19">
        <f>IF($A435="","",Master_Data!Q435)</f>
        <v/>
      </c>
      <c r="E435" s="19">
        <f>IF($A435="","",Master_Data!Q436)</f>
        <v/>
      </c>
      <c r="F435" s="19">
        <f>IF($A435="","",IF(AND(D435="GAS",E435="OIL"),"GOC",IF(AND(D435="OIL",E435="WATER"),"OWC",IF(AND(D435="GAS",E435="WATER"),"GWC",IF(AND(D435="OIL",E435="OIL_WATER"),"OWC_TRANSITION",IF(AND(D435="OIL_WATER",E435="WATER"),"OWC_TRANSITION",IF(AND(D435="GAS",E435="GAS_WATER"),"GOC_TRANSITION",IF(AND(D435="GAS_WATER",E435="OIL"),"GOC_TRANSITION",IF(OR(D435="OIL_WATER",D435="GAS_WATER"),"TRANSITION_INTERVAL","")))))))))</f>
        <v/>
      </c>
      <c r="G435" s="20">
        <f>IF(OR(F435="",Master_Data!R435="",Master_Data!S435=""),"",IF(RIGHT(F435,10)="TRANSITION",AVERAGE(Master_Data!R435:Master_Data!S435),AVERAGE(Master_Data!S435,Master_Data!R436)))</f>
        <v/>
      </c>
      <c r="H435" s="20">
        <f>IF(G435="","",MAX(Settings!$B$4,Settings!$B$5*AVERAGE(IF(Master_Data!O435&lt;&gt;"",Master_Data!O435,Master_Data!H435),IF(Master_Data!O436&lt;&gt;"",Master_Data!O436,Master_Data!H436))))</f>
        <v/>
      </c>
      <c r="I435" s="20">
        <f>IF(G435="","",G435-H435)</f>
        <v/>
      </c>
      <c r="J435" s="20">
        <f>IF(G435="","",G435+H435)</f>
        <v/>
      </c>
      <c r="K435" s="20">
        <f>IF($A435="","",Master_Data!G435)</f>
        <v/>
      </c>
      <c r="L435" s="20">
        <f>IF($A435="","",Master_Data!G436)</f>
        <v/>
      </c>
      <c r="M435" s="20">
        <f>IF(AND(ISNUMBER(K435),ISNUMBER(L435)),L435-K435,"")</f>
        <v/>
      </c>
      <c r="N435" s="19">
        <f>IF(G435="","",IF(AND(ISNUMBER(K435),ISNUMBER(L435)),IF(OR(F435="GOC",F435="OWC",F435="GWC",F435="OWC_TRANSITION",F435="GOC_TRANSITION"),IF(L435&gt;=K435,"Supports","Conflicts"),"N/A"),"No Sw"))</f>
        <v/>
      </c>
      <c r="O435" s="20">
        <f>IF(G435="","",Settings!$B$6*IF(OR(F435="GOC",F435="OWC",F435="GWC"),1,0.7)+Settings!$B$7*IF(N435="Supports",1,IF(N435="Conflicts",0,0.5))+Settings!$B$8*IF(AND(Master_Data!R435&lt;&gt;"",Master_Data!S435&lt;&gt;"",Master_Data!R436&lt;&gt;"",Master_Data!S436&lt;&gt;""),1,0.5))</f>
        <v/>
      </c>
      <c r="P435" s="19">
        <f>IF(G435="","",IF(N435="Conflicts","SW_CONFLICT",IF(OR(F435="GOC",F435="OWC",F435="GWC"),"DIRECT_FLUID_TRANSITION","TRANSITION_INTERVAL")))</f>
        <v/>
      </c>
      <c r="Q435" s="19">
        <f>IF(G435="","",IF(N435="Conflicts","Investigate contact interpretation / saturation behaviour",IF(OR(F435="OWC",F435="GOC",F435="GWC"),"Candidate contact — validate with logs, pressure and dynamic evidence","Transition zone — do not force to a sharp contact")))</f>
        <v/>
      </c>
    </row>
    <row r="436">
      <c r="A436" s="19">
        <f>IF(AND(Master_Data!A436&lt;&gt;"",Master_Data!A436=Master_Data!A437),Master_Data!A436,"")</f>
        <v/>
      </c>
      <c r="B436" s="19">
        <f>IF($A436="","",Master_Data!B436)</f>
        <v/>
      </c>
      <c r="C436" s="19">
        <f>IF($A436="","",Master_Data!B437)</f>
        <v/>
      </c>
      <c r="D436" s="19">
        <f>IF($A436="","",Master_Data!Q436)</f>
        <v/>
      </c>
      <c r="E436" s="19">
        <f>IF($A436="","",Master_Data!Q437)</f>
        <v/>
      </c>
      <c r="F436" s="19">
        <f>IF($A436="","",IF(AND(D436="GAS",E436="OIL"),"GOC",IF(AND(D436="OIL",E436="WATER"),"OWC",IF(AND(D436="GAS",E436="WATER"),"GWC",IF(AND(D436="OIL",E436="OIL_WATER"),"OWC_TRANSITION",IF(AND(D436="OIL_WATER",E436="WATER"),"OWC_TRANSITION",IF(AND(D436="GAS",E436="GAS_WATER"),"GOC_TRANSITION",IF(AND(D436="GAS_WATER",E436="OIL"),"GOC_TRANSITION",IF(OR(D436="OIL_WATER",D436="GAS_WATER"),"TRANSITION_INTERVAL","")))))))))</f>
        <v/>
      </c>
      <c r="G436" s="20">
        <f>IF(OR(F436="",Master_Data!R436="",Master_Data!S436=""),"",IF(RIGHT(F436,10)="TRANSITION",AVERAGE(Master_Data!R436:Master_Data!S436),AVERAGE(Master_Data!S436,Master_Data!R437)))</f>
        <v/>
      </c>
      <c r="H436" s="20">
        <f>IF(G436="","",MAX(Settings!$B$4,Settings!$B$5*AVERAGE(IF(Master_Data!O436&lt;&gt;"",Master_Data!O436,Master_Data!H436),IF(Master_Data!O437&lt;&gt;"",Master_Data!O437,Master_Data!H437))))</f>
        <v/>
      </c>
      <c r="I436" s="20">
        <f>IF(G436="","",G436-H436)</f>
        <v/>
      </c>
      <c r="J436" s="20">
        <f>IF(G436="","",G436+H436)</f>
        <v/>
      </c>
      <c r="K436" s="20">
        <f>IF($A436="","",Master_Data!G436)</f>
        <v/>
      </c>
      <c r="L436" s="20">
        <f>IF($A436="","",Master_Data!G437)</f>
        <v/>
      </c>
      <c r="M436" s="20">
        <f>IF(AND(ISNUMBER(K436),ISNUMBER(L436)),L436-K436,"")</f>
        <v/>
      </c>
      <c r="N436" s="19">
        <f>IF(G436="","",IF(AND(ISNUMBER(K436),ISNUMBER(L436)),IF(OR(F436="GOC",F436="OWC",F436="GWC",F436="OWC_TRANSITION",F436="GOC_TRANSITION"),IF(L436&gt;=K436,"Supports","Conflicts"),"N/A"),"No Sw"))</f>
        <v/>
      </c>
      <c r="O436" s="20">
        <f>IF(G436="","",Settings!$B$6*IF(OR(F436="GOC",F436="OWC",F436="GWC"),1,0.7)+Settings!$B$7*IF(N436="Supports",1,IF(N436="Conflicts",0,0.5))+Settings!$B$8*IF(AND(Master_Data!R436&lt;&gt;"",Master_Data!S436&lt;&gt;"",Master_Data!R437&lt;&gt;"",Master_Data!S437&lt;&gt;""),1,0.5))</f>
        <v/>
      </c>
      <c r="P436" s="19">
        <f>IF(G436="","",IF(N436="Conflicts","SW_CONFLICT",IF(OR(F436="GOC",F436="OWC",F436="GWC"),"DIRECT_FLUID_TRANSITION","TRANSITION_INTERVAL")))</f>
        <v/>
      </c>
      <c r="Q436" s="19">
        <f>IF(G436="","",IF(N436="Conflicts","Investigate contact interpretation / saturation behaviour",IF(OR(F436="OWC",F436="GOC",F436="GWC"),"Candidate contact — validate with logs, pressure and dynamic evidence","Transition zone — do not force to a sharp contact")))</f>
        <v/>
      </c>
    </row>
    <row r="437">
      <c r="A437" s="19">
        <f>IF(AND(Master_Data!A437&lt;&gt;"",Master_Data!A437=Master_Data!A438),Master_Data!A437,"")</f>
        <v/>
      </c>
      <c r="B437" s="19">
        <f>IF($A437="","",Master_Data!B437)</f>
        <v/>
      </c>
      <c r="C437" s="19">
        <f>IF($A437="","",Master_Data!B438)</f>
        <v/>
      </c>
      <c r="D437" s="19">
        <f>IF($A437="","",Master_Data!Q437)</f>
        <v/>
      </c>
      <c r="E437" s="19">
        <f>IF($A437="","",Master_Data!Q438)</f>
        <v/>
      </c>
      <c r="F437" s="19">
        <f>IF($A437="","",IF(AND(D437="GAS",E437="OIL"),"GOC",IF(AND(D437="OIL",E437="WATER"),"OWC",IF(AND(D437="GAS",E437="WATER"),"GWC",IF(AND(D437="OIL",E437="OIL_WATER"),"OWC_TRANSITION",IF(AND(D437="OIL_WATER",E437="WATER"),"OWC_TRANSITION",IF(AND(D437="GAS",E437="GAS_WATER"),"GOC_TRANSITION",IF(AND(D437="GAS_WATER",E437="OIL"),"GOC_TRANSITION",IF(OR(D437="OIL_WATER",D437="GAS_WATER"),"TRANSITION_INTERVAL","")))))))))</f>
        <v/>
      </c>
      <c r="G437" s="20">
        <f>IF(OR(F437="",Master_Data!R437="",Master_Data!S437=""),"",IF(RIGHT(F437,10)="TRANSITION",AVERAGE(Master_Data!R437:Master_Data!S437),AVERAGE(Master_Data!S437,Master_Data!R438)))</f>
        <v/>
      </c>
      <c r="H437" s="20">
        <f>IF(G437="","",MAX(Settings!$B$4,Settings!$B$5*AVERAGE(IF(Master_Data!O437&lt;&gt;"",Master_Data!O437,Master_Data!H437),IF(Master_Data!O438&lt;&gt;"",Master_Data!O438,Master_Data!H438))))</f>
        <v/>
      </c>
      <c r="I437" s="20">
        <f>IF(G437="","",G437-H437)</f>
        <v/>
      </c>
      <c r="J437" s="20">
        <f>IF(G437="","",G437+H437)</f>
        <v/>
      </c>
      <c r="K437" s="20">
        <f>IF($A437="","",Master_Data!G437)</f>
        <v/>
      </c>
      <c r="L437" s="20">
        <f>IF($A437="","",Master_Data!G438)</f>
        <v/>
      </c>
      <c r="M437" s="20">
        <f>IF(AND(ISNUMBER(K437),ISNUMBER(L437)),L437-K437,"")</f>
        <v/>
      </c>
      <c r="N437" s="19">
        <f>IF(G437="","",IF(AND(ISNUMBER(K437),ISNUMBER(L437)),IF(OR(F437="GOC",F437="OWC",F437="GWC",F437="OWC_TRANSITION",F437="GOC_TRANSITION"),IF(L437&gt;=K437,"Supports","Conflicts"),"N/A"),"No Sw"))</f>
        <v/>
      </c>
      <c r="O437" s="20">
        <f>IF(G437="","",Settings!$B$6*IF(OR(F437="GOC",F437="OWC",F437="GWC"),1,0.7)+Settings!$B$7*IF(N437="Supports",1,IF(N437="Conflicts",0,0.5))+Settings!$B$8*IF(AND(Master_Data!R437&lt;&gt;"",Master_Data!S437&lt;&gt;"",Master_Data!R438&lt;&gt;"",Master_Data!S438&lt;&gt;""),1,0.5))</f>
        <v/>
      </c>
      <c r="P437" s="19">
        <f>IF(G437="","",IF(N437="Conflicts","SW_CONFLICT",IF(OR(F437="GOC",F437="OWC",F437="GWC"),"DIRECT_FLUID_TRANSITION","TRANSITION_INTERVAL")))</f>
        <v/>
      </c>
      <c r="Q437" s="19">
        <f>IF(G437="","",IF(N437="Conflicts","Investigate contact interpretation / saturation behaviour",IF(OR(F437="OWC",F437="GOC",F437="GWC"),"Candidate contact — validate with logs, pressure and dynamic evidence","Transition zone — do not force to a sharp contact")))</f>
        <v/>
      </c>
    </row>
    <row r="438">
      <c r="A438" s="19">
        <f>IF(AND(Master_Data!A438&lt;&gt;"",Master_Data!A438=Master_Data!A439),Master_Data!A438,"")</f>
        <v/>
      </c>
      <c r="B438" s="19">
        <f>IF($A438="","",Master_Data!B438)</f>
        <v/>
      </c>
      <c r="C438" s="19">
        <f>IF($A438="","",Master_Data!B439)</f>
        <v/>
      </c>
      <c r="D438" s="19">
        <f>IF($A438="","",Master_Data!Q438)</f>
        <v/>
      </c>
      <c r="E438" s="19">
        <f>IF($A438="","",Master_Data!Q439)</f>
        <v/>
      </c>
      <c r="F438" s="19">
        <f>IF($A438="","",IF(AND(D438="GAS",E438="OIL"),"GOC",IF(AND(D438="OIL",E438="WATER"),"OWC",IF(AND(D438="GAS",E438="WATER"),"GWC",IF(AND(D438="OIL",E438="OIL_WATER"),"OWC_TRANSITION",IF(AND(D438="OIL_WATER",E438="WATER"),"OWC_TRANSITION",IF(AND(D438="GAS",E438="GAS_WATER"),"GOC_TRANSITION",IF(AND(D438="GAS_WATER",E438="OIL"),"GOC_TRANSITION",IF(OR(D438="OIL_WATER",D438="GAS_WATER"),"TRANSITION_INTERVAL","")))))))))</f>
        <v/>
      </c>
      <c r="G438" s="20">
        <f>IF(OR(F438="",Master_Data!R438="",Master_Data!S438=""),"",IF(RIGHT(F438,10)="TRANSITION",AVERAGE(Master_Data!R438:Master_Data!S438),AVERAGE(Master_Data!S438,Master_Data!R439)))</f>
        <v/>
      </c>
      <c r="H438" s="20">
        <f>IF(G438="","",MAX(Settings!$B$4,Settings!$B$5*AVERAGE(IF(Master_Data!O438&lt;&gt;"",Master_Data!O438,Master_Data!H438),IF(Master_Data!O439&lt;&gt;"",Master_Data!O439,Master_Data!H439))))</f>
        <v/>
      </c>
      <c r="I438" s="20">
        <f>IF(G438="","",G438-H438)</f>
        <v/>
      </c>
      <c r="J438" s="20">
        <f>IF(G438="","",G438+H438)</f>
        <v/>
      </c>
      <c r="K438" s="20">
        <f>IF($A438="","",Master_Data!G438)</f>
        <v/>
      </c>
      <c r="L438" s="20">
        <f>IF($A438="","",Master_Data!G439)</f>
        <v/>
      </c>
      <c r="M438" s="20">
        <f>IF(AND(ISNUMBER(K438),ISNUMBER(L438)),L438-K438,"")</f>
        <v/>
      </c>
      <c r="N438" s="19">
        <f>IF(G438="","",IF(AND(ISNUMBER(K438),ISNUMBER(L438)),IF(OR(F438="GOC",F438="OWC",F438="GWC",F438="OWC_TRANSITION",F438="GOC_TRANSITION"),IF(L438&gt;=K438,"Supports","Conflicts"),"N/A"),"No Sw"))</f>
        <v/>
      </c>
      <c r="O438" s="20">
        <f>IF(G438="","",Settings!$B$6*IF(OR(F438="GOC",F438="OWC",F438="GWC"),1,0.7)+Settings!$B$7*IF(N438="Supports",1,IF(N438="Conflicts",0,0.5))+Settings!$B$8*IF(AND(Master_Data!R438&lt;&gt;"",Master_Data!S438&lt;&gt;"",Master_Data!R439&lt;&gt;"",Master_Data!S439&lt;&gt;""),1,0.5))</f>
        <v/>
      </c>
      <c r="P438" s="19">
        <f>IF(G438="","",IF(N438="Conflicts","SW_CONFLICT",IF(OR(F438="GOC",F438="OWC",F438="GWC"),"DIRECT_FLUID_TRANSITION","TRANSITION_INTERVAL")))</f>
        <v/>
      </c>
      <c r="Q438" s="19">
        <f>IF(G438="","",IF(N438="Conflicts","Investigate contact interpretation / saturation behaviour",IF(OR(F438="OWC",F438="GOC",F438="GWC"),"Candidate contact — validate with logs, pressure and dynamic evidence","Transition zone — do not force to a sharp contact")))</f>
        <v/>
      </c>
    </row>
    <row r="439">
      <c r="A439" s="19">
        <f>IF(AND(Master_Data!A439&lt;&gt;"",Master_Data!A439=Master_Data!A440),Master_Data!A439,"")</f>
        <v/>
      </c>
      <c r="B439" s="19">
        <f>IF($A439="","",Master_Data!B439)</f>
        <v/>
      </c>
      <c r="C439" s="19">
        <f>IF($A439="","",Master_Data!B440)</f>
        <v/>
      </c>
      <c r="D439" s="19">
        <f>IF($A439="","",Master_Data!Q439)</f>
        <v/>
      </c>
      <c r="E439" s="19">
        <f>IF($A439="","",Master_Data!Q440)</f>
        <v/>
      </c>
      <c r="F439" s="19">
        <f>IF($A439="","",IF(AND(D439="GAS",E439="OIL"),"GOC",IF(AND(D439="OIL",E439="WATER"),"OWC",IF(AND(D439="GAS",E439="WATER"),"GWC",IF(AND(D439="OIL",E439="OIL_WATER"),"OWC_TRANSITION",IF(AND(D439="OIL_WATER",E439="WATER"),"OWC_TRANSITION",IF(AND(D439="GAS",E439="GAS_WATER"),"GOC_TRANSITION",IF(AND(D439="GAS_WATER",E439="OIL"),"GOC_TRANSITION",IF(OR(D439="OIL_WATER",D439="GAS_WATER"),"TRANSITION_INTERVAL","")))))))))</f>
        <v/>
      </c>
      <c r="G439" s="20">
        <f>IF(OR(F439="",Master_Data!R439="",Master_Data!S439=""),"",IF(RIGHT(F439,10)="TRANSITION",AVERAGE(Master_Data!R439:Master_Data!S439),AVERAGE(Master_Data!S439,Master_Data!R440)))</f>
        <v/>
      </c>
      <c r="H439" s="20">
        <f>IF(G439="","",MAX(Settings!$B$4,Settings!$B$5*AVERAGE(IF(Master_Data!O439&lt;&gt;"",Master_Data!O439,Master_Data!H439),IF(Master_Data!O440&lt;&gt;"",Master_Data!O440,Master_Data!H440))))</f>
        <v/>
      </c>
      <c r="I439" s="20">
        <f>IF(G439="","",G439-H439)</f>
        <v/>
      </c>
      <c r="J439" s="20">
        <f>IF(G439="","",G439+H439)</f>
        <v/>
      </c>
      <c r="K439" s="20">
        <f>IF($A439="","",Master_Data!G439)</f>
        <v/>
      </c>
      <c r="L439" s="20">
        <f>IF($A439="","",Master_Data!G440)</f>
        <v/>
      </c>
      <c r="M439" s="20">
        <f>IF(AND(ISNUMBER(K439),ISNUMBER(L439)),L439-K439,"")</f>
        <v/>
      </c>
      <c r="N439" s="19">
        <f>IF(G439="","",IF(AND(ISNUMBER(K439),ISNUMBER(L439)),IF(OR(F439="GOC",F439="OWC",F439="GWC",F439="OWC_TRANSITION",F439="GOC_TRANSITION"),IF(L439&gt;=K439,"Supports","Conflicts"),"N/A"),"No Sw"))</f>
        <v/>
      </c>
      <c r="O439" s="20">
        <f>IF(G439="","",Settings!$B$6*IF(OR(F439="GOC",F439="OWC",F439="GWC"),1,0.7)+Settings!$B$7*IF(N439="Supports",1,IF(N439="Conflicts",0,0.5))+Settings!$B$8*IF(AND(Master_Data!R439&lt;&gt;"",Master_Data!S439&lt;&gt;"",Master_Data!R440&lt;&gt;"",Master_Data!S440&lt;&gt;""),1,0.5))</f>
        <v/>
      </c>
      <c r="P439" s="19">
        <f>IF(G439="","",IF(N439="Conflicts","SW_CONFLICT",IF(OR(F439="GOC",F439="OWC",F439="GWC"),"DIRECT_FLUID_TRANSITION","TRANSITION_INTERVAL")))</f>
        <v/>
      </c>
      <c r="Q439" s="19">
        <f>IF(G439="","",IF(N439="Conflicts","Investigate contact interpretation / saturation behaviour",IF(OR(F439="OWC",F439="GOC",F439="GWC"),"Candidate contact — validate with logs, pressure and dynamic evidence","Transition zone — do not force to a sharp contact")))</f>
        <v/>
      </c>
    </row>
    <row r="440">
      <c r="A440" s="19">
        <f>IF(AND(Master_Data!A440&lt;&gt;"",Master_Data!A440=Master_Data!A441),Master_Data!A440,"")</f>
        <v/>
      </c>
      <c r="B440" s="19">
        <f>IF($A440="","",Master_Data!B440)</f>
        <v/>
      </c>
      <c r="C440" s="19">
        <f>IF($A440="","",Master_Data!B441)</f>
        <v/>
      </c>
      <c r="D440" s="19">
        <f>IF($A440="","",Master_Data!Q440)</f>
        <v/>
      </c>
      <c r="E440" s="19">
        <f>IF($A440="","",Master_Data!Q441)</f>
        <v/>
      </c>
      <c r="F440" s="19">
        <f>IF($A440="","",IF(AND(D440="GAS",E440="OIL"),"GOC",IF(AND(D440="OIL",E440="WATER"),"OWC",IF(AND(D440="GAS",E440="WATER"),"GWC",IF(AND(D440="OIL",E440="OIL_WATER"),"OWC_TRANSITION",IF(AND(D440="OIL_WATER",E440="WATER"),"OWC_TRANSITION",IF(AND(D440="GAS",E440="GAS_WATER"),"GOC_TRANSITION",IF(AND(D440="GAS_WATER",E440="OIL"),"GOC_TRANSITION",IF(OR(D440="OIL_WATER",D440="GAS_WATER"),"TRANSITION_INTERVAL","")))))))))</f>
        <v/>
      </c>
      <c r="G440" s="20">
        <f>IF(OR(F440="",Master_Data!R440="",Master_Data!S440=""),"",IF(RIGHT(F440,10)="TRANSITION",AVERAGE(Master_Data!R440:Master_Data!S440),AVERAGE(Master_Data!S440,Master_Data!R441)))</f>
        <v/>
      </c>
      <c r="H440" s="20">
        <f>IF(G440="","",MAX(Settings!$B$4,Settings!$B$5*AVERAGE(IF(Master_Data!O440&lt;&gt;"",Master_Data!O440,Master_Data!H440),IF(Master_Data!O441&lt;&gt;"",Master_Data!O441,Master_Data!H441))))</f>
        <v/>
      </c>
      <c r="I440" s="20">
        <f>IF(G440="","",G440-H440)</f>
        <v/>
      </c>
      <c r="J440" s="20">
        <f>IF(G440="","",G440+H440)</f>
        <v/>
      </c>
      <c r="K440" s="20">
        <f>IF($A440="","",Master_Data!G440)</f>
        <v/>
      </c>
      <c r="L440" s="20">
        <f>IF($A440="","",Master_Data!G441)</f>
        <v/>
      </c>
      <c r="M440" s="20">
        <f>IF(AND(ISNUMBER(K440),ISNUMBER(L440)),L440-K440,"")</f>
        <v/>
      </c>
      <c r="N440" s="19">
        <f>IF(G440="","",IF(AND(ISNUMBER(K440),ISNUMBER(L440)),IF(OR(F440="GOC",F440="OWC",F440="GWC",F440="OWC_TRANSITION",F440="GOC_TRANSITION"),IF(L440&gt;=K440,"Supports","Conflicts"),"N/A"),"No Sw"))</f>
        <v/>
      </c>
      <c r="O440" s="20">
        <f>IF(G440="","",Settings!$B$6*IF(OR(F440="GOC",F440="OWC",F440="GWC"),1,0.7)+Settings!$B$7*IF(N440="Supports",1,IF(N440="Conflicts",0,0.5))+Settings!$B$8*IF(AND(Master_Data!R440&lt;&gt;"",Master_Data!S440&lt;&gt;"",Master_Data!R441&lt;&gt;"",Master_Data!S441&lt;&gt;""),1,0.5))</f>
        <v/>
      </c>
      <c r="P440" s="19">
        <f>IF(G440="","",IF(N440="Conflicts","SW_CONFLICT",IF(OR(F440="GOC",F440="OWC",F440="GWC"),"DIRECT_FLUID_TRANSITION","TRANSITION_INTERVAL")))</f>
        <v/>
      </c>
      <c r="Q440" s="19">
        <f>IF(G440="","",IF(N440="Conflicts","Investigate contact interpretation / saturation behaviour",IF(OR(F440="OWC",F440="GOC",F440="GWC"),"Candidate contact — validate with logs, pressure and dynamic evidence","Transition zone — do not force to a sharp contact")))</f>
        <v/>
      </c>
    </row>
    <row r="441">
      <c r="A441" s="19">
        <f>IF(AND(Master_Data!A441&lt;&gt;"",Master_Data!A441=Master_Data!A442),Master_Data!A441,"")</f>
        <v/>
      </c>
      <c r="B441" s="19">
        <f>IF($A441="","",Master_Data!B441)</f>
        <v/>
      </c>
      <c r="C441" s="19">
        <f>IF($A441="","",Master_Data!B442)</f>
        <v/>
      </c>
      <c r="D441" s="19">
        <f>IF($A441="","",Master_Data!Q441)</f>
        <v/>
      </c>
      <c r="E441" s="19">
        <f>IF($A441="","",Master_Data!Q442)</f>
        <v/>
      </c>
      <c r="F441" s="19">
        <f>IF($A441="","",IF(AND(D441="GAS",E441="OIL"),"GOC",IF(AND(D441="OIL",E441="WATER"),"OWC",IF(AND(D441="GAS",E441="WATER"),"GWC",IF(AND(D441="OIL",E441="OIL_WATER"),"OWC_TRANSITION",IF(AND(D441="OIL_WATER",E441="WATER"),"OWC_TRANSITION",IF(AND(D441="GAS",E441="GAS_WATER"),"GOC_TRANSITION",IF(AND(D441="GAS_WATER",E441="OIL"),"GOC_TRANSITION",IF(OR(D441="OIL_WATER",D441="GAS_WATER"),"TRANSITION_INTERVAL","")))))))))</f>
        <v/>
      </c>
      <c r="G441" s="20">
        <f>IF(OR(F441="",Master_Data!R441="",Master_Data!S441=""),"",IF(RIGHT(F441,10)="TRANSITION",AVERAGE(Master_Data!R441:Master_Data!S441),AVERAGE(Master_Data!S441,Master_Data!R442)))</f>
        <v/>
      </c>
      <c r="H441" s="20">
        <f>IF(G441="","",MAX(Settings!$B$4,Settings!$B$5*AVERAGE(IF(Master_Data!O441&lt;&gt;"",Master_Data!O441,Master_Data!H441),IF(Master_Data!O442&lt;&gt;"",Master_Data!O442,Master_Data!H442))))</f>
        <v/>
      </c>
      <c r="I441" s="20">
        <f>IF(G441="","",G441-H441)</f>
        <v/>
      </c>
      <c r="J441" s="20">
        <f>IF(G441="","",G441+H441)</f>
        <v/>
      </c>
      <c r="K441" s="20">
        <f>IF($A441="","",Master_Data!G441)</f>
        <v/>
      </c>
      <c r="L441" s="20">
        <f>IF($A441="","",Master_Data!G442)</f>
        <v/>
      </c>
      <c r="M441" s="20">
        <f>IF(AND(ISNUMBER(K441),ISNUMBER(L441)),L441-K441,"")</f>
        <v/>
      </c>
      <c r="N441" s="19">
        <f>IF(G441="","",IF(AND(ISNUMBER(K441),ISNUMBER(L441)),IF(OR(F441="GOC",F441="OWC",F441="GWC",F441="OWC_TRANSITION",F441="GOC_TRANSITION"),IF(L441&gt;=K441,"Supports","Conflicts"),"N/A"),"No Sw"))</f>
        <v/>
      </c>
      <c r="O441" s="20">
        <f>IF(G441="","",Settings!$B$6*IF(OR(F441="GOC",F441="OWC",F441="GWC"),1,0.7)+Settings!$B$7*IF(N441="Supports",1,IF(N441="Conflicts",0,0.5))+Settings!$B$8*IF(AND(Master_Data!R441&lt;&gt;"",Master_Data!S441&lt;&gt;"",Master_Data!R442&lt;&gt;"",Master_Data!S442&lt;&gt;""),1,0.5))</f>
        <v/>
      </c>
      <c r="P441" s="19">
        <f>IF(G441="","",IF(N441="Conflicts","SW_CONFLICT",IF(OR(F441="GOC",F441="OWC",F441="GWC"),"DIRECT_FLUID_TRANSITION","TRANSITION_INTERVAL")))</f>
        <v/>
      </c>
      <c r="Q441" s="19">
        <f>IF(G441="","",IF(N441="Conflicts","Investigate contact interpretation / saturation behaviour",IF(OR(F441="OWC",F441="GOC",F441="GWC"),"Candidate contact — validate with logs, pressure and dynamic evidence","Transition zone — do not force to a sharp contact")))</f>
        <v/>
      </c>
    </row>
    <row r="442">
      <c r="A442" s="19">
        <f>IF(AND(Master_Data!A442&lt;&gt;"",Master_Data!A442=Master_Data!A443),Master_Data!A442,"")</f>
        <v/>
      </c>
      <c r="B442" s="19">
        <f>IF($A442="","",Master_Data!B442)</f>
        <v/>
      </c>
      <c r="C442" s="19">
        <f>IF($A442="","",Master_Data!B443)</f>
        <v/>
      </c>
      <c r="D442" s="19">
        <f>IF($A442="","",Master_Data!Q442)</f>
        <v/>
      </c>
      <c r="E442" s="19">
        <f>IF($A442="","",Master_Data!Q443)</f>
        <v/>
      </c>
      <c r="F442" s="19">
        <f>IF($A442="","",IF(AND(D442="GAS",E442="OIL"),"GOC",IF(AND(D442="OIL",E442="WATER"),"OWC",IF(AND(D442="GAS",E442="WATER"),"GWC",IF(AND(D442="OIL",E442="OIL_WATER"),"OWC_TRANSITION",IF(AND(D442="OIL_WATER",E442="WATER"),"OWC_TRANSITION",IF(AND(D442="GAS",E442="GAS_WATER"),"GOC_TRANSITION",IF(AND(D442="GAS_WATER",E442="OIL"),"GOC_TRANSITION",IF(OR(D442="OIL_WATER",D442="GAS_WATER"),"TRANSITION_INTERVAL","")))))))))</f>
        <v/>
      </c>
      <c r="G442" s="20">
        <f>IF(OR(F442="",Master_Data!R442="",Master_Data!S442=""),"",IF(RIGHT(F442,10)="TRANSITION",AVERAGE(Master_Data!R442:Master_Data!S442),AVERAGE(Master_Data!S442,Master_Data!R443)))</f>
        <v/>
      </c>
      <c r="H442" s="20">
        <f>IF(G442="","",MAX(Settings!$B$4,Settings!$B$5*AVERAGE(IF(Master_Data!O442&lt;&gt;"",Master_Data!O442,Master_Data!H442),IF(Master_Data!O443&lt;&gt;"",Master_Data!O443,Master_Data!H443))))</f>
        <v/>
      </c>
      <c r="I442" s="20">
        <f>IF(G442="","",G442-H442)</f>
        <v/>
      </c>
      <c r="J442" s="20">
        <f>IF(G442="","",G442+H442)</f>
        <v/>
      </c>
      <c r="K442" s="20">
        <f>IF($A442="","",Master_Data!G442)</f>
        <v/>
      </c>
      <c r="L442" s="20">
        <f>IF($A442="","",Master_Data!G443)</f>
        <v/>
      </c>
      <c r="M442" s="20">
        <f>IF(AND(ISNUMBER(K442),ISNUMBER(L442)),L442-K442,"")</f>
        <v/>
      </c>
      <c r="N442" s="19">
        <f>IF(G442="","",IF(AND(ISNUMBER(K442),ISNUMBER(L442)),IF(OR(F442="GOC",F442="OWC",F442="GWC",F442="OWC_TRANSITION",F442="GOC_TRANSITION"),IF(L442&gt;=K442,"Supports","Conflicts"),"N/A"),"No Sw"))</f>
        <v/>
      </c>
      <c r="O442" s="20">
        <f>IF(G442="","",Settings!$B$6*IF(OR(F442="GOC",F442="OWC",F442="GWC"),1,0.7)+Settings!$B$7*IF(N442="Supports",1,IF(N442="Conflicts",0,0.5))+Settings!$B$8*IF(AND(Master_Data!R442&lt;&gt;"",Master_Data!S442&lt;&gt;"",Master_Data!R443&lt;&gt;"",Master_Data!S443&lt;&gt;""),1,0.5))</f>
        <v/>
      </c>
      <c r="P442" s="19">
        <f>IF(G442="","",IF(N442="Conflicts","SW_CONFLICT",IF(OR(F442="GOC",F442="OWC",F442="GWC"),"DIRECT_FLUID_TRANSITION","TRANSITION_INTERVAL")))</f>
        <v/>
      </c>
      <c r="Q442" s="19">
        <f>IF(G442="","",IF(N442="Conflicts","Investigate contact interpretation / saturation behaviour",IF(OR(F442="OWC",F442="GOC",F442="GWC"),"Candidate contact — validate with logs, pressure and dynamic evidence","Transition zone — do not force to a sharp contact")))</f>
        <v/>
      </c>
    </row>
    <row r="443">
      <c r="A443" s="19">
        <f>IF(AND(Master_Data!A443&lt;&gt;"",Master_Data!A443=Master_Data!A444),Master_Data!A443,"")</f>
        <v/>
      </c>
      <c r="B443" s="19">
        <f>IF($A443="","",Master_Data!B443)</f>
        <v/>
      </c>
      <c r="C443" s="19">
        <f>IF($A443="","",Master_Data!B444)</f>
        <v/>
      </c>
      <c r="D443" s="19">
        <f>IF($A443="","",Master_Data!Q443)</f>
        <v/>
      </c>
      <c r="E443" s="19">
        <f>IF($A443="","",Master_Data!Q444)</f>
        <v/>
      </c>
      <c r="F443" s="19">
        <f>IF($A443="","",IF(AND(D443="GAS",E443="OIL"),"GOC",IF(AND(D443="OIL",E443="WATER"),"OWC",IF(AND(D443="GAS",E443="WATER"),"GWC",IF(AND(D443="OIL",E443="OIL_WATER"),"OWC_TRANSITION",IF(AND(D443="OIL_WATER",E443="WATER"),"OWC_TRANSITION",IF(AND(D443="GAS",E443="GAS_WATER"),"GOC_TRANSITION",IF(AND(D443="GAS_WATER",E443="OIL"),"GOC_TRANSITION",IF(OR(D443="OIL_WATER",D443="GAS_WATER"),"TRANSITION_INTERVAL","")))))))))</f>
        <v/>
      </c>
      <c r="G443" s="20">
        <f>IF(OR(F443="",Master_Data!R443="",Master_Data!S443=""),"",IF(RIGHT(F443,10)="TRANSITION",AVERAGE(Master_Data!R443:Master_Data!S443),AVERAGE(Master_Data!S443,Master_Data!R444)))</f>
        <v/>
      </c>
      <c r="H443" s="20">
        <f>IF(G443="","",MAX(Settings!$B$4,Settings!$B$5*AVERAGE(IF(Master_Data!O443&lt;&gt;"",Master_Data!O443,Master_Data!H443),IF(Master_Data!O444&lt;&gt;"",Master_Data!O444,Master_Data!H444))))</f>
        <v/>
      </c>
      <c r="I443" s="20">
        <f>IF(G443="","",G443-H443)</f>
        <v/>
      </c>
      <c r="J443" s="20">
        <f>IF(G443="","",G443+H443)</f>
        <v/>
      </c>
      <c r="K443" s="20">
        <f>IF($A443="","",Master_Data!G443)</f>
        <v/>
      </c>
      <c r="L443" s="20">
        <f>IF($A443="","",Master_Data!G444)</f>
        <v/>
      </c>
      <c r="M443" s="20">
        <f>IF(AND(ISNUMBER(K443),ISNUMBER(L443)),L443-K443,"")</f>
        <v/>
      </c>
      <c r="N443" s="19">
        <f>IF(G443="","",IF(AND(ISNUMBER(K443),ISNUMBER(L443)),IF(OR(F443="GOC",F443="OWC",F443="GWC",F443="OWC_TRANSITION",F443="GOC_TRANSITION"),IF(L443&gt;=K443,"Supports","Conflicts"),"N/A"),"No Sw"))</f>
        <v/>
      </c>
      <c r="O443" s="20">
        <f>IF(G443="","",Settings!$B$6*IF(OR(F443="GOC",F443="OWC",F443="GWC"),1,0.7)+Settings!$B$7*IF(N443="Supports",1,IF(N443="Conflicts",0,0.5))+Settings!$B$8*IF(AND(Master_Data!R443&lt;&gt;"",Master_Data!S443&lt;&gt;"",Master_Data!R444&lt;&gt;"",Master_Data!S444&lt;&gt;""),1,0.5))</f>
        <v/>
      </c>
      <c r="P443" s="19">
        <f>IF(G443="","",IF(N443="Conflicts","SW_CONFLICT",IF(OR(F443="GOC",F443="OWC",F443="GWC"),"DIRECT_FLUID_TRANSITION","TRANSITION_INTERVAL")))</f>
        <v/>
      </c>
      <c r="Q443" s="19">
        <f>IF(G443="","",IF(N443="Conflicts","Investigate contact interpretation / saturation behaviour",IF(OR(F443="OWC",F443="GOC",F443="GWC"),"Candidate contact — validate with logs, pressure and dynamic evidence","Transition zone — do not force to a sharp contact")))</f>
        <v/>
      </c>
    </row>
    <row r="444">
      <c r="A444" s="19">
        <f>IF(AND(Master_Data!A444&lt;&gt;"",Master_Data!A444=Master_Data!A445),Master_Data!A444,"")</f>
        <v/>
      </c>
      <c r="B444" s="19">
        <f>IF($A444="","",Master_Data!B444)</f>
        <v/>
      </c>
      <c r="C444" s="19">
        <f>IF($A444="","",Master_Data!B445)</f>
        <v/>
      </c>
      <c r="D444" s="19">
        <f>IF($A444="","",Master_Data!Q444)</f>
        <v/>
      </c>
      <c r="E444" s="19">
        <f>IF($A444="","",Master_Data!Q445)</f>
        <v/>
      </c>
      <c r="F444" s="19">
        <f>IF($A444="","",IF(AND(D444="GAS",E444="OIL"),"GOC",IF(AND(D444="OIL",E444="WATER"),"OWC",IF(AND(D444="GAS",E444="WATER"),"GWC",IF(AND(D444="OIL",E444="OIL_WATER"),"OWC_TRANSITION",IF(AND(D444="OIL_WATER",E444="WATER"),"OWC_TRANSITION",IF(AND(D444="GAS",E444="GAS_WATER"),"GOC_TRANSITION",IF(AND(D444="GAS_WATER",E444="OIL"),"GOC_TRANSITION",IF(OR(D444="OIL_WATER",D444="GAS_WATER"),"TRANSITION_INTERVAL","")))))))))</f>
        <v/>
      </c>
      <c r="G444" s="20">
        <f>IF(OR(F444="",Master_Data!R444="",Master_Data!S444=""),"",IF(RIGHT(F444,10)="TRANSITION",AVERAGE(Master_Data!R444:Master_Data!S444),AVERAGE(Master_Data!S444,Master_Data!R445)))</f>
        <v/>
      </c>
      <c r="H444" s="20">
        <f>IF(G444="","",MAX(Settings!$B$4,Settings!$B$5*AVERAGE(IF(Master_Data!O444&lt;&gt;"",Master_Data!O444,Master_Data!H444),IF(Master_Data!O445&lt;&gt;"",Master_Data!O445,Master_Data!H445))))</f>
        <v/>
      </c>
      <c r="I444" s="20">
        <f>IF(G444="","",G444-H444)</f>
        <v/>
      </c>
      <c r="J444" s="20">
        <f>IF(G444="","",G444+H444)</f>
        <v/>
      </c>
      <c r="K444" s="20">
        <f>IF($A444="","",Master_Data!G444)</f>
        <v/>
      </c>
      <c r="L444" s="20">
        <f>IF($A444="","",Master_Data!G445)</f>
        <v/>
      </c>
      <c r="M444" s="20">
        <f>IF(AND(ISNUMBER(K444),ISNUMBER(L444)),L444-K444,"")</f>
        <v/>
      </c>
      <c r="N444" s="19">
        <f>IF(G444="","",IF(AND(ISNUMBER(K444),ISNUMBER(L444)),IF(OR(F444="GOC",F444="OWC",F444="GWC",F444="OWC_TRANSITION",F444="GOC_TRANSITION"),IF(L444&gt;=K444,"Supports","Conflicts"),"N/A"),"No Sw"))</f>
        <v/>
      </c>
      <c r="O444" s="20">
        <f>IF(G444="","",Settings!$B$6*IF(OR(F444="GOC",F444="OWC",F444="GWC"),1,0.7)+Settings!$B$7*IF(N444="Supports",1,IF(N444="Conflicts",0,0.5))+Settings!$B$8*IF(AND(Master_Data!R444&lt;&gt;"",Master_Data!S444&lt;&gt;"",Master_Data!R445&lt;&gt;"",Master_Data!S445&lt;&gt;""),1,0.5))</f>
        <v/>
      </c>
      <c r="P444" s="19">
        <f>IF(G444="","",IF(N444="Conflicts","SW_CONFLICT",IF(OR(F444="GOC",F444="OWC",F444="GWC"),"DIRECT_FLUID_TRANSITION","TRANSITION_INTERVAL")))</f>
        <v/>
      </c>
      <c r="Q444" s="19">
        <f>IF(G444="","",IF(N444="Conflicts","Investigate contact interpretation / saturation behaviour",IF(OR(F444="OWC",F444="GOC",F444="GWC"),"Candidate contact — validate with logs, pressure and dynamic evidence","Transition zone — do not force to a sharp contact")))</f>
        <v/>
      </c>
    </row>
    <row r="445">
      <c r="A445" s="19">
        <f>IF(AND(Master_Data!A445&lt;&gt;"",Master_Data!A445=Master_Data!A446),Master_Data!A445,"")</f>
        <v/>
      </c>
      <c r="B445" s="19">
        <f>IF($A445="","",Master_Data!B445)</f>
        <v/>
      </c>
      <c r="C445" s="19">
        <f>IF($A445="","",Master_Data!B446)</f>
        <v/>
      </c>
      <c r="D445" s="19">
        <f>IF($A445="","",Master_Data!Q445)</f>
        <v/>
      </c>
      <c r="E445" s="19">
        <f>IF($A445="","",Master_Data!Q446)</f>
        <v/>
      </c>
      <c r="F445" s="19">
        <f>IF($A445="","",IF(AND(D445="GAS",E445="OIL"),"GOC",IF(AND(D445="OIL",E445="WATER"),"OWC",IF(AND(D445="GAS",E445="WATER"),"GWC",IF(AND(D445="OIL",E445="OIL_WATER"),"OWC_TRANSITION",IF(AND(D445="OIL_WATER",E445="WATER"),"OWC_TRANSITION",IF(AND(D445="GAS",E445="GAS_WATER"),"GOC_TRANSITION",IF(AND(D445="GAS_WATER",E445="OIL"),"GOC_TRANSITION",IF(OR(D445="OIL_WATER",D445="GAS_WATER"),"TRANSITION_INTERVAL","")))))))))</f>
        <v/>
      </c>
      <c r="G445" s="20">
        <f>IF(OR(F445="",Master_Data!R445="",Master_Data!S445=""),"",IF(RIGHT(F445,10)="TRANSITION",AVERAGE(Master_Data!R445:Master_Data!S445),AVERAGE(Master_Data!S445,Master_Data!R446)))</f>
        <v/>
      </c>
      <c r="H445" s="20">
        <f>IF(G445="","",MAX(Settings!$B$4,Settings!$B$5*AVERAGE(IF(Master_Data!O445&lt;&gt;"",Master_Data!O445,Master_Data!H445),IF(Master_Data!O446&lt;&gt;"",Master_Data!O446,Master_Data!H446))))</f>
        <v/>
      </c>
      <c r="I445" s="20">
        <f>IF(G445="","",G445-H445)</f>
        <v/>
      </c>
      <c r="J445" s="20">
        <f>IF(G445="","",G445+H445)</f>
        <v/>
      </c>
      <c r="K445" s="20">
        <f>IF($A445="","",Master_Data!G445)</f>
        <v/>
      </c>
      <c r="L445" s="20">
        <f>IF($A445="","",Master_Data!G446)</f>
        <v/>
      </c>
      <c r="M445" s="20">
        <f>IF(AND(ISNUMBER(K445),ISNUMBER(L445)),L445-K445,"")</f>
        <v/>
      </c>
      <c r="N445" s="19">
        <f>IF(G445="","",IF(AND(ISNUMBER(K445),ISNUMBER(L445)),IF(OR(F445="GOC",F445="OWC",F445="GWC",F445="OWC_TRANSITION",F445="GOC_TRANSITION"),IF(L445&gt;=K445,"Supports","Conflicts"),"N/A"),"No Sw"))</f>
        <v/>
      </c>
      <c r="O445" s="20">
        <f>IF(G445="","",Settings!$B$6*IF(OR(F445="GOC",F445="OWC",F445="GWC"),1,0.7)+Settings!$B$7*IF(N445="Supports",1,IF(N445="Conflicts",0,0.5))+Settings!$B$8*IF(AND(Master_Data!R445&lt;&gt;"",Master_Data!S445&lt;&gt;"",Master_Data!R446&lt;&gt;"",Master_Data!S446&lt;&gt;""),1,0.5))</f>
        <v/>
      </c>
      <c r="P445" s="19">
        <f>IF(G445="","",IF(N445="Conflicts","SW_CONFLICT",IF(OR(F445="GOC",F445="OWC",F445="GWC"),"DIRECT_FLUID_TRANSITION","TRANSITION_INTERVAL")))</f>
        <v/>
      </c>
      <c r="Q445" s="19">
        <f>IF(G445="","",IF(N445="Conflicts","Investigate contact interpretation / saturation behaviour",IF(OR(F445="OWC",F445="GOC",F445="GWC"),"Candidate contact — validate with logs, pressure and dynamic evidence","Transition zone — do not force to a sharp contact")))</f>
        <v/>
      </c>
    </row>
    <row r="446">
      <c r="A446" s="19">
        <f>IF(AND(Master_Data!A446&lt;&gt;"",Master_Data!A446=Master_Data!A447),Master_Data!A446,"")</f>
        <v/>
      </c>
      <c r="B446" s="19">
        <f>IF($A446="","",Master_Data!B446)</f>
        <v/>
      </c>
      <c r="C446" s="19">
        <f>IF($A446="","",Master_Data!B447)</f>
        <v/>
      </c>
      <c r="D446" s="19">
        <f>IF($A446="","",Master_Data!Q446)</f>
        <v/>
      </c>
      <c r="E446" s="19">
        <f>IF($A446="","",Master_Data!Q447)</f>
        <v/>
      </c>
      <c r="F446" s="19">
        <f>IF($A446="","",IF(AND(D446="GAS",E446="OIL"),"GOC",IF(AND(D446="OIL",E446="WATER"),"OWC",IF(AND(D446="GAS",E446="WATER"),"GWC",IF(AND(D446="OIL",E446="OIL_WATER"),"OWC_TRANSITION",IF(AND(D446="OIL_WATER",E446="WATER"),"OWC_TRANSITION",IF(AND(D446="GAS",E446="GAS_WATER"),"GOC_TRANSITION",IF(AND(D446="GAS_WATER",E446="OIL"),"GOC_TRANSITION",IF(OR(D446="OIL_WATER",D446="GAS_WATER"),"TRANSITION_INTERVAL","")))))))))</f>
        <v/>
      </c>
      <c r="G446" s="20">
        <f>IF(OR(F446="",Master_Data!R446="",Master_Data!S446=""),"",IF(RIGHT(F446,10)="TRANSITION",AVERAGE(Master_Data!R446:Master_Data!S446),AVERAGE(Master_Data!S446,Master_Data!R447)))</f>
        <v/>
      </c>
      <c r="H446" s="20">
        <f>IF(G446="","",MAX(Settings!$B$4,Settings!$B$5*AVERAGE(IF(Master_Data!O446&lt;&gt;"",Master_Data!O446,Master_Data!H446),IF(Master_Data!O447&lt;&gt;"",Master_Data!O447,Master_Data!H447))))</f>
        <v/>
      </c>
      <c r="I446" s="20">
        <f>IF(G446="","",G446-H446)</f>
        <v/>
      </c>
      <c r="J446" s="20">
        <f>IF(G446="","",G446+H446)</f>
        <v/>
      </c>
      <c r="K446" s="20">
        <f>IF($A446="","",Master_Data!G446)</f>
        <v/>
      </c>
      <c r="L446" s="20">
        <f>IF($A446="","",Master_Data!G447)</f>
        <v/>
      </c>
      <c r="M446" s="20">
        <f>IF(AND(ISNUMBER(K446),ISNUMBER(L446)),L446-K446,"")</f>
        <v/>
      </c>
      <c r="N446" s="19">
        <f>IF(G446="","",IF(AND(ISNUMBER(K446),ISNUMBER(L446)),IF(OR(F446="GOC",F446="OWC",F446="GWC",F446="OWC_TRANSITION",F446="GOC_TRANSITION"),IF(L446&gt;=K446,"Supports","Conflicts"),"N/A"),"No Sw"))</f>
        <v/>
      </c>
      <c r="O446" s="20">
        <f>IF(G446="","",Settings!$B$6*IF(OR(F446="GOC",F446="OWC",F446="GWC"),1,0.7)+Settings!$B$7*IF(N446="Supports",1,IF(N446="Conflicts",0,0.5))+Settings!$B$8*IF(AND(Master_Data!R446&lt;&gt;"",Master_Data!S446&lt;&gt;"",Master_Data!R447&lt;&gt;"",Master_Data!S447&lt;&gt;""),1,0.5))</f>
        <v/>
      </c>
      <c r="P446" s="19">
        <f>IF(G446="","",IF(N446="Conflicts","SW_CONFLICT",IF(OR(F446="GOC",F446="OWC",F446="GWC"),"DIRECT_FLUID_TRANSITION","TRANSITION_INTERVAL")))</f>
        <v/>
      </c>
      <c r="Q446" s="19">
        <f>IF(G446="","",IF(N446="Conflicts","Investigate contact interpretation / saturation behaviour",IF(OR(F446="OWC",F446="GOC",F446="GWC"),"Candidate contact — validate with logs, pressure and dynamic evidence","Transition zone — do not force to a sharp contact")))</f>
        <v/>
      </c>
    </row>
    <row r="447">
      <c r="A447" s="19">
        <f>IF(AND(Master_Data!A447&lt;&gt;"",Master_Data!A447=Master_Data!A448),Master_Data!A447,"")</f>
        <v/>
      </c>
      <c r="B447" s="19">
        <f>IF($A447="","",Master_Data!B447)</f>
        <v/>
      </c>
      <c r="C447" s="19">
        <f>IF($A447="","",Master_Data!B448)</f>
        <v/>
      </c>
      <c r="D447" s="19">
        <f>IF($A447="","",Master_Data!Q447)</f>
        <v/>
      </c>
      <c r="E447" s="19">
        <f>IF($A447="","",Master_Data!Q448)</f>
        <v/>
      </c>
      <c r="F447" s="19">
        <f>IF($A447="","",IF(AND(D447="GAS",E447="OIL"),"GOC",IF(AND(D447="OIL",E447="WATER"),"OWC",IF(AND(D447="GAS",E447="WATER"),"GWC",IF(AND(D447="OIL",E447="OIL_WATER"),"OWC_TRANSITION",IF(AND(D447="OIL_WATER",E447="WATER"),"OWC_TRANSITION",IF(AND(D447="GAS",E447="GAS_WATER"),"GOC_TRANSITION",IF(AND(D447="GAS_WATER",E447="OIL"),"GOC_TRANSITION",IF(OR(D447="OIL_WATER",D447="GAS_WATER"),"TRANSITION_INTERVAL","")))))))))</f>
        <v/>
      </c>
      <c r="G447" s="20">
        <f>IF(OR(F447="",Master_Data!R447="",Master_Data!S447=""),"",IF(RIGHT(F447,10)="TRANSITION",AVERAGE(Master_Data!R447:Master_Data!S447),AVERAGE(Master_Data!S447,Master_Data!R448)))</f>
        <v/>
      </c>
      <c r="H447" s="20">
        <f>IF(G447="","",MAX(Settings!$B$4,Settings!$B$5*AVERAGE(IF(Master_Data!O447&lt;&gt;"",Master_Data!O447,Master_Data!H447),IF(Master_Data!O448&lt;&gt;"",Master_Data!O448,Master_Data!H448))))</f>
        <v/>
      </c>
      <c r="I447" s="20">
        <f>IF(G447="","",G447-H447)</f>
        <v/>
      </c>
      <c r="J447" s="20">
        <f>IF(G447="","",G447+H447)</f>
        <v/>
      </c>
      <c r="K447" s="20">
        <f>IF($A447="","",Master_Data!G447)</f>
        <v/>
      </c>
      <c r="L447" s="20">
        <f>IF($A447="","",Master_Data!G448)</f>
        <v/>
      </c>
      <c r="M447" s="20">
        <f>IF(AND(ISNUMBER(K447),ISNUMBER(L447)),L447-K447,"")</f>
        <v/>
      </c>
      <c r="N447" s="19">
        <f>IF(G447="","",IF(AND(ISNUMBER(K447),ISNUMBER(L447)),IF(OR(F447="GOC",F447="OWC",F447="GWC",F447="OWC_TRANSITION",F447="GOC_TRANSITION"),IF(L447&gt;=K447,"Supports","Conflicts"),"N/A"),"No Sw"))</f>
        <v/>
      </c>
      <c r="O447" s="20">
        <f>IF(G447="","",Settings!$B$6*IF(OR(F447="GOC",F447="OWC",F447="GWC"),1,0.7)+Settings!$B$7*IF(N447="Supports",1,IF(N447="Conflicts",0,0.5))+Settings!$B$8*IF(AND(Master_Data!R447&lt;&gt;"",Master_Data!S447&lt;&gt;"",Master_Data!R448&lt;&gt;"",Master_Data!S448&lt;&gt;""),1,0.5))</f>
        <v/>
      </c>
      <c r="P447" s="19">
        <f>IF(G447="","",IF(N447="Conflicts","SW_CONFLICT",IF(OR(F447="GOC",F447="OWC",F447="GWC"),"DIRECT_FLUID_TRANSITION","TRANSITION_INTERVAL")))</f>
        <v/>
      </c>
      <c r="Q447" s="19">
        <f>IF(G447="","",IF(N447="Conflicts","Investigate contact interpretation / saturation behaviour",IF(OR(F447="OWC",F447="GOC",F447="GWC"),"Candidate contact — validate with logs, pressure and dynamic evidence","Transition zone — do not force to a sharp contact")))</f>
        <v/>
      </c>
    </row>
    <row r="448">
      <c r="A448" s="19">
        <f>IF(AND(Master_Data!A448&lt;&gt;"",Master_Data!A448=Master_Data!A449),Master_Data!A448,"")</f>
        <v/>
      </c>
      <c r="B448" s="19">
        <f>IF($A448="","",Master_Data!B448)</f>
        <v/>
      </c>
      <c r="C448" s="19">
        <f>IF($A448="","",Master_Data!B449)</f>
        <v/>
      </c>
      <c r="D448" s="19">
        <f>IF($A448="","",Master_Data!Q448)</f>
        <v/>
      </c>
      <c r="E448" s="19">
        <f>IF($A448="","",Master_Data!Q449)</f>
        <v/>
      </c>
      <c r="F448" s="19">
        <f>IF($A448="","",IF(AND(D448="GAS",E448="OIL"),"GOC",IF(AND(D448="OIL",E448="WATER"),"OWC",IF(AND(D448="GAS",E448="WATER"),"GWC",IF(AND(D448="OIL",E448="OIL_WATER"),"OWC_TRANSITION",IF(AND(D448="OIL_WATER",E448="WATER"),"OWC_TRANSITION",IF(AND(D448="GAS",E448="GAS_WATER"),"GOC_TRANSITION",IF(AND(D448="GAS_WATER",E448="OIL"),"GOC_TRANSITION",IF(OR(D448="OIL_WATER",D448="GAS_WATER"),"TRANSITION_INTERVAL","")))))))))</f>
        <v/>
      </c>
      <c r="G448" s="20">
        <f>IF(OR(F448="",Master_Data!R448="",Master_Data!S448=""),"",IF(RIGHT(F448,10)="TRANSITION",AVERAGE(Master_Data!R448:Master_Data!S448),AVERAGE(Master_Data!S448,Master_Data!R449)))</f>
        <v/>
      </c>
      <c r="H448" s="20">
        <f>IF(G448="","",MAX(Settings!$B$4,Settings!$B$5*AVERAGE(IF(Master_Data!O448&lt;&gt;"",Master_Data!O448,Master_Data!H448),IF(Master_Data!O449&lt;&gt;"",Master_Data!O449,Master_Data!H449))))</f>
        <v/>
      </c>
      <c r="I448" s="20">
        <f>IF(G448="","",G448-H448)</f>
        <v/>
      </c>
      <c r="J448" s="20">
        <f>IF(G448="","",G448+H448)</f>
        <v/>
      </c>
      <c r="K448" s="20">
        <f>IF($A448="","",Master_Data!G448)</f>
        <v/>
      </c>
      <c r="L448" s="20">
        <f>IF($A448="","",Master_Data!G449)</f>
        <v/>
      </c>
      <c r="M448" s="20">
        <f>IF(AND(ISNUMBER(K448),ISNUMBER(L448)),L448-K448,"")</f>
        <v/>
      </c>
      <c r="N448" s="19">
        <f>IF(G448="","",IF(AND(ISNUMBER(K448),ISNUMBER(L448)),IF(OR(F448="GOC",F448="OWC",F448="GWC",F448="OWC_TRANSITION",F448="GOC_TRANSITION"),IF(L448&gt;=K448,"Supports","Conflicts"),"N/A"),"No Sw"))</f>
        <v/>
      </c>
      <c r="O448" s="20">
        <f>IF(G448="","",Settings!$B$6*IF(OR(F448="GOC",F448="OWC",F448="GWC"),1,0.7)+Settings!$B$7*IF(N448="Supports",1,IF(N448="Conflicts",0,0.5))+Settings!$B$8*IF(AND(Master_Data!R448&lt;&gt;"",Master_Data!S448&lt;&gt;"",Master_Data!R449&lt;&gt;"",Master_Data!S449&lt;&gt;""),1,0.5))</f>
        <v/>
      </c>
      <c r="P448" s="19">
        <f>IF(G448="","",IF(N448="Conflicts","SW_CONFLICT",IF(OR(F448="GOC",F448="OWC",F448="GWC"),"DIRECT_FLUID_TRANSITION","TRANSITION_INTERVAL")))</f>
        <v/>
      </c>
      <c r="Q448" s="19">
        <f>IF(G448="","",IF(N448="Conflicts","Investigate contact interpretation / saturation behaviour",IF(OR(F448="OWC",F448="GOC",F448="GWC"),"Candidate contact — validate with logs, pressure and dynamic evidence","Transition zone — do not force to a sharp contact")))</f>
        <v/>
      </c>
    </row>
    <row r="449">
      <c r="A449" s="19">
        <f>IF(AND(Master_Data!A449&lt;&gt;"",Master_Data!A449=Master_Data!A450),Master_Data!A449,"")</f>
        <v/>
      </c>
      <c r="B449" s="19">
        <f>IF($A449="","",Master_Data!B449)</f>
        <v/>
      </c>
      <c r="C449" s="19">
        <f>IF($A449="","",Master_Data!B450)</f>
        <v/>
      </c>
      <c r="D449" s="19">
        <f>IF($A449="","",Master_Data!Q449)</f>
        <v/>
      </c>
      <c r="E449" s="19">
        <f>IF($A449="","",Master_Data!Q450)</f>
        <v/>
      </c>
      <c r="F449" s="19">
        <f>IF($A449="","",IF(AND(D449="GAS",E449="OIL"),"GOC",IF(AND(D449="OIL",E449="WATER"),"OWC",IF(AND(D449="GAS",E449="WATER"),"GWC",IF(AND(D449="OIL",E449="OIL_WATER"),"OWC_TRANSITION",IF(AND(D449="OIL_WATER",E449="WATER"),"OWC_TRANSITION",IF(AND(D449="GAS",E449="GAS_WATER"),"GOC_TRANSITION",IF(AND(D449="GAS_WATER",E449="OIL"),"GOC_TRANSITION",IF(OR(D449="OIL_WATER",D449="GAS_WATER"),"TRANSITION_INTERVAL","")))))))))</f>
        <v/>
      </c>
      <c r="G449" s="20">
        <f>IF(OR(F449="",Master_Data!R449="",Master_Data!S449=""),"",IF(RIGHT(F449,10)="TRANSITION",AVERAGE(Master_Data!R449:Master_Data!S449),AVERAGE(Master_Data!S449,Master_Data!R450)))</f>
        <v/>
      </c>
      <c r="H449" s="20">
        <f>IF(G449="","",MAX(Settings!$B$4,Settings!$B$5*AVERAGE(IF(Master_Data!O449&lt;&gt;"",Master_Data!O449,Master_Data!H449),IF(Master_Data!O450&lt;&gt;"",Master_Data!O450,Master_Data!H450))))</f>
        <v/>
      </c>
      <c r="I449" s="20">
        <f>IF(G449="","",G449-H449)</f>
        <v/>
      </c>
      <c r="J449" s="20">
        <f>IF(G449="","",G449+H449)</f>
        <v/>
      </c>
      <c r="K449" s="20">
        <f>IF($A449="","",Master_Data!G449)</f>
        <v/>
      </c>
      <c r="L449" s="20">
        <f>IF($A449="","",Master_Data!G450)</f>
        <v/>
      </c>
      <c r="M449" s="20">
        <f>IF(AND(ISNUMBER(K449),ISNUMBER(L449)),L449-K449,"")</f>
        <v/>
      </c>
      <c r="N449" s="19">
        <f>IF(G449="","",IF(AND(ISNUMBER(K449),ISNUMBER(L449)),IF(OR(F449="GOC",F449="OWC",F449="GWC",F449="OWC_TRANSITION",F449="GOC_TRANSITION"),IF(L449&gt;=K449,"Supports","Conflicts"),"N/A"),"No Sw"))</f>
        <v/>
      </c>
      <c r="O449" s="20">
        <f>IF(G449="","",Settings!$B$6*IF(OR(F449="GOC",F449="OWC",F449="GWC"),1,0.7)+Settings!$B$7*IF(N449="Supports",1,IF(N449="Conflicts",0,0.5))+Settings!$B$8*IF(AND(Master_Data!R449&lt;&gt;"",Master_Data!S449&lt;&gt;"",Master_Data!R450&lt;&gt;"",Master_Data!S450&lt;&gt;""),1,0.5))</f>
        <v/>
      </c>
      <c r="P449" s="19">
        <f>IF(G449="","",IF(N449="Conflicts","SW_CONFLICT",IF(OR(F449="GOC",F449="OWC",F449="GWC"),"DIRECT_FLUID_TRANSITION","TRANSITION_INTERVAL")))</f>
        <v/>
      </c>
      <c r="Q449" s="19">
        <f>IF(G449="","",IF(N449="Conflicts","Investigate contact interpretation / saturation behaviour",IF(OR(F449="OWC",F449="GOC",F449="GWC"),"Candidate contact — validate with logs, pressure and dynamic evidence","Transition zone — do not force to a sharp contact")))</f>
        <v/>
      </c>
    </row>
    <row r="450">
      <c r="A450" s="19">
        <f>IF(AND(Master_Data!A450&lt;&gt;"",Master_Data!A450=Master_Data!A451),Master_Data!A450,"")</f>
        <v/>
      </c>
      <c r="B450" s="19">
        <f>IF($A450="","",Master_Data!B450)</f>
        <v/>
      </c>
      <c r="C450" s="19">
        <f>IF($A450="","",Master_Data!B451)</f>
        <v/>
      </c>
      <c r="D450" s="19">
        <f>IF($A450="","",Master_Data!Q450)</f>
        <v/>
      </c>
      <c r="E450" s="19">
        <f>IF($A450="","",Master_Data!Q451)</f>
        <v/>
      </c>
      <c r="F450" s="19">
        <f>IF($A450="","",IF(AND(D450="GAS",E450="OIL"),"GOC",IF(AND(D450="OIL",E450="WATER"),"OWC",IF(AND(D450="GAS",E450="WATER"),"GWC",IF(AND(D450="OIL",E450="OIL_WATER"),"OWC_TRANSITION",IF(AND(D450="OIL_WATER",E450="WATER"),"OWC_TRANSITION",IF(AND(D450="GAS",E450="GAS_WATER"),"GOC_TRANSITION",IF(AND(D450="GAS_WATER",E450="OIL"),"GOC_TRANSITION",IF(OR(D450="OIL_WATER",D450="GAS_WATER"),"TRANSITION_INTERVAL","")))))))))</f>
        <v/>
      </c>
      <c r="G450" s="20">
        <f>IF(OR(F450="",Master_Data!R450="",Master_Data!S450=""),"",IF(RIGHT(F450,10)="TRANSITION",AVERAGE(Master_Data!R450:Master_Data!S450),AVERAGE(Master_Data!S450,Master_Data!R451)))</f>
        <v/>
      </c>
      <c r="H450" s="20">
        <f>IF(G450="","",MAX(Settings!$B$4,Settings!$B$5*AVERAGE(IF(Master_Data!O450&lt;&gt;"",Master_Data!O450,Master_Data!H450),IF(Master_Data!O451&lt;&gt;"",Master_Data!O451,Master_Data!H451))))</f>
        <v/>
      </c>
      <c r="I450" s="20">
        <f>IF(G450="","",G450-H450)</f>
        <v/>
      </c>
      <c r="J450" s="20">
        <f>IF(G450="","",G450+H450)</f>
        <v/>
      </c>
      <c r="K450" s="20">
        <f>IF($A450="","",Master_Data!G450)</f>
        <v/>
      </c>
      <c r="L450" s="20">
        <f>IF($A450="","",Master_Data!G451)</f>
        <v/>
      </c>
      <c r="M450" s="20">
        <f>IF(AND(ISNUMBER(K450),ISNUMBER(L450)),L450-K450,"")</f>
        <v/>
      </c>
      <c r="N450" s="19">
        <f>IF(G450="","",IF(AND(ISNUMBER(K450),ISNUMBER(L450)),IF(OR(F450="GOC",F450="OWC",F450="GWC",F450="OWC_TRANSITION",F450="GOC_TRANSITION"),IF(L450&gt;=K450,"Supports","Conflicts"),"N/A"),"No Sw"))</f>
        <v/>
      </c>
      <c r="O450" s="20">
        <f>IF(G450="","",Settings!$B$6*IF(OR(F450="GOC",F450="OWC",F450="GWC"),1,0.7)+Settings!$B$7*IF(N450="Supports",1,IF(N450="Conflicts",0,0.5))+Settings!$B$8*IF(AND(Master_Data!R450&lt;&gt;"",Master_Data!S450&lt;&gt;"",Master_Data!R451&lt;&gt;"",Master_Data!S451&lt;&gt;""),1,0.5))</f>
        <v/>
      </c>
      <c r="P450" s="19">
        <f>IF(G450="","",IF(N450="Conflicts","SW_CONFLICT",IF(OR(F450="GOC",F450="OWC",F450="GWC"),"DIRECT_FLUID_TRANSITION","TRANSITION_INTERVAL")))</f>
        <v/>
      </c>
      <c r="Q450" s="19">
        <f>IF(G450="","",IF(N450="Conflicts","Investigate contact interpretation / saturation behaviour",IF(OR(F450="OWC",F450="GOC",F450="GWC"),"Candidate contact — validate with logs, pressure and dynamic evidence","Transition zone — do not force to a sharp contact")))</f>
        <v/>
      </c>
    </row>
    <row r="451">
      <c r="A451" s="19">
        <f>IF(AND(Master_Data!A451&lt;&gt;"",Master_Data!A451=Master_Data!A452),Master_Data!A451,"")</f>
        <v/>
      </c>
      <c r="B451" s="19">
        <f>IF($A451="","",Master_Data!B451)</f>
        <v/>
      </c>
      <c r="C451" s="19">
        <f>IF($A451="","",Master_Data!B452)</f>
        <v/>
      </c>
      <c r="D451" s="19">
        <f>IF($A451="","",Master_Data!Q451)</f>
        <v/>
      </c>
      <c r="E451" s="19">
        <f>IF($A451="","",Master_Data!Q452)</f>
        <v/>
      </c>
      <c r="F451" s="19">
        <f>IF($A451="","",IF(AND(D451="GAS",E451="OIL"),"GOC",IF(AND(D451="OIL",E451="WATER"),"OWC",IF(AND(D451="GAS",E451="WATER"),"GWC",IF(AND(D451="OIL",E451="OIL_WATER"),"OWC_TRANSITION",IF(AND(D451="OIL_WATER",E451="WATER"),"OWC_TRANSITION",IF(AND(D451="GAS",E451="GAS_WATER"),"GOC_TRANSITION",IF(AND(D451="GAS_WATER",E451="OIL"),"GOC_TRANSITION",IF(OR(D451="OIL_WATER",D451="GAS_WATER"),"TRANSITION_INTERVAL","")))))))))</f>
        <v/>
      </c>
      <c r="G451" s="20">
        <f>IF(OR(F451="",Master_Data!R451="",Master_Data!S451=""),"",IF(RIGHT(F451,10)="TRANSITION",AVERAGE(Master_Data!R451:Master_Data!S451),AVERAGE(Master_Data!S451,Master_Data!R452)))</f>
        <v/>
      </c>
      <c r="H451" s="20">
        <f>IF(G451="","",MAX(Settings!$B$4,Settings!$B$5*AVERAGE(IF(Master_Data!O451&lt;&gt;"",Master_Data!O451,Master_Data!H451),IF(Master_Data!O452&lt;&gt;"",Master_Data!O452,Master_Data!H452))))</f>
        <v/>
      </c>
      <c r="I451" s="20">
        <f>IF(G451="","",G451-H451)</f>
        <v/>
      </c>
      <c r="J451" s="20">
        <f>IF(G451="","",G451+H451)</f>
        <v/>
      </c>
      <c r="K451" s="20">
        <f>IF($A451="","",Master_Data!G451)</f>
        <v/>
      </c>
      <c r="L451" s="20">
        <f>IF($A451="","",Master_Data!G452)</f>
        <v/>
      </c>
      <c r="M451" s="20">
        <f>IF(AND(ISNUMBER(K451),ISNUMBER(L451)),L451-K451,"")</f>
        <v/>
      </c>
      <c r="N451" s="19">
        <f>IF(G451="","",IF(AND(ISNUMBER(K451),ISNUMBER(L451)),IF(OR(F451="GOC",F451="OWC",F451="GWC",F451="OWC_TRANSITION",F451="GOC_TRANSITION"),IF(L451&gt;=K451,"Supports","Conflicts"),"N/A"),"No Sw"))</f>
        <v/>
      </c>
      <c r="O451" s="20">
        <f>IF(G451="","",Settings!$B$6*IF(OR(F451="GOC",F451="OWC",F451="GWC"),1,0.7)+Settings!$B$7*IF(N451="Supports",1,IF(N451="Conflicts",0,0.5))+Settings!$B$8*IF(AND(Master_Data!R451&lt;&gt;"",Master_Data!S451&lt;&gt;"",Master_Data!R452&lt;&gt;"",Master_Data!S452&lt;&gt;""),1,0.5))</f>
        <v/>
      </c>
      <c r="P451" s="19">
        <f>IF(G451="","",IF(N451="Conflicts","SW_CONFLICT",IF(OR(F451="GOC",F451="OWC",F451="GWC"),"DIRECT_FLUID_TRANSITION","TRANSITION_INTERVAL")))</f>
        <v/>
      </c>
      <c r="Q451" s="19">
        <f>IF(G451="","",IF(N451="Conflicts","Investigate contact interpretation / saturation behaviour",IF(OR(F451="OWC",F451="GOC",F451="GWC"),"Candidate contact — validate with logs, pressure and dynamic evidence","Transition zone — do not force to a sharp contact")))</f>
        <v/>
      </c>
    </row>
    <row r="452">
      <c r="A452" s="19">
        <f>IF(AND(Master_Data!A452&lt;&gt;"",Master_Data!A452=Master_Data!A453),Master_Data!A452,"")</f>
        <v/>
      </c>
      <c r="B452" s="19">
        <f>IF($A452="","",Master_Data!B452)</f>
        <v/>
      </c>
      <c r="C452" s="19">
        <f>IF($A452="","",Master_Data!B453)</f>
        <v/>
      </c>
      <c r="D452" s="19">
        <f>IF($A452="","",Master_Data!Q452)</f>
        <v/>
      </c>
      <c r="E452" s="19">
        <f>IF($A452="","",Master_Data!Q453)</f>
        <v/>
      </c>
      <c r="F452" s="19">
        <f>IF($A452="","",IF(AND(D452="GAS",E452="OIL"),"GOC",IF(AND(D452="OIL",E452="WATER"),"OWC",IF(AND(D452="GAS",E452="WATER"),"GWC",IF(AND(D452="OIL",E452="OIL_WATER"),"OWC_TRANSITION",IF(AND(D452="OIL_WATER",E452="WATER"),"OWC_TRANSITION",IF(AND(D452="GAS",E452="GAS_WATER"),"GOC_TRANSITION",IF(AND(D452="GAS_WATER",E452="OIL"),"GOC_TRANSITION",IF(OR(D452="OIL_WATER",D452="GAS_WATER"),"TRANSITION_INTERVAL","")))))))))</f>
        <v/>
      </c>
      <c r="G452" s="20">
        <f>IF(OR(F452="",Master_Data!R452="",Master_Data!S452=""),"",IF(RIGHT(F452,10)="TRANSITION",AVERAGE(Master_Data!R452:Master_Data!S452),AVERAGE(Master_Data!S452,Master_Data!R453)))</f>
        <v/>
      </c>
      <c r="H452" s="20">
        <f>IF(G452="","",MAX(Settings!$B$4,Settings!$B$5*AVERAGE(IF(Master_Data!O452&lt;&gt;"",Master_Data!O452,Master_Data!H452),IF(Master_Data!O453&lt;&gt;"",Master_Data!O453,Master_Data!H453))))</f>
        <v/>
      </c>
      <c r="I452" s="20">
        <f>IF(G452="","",G452-H452)</f>
        <v/>
      </c>
      <c r="J452" s="20">
        <f>IF(G452="","",G452+H452)</f>
        <v/>
      </c>
      <c r="K452" s="20">
        <f>IF($A452="","",Master_Data!G452)</f>
        <v/>
      </c>
      <c r="L452" s="20">
        <f>IF($A452="","",Master_Data!G453)</f>
        <v/>
      </c>
      <c r="M452" s="20">
        <f>IF(AND(ISNUMBER(K452),ISNUMBER(L452)),L452-K452,"")</f>
        <v/>
      </c>
      <c r="N452" s="19">
        <f>IF(G452="","",IF(AND(ISNUMBER(K452),ISNUMBER(L452)),IF(OR(F452="GOC",F452="OWC",F452="GWC",F452="OWC_TRANSITION",F452="GOC_TRANSITION"),IF(L452&gt;=K452,"Supports","Conflicts"),"N/A"),"No Sw"))</f>
        <v/>
      </c>
      <c r="O452" s="20">
        <f>IF(G452="","",Settings!$B$6*IF(OR(F452="GOC",F452="OWC",F452="GWC"),1,0.7)+Settings!$B$7*IF(N452="Supports",1,IF(N452="Conflicts",0,0.5))+Settings!$B$8*IF(AND(Master_Data!R452&lt;&gt;"",Master_Data!S452&lt;&gt;"",Master_Data!R453&lt;&gt;"",Master_Data!S453&lt;&gt;""),1,0.5))</f>
        <v/>
      </c>
      <c r="P452" s="19">
        <f>IF(G452="","",IF(N452="Conflicts","SW_CONFLICT",IF(OR(F452="GOC",F452="OWC",F452="GWC"),"DIRECT_FLUID_TRANSITION","TRANSITION_INTERVAL")))</f>
        <v/>
      </c>
      <c r="Q452" s="19">
        <f>IF(G452="","",IF(N452="Conflicts","Investigate contact interpretation / saturation behaviour",IF(OR(F452="OWC",F452="GOC",F452="GWC"),"Candidate contact — validate with logs, pressure and dynamic evidence","Transition zone — do not force to a sharp contact")))</f>
        <v/>
      </c>
    </row>
    <row r="453">
      <c r="A453" s="19">
        <f>IF(AND(Master_Data!A453&lt;&gt;"",Master_Data!A453=Master_Data!A454),Master_Data!A453,"")</f>
        <v/>
      </c>
      <c r="B453" s="19">
        <f>IF($A453="","",Master_Data!B453)</f>
        <v/>
      </c>
      <c r="C453" s="19">
        <f>IF($A453="","",Master_Data!B454)</f>
        <v/>
      </c>
      <c r="D453" s="19">
        <f>IF($A453="","",Master_Data!Q453)</f>
        <v/>
      </c>
      <c r="E453" s="19">
        <f>IF($A453="","",Master_Data!Q454)</f>
        <v/>
      </c>
      <c r="F453" s="19">
        <f>IF($A453="","",IF(AND(D453="GAS",E453="OIL"),"GOC",IF(AND(D453="OIL",E453="WATER"),"OWC",IF(AND(D453="GAS",E453="WATER"),"GWC",IF(AND(D453="OIL",E453="OIL_WATER"),"OWC_TRANSITION",IF(AND(D453="OIL_WATER",E453="WATER"),"OWC_TRANSITION",IF(AND(D453="GAS",E453="GAS_WATER"),"GOC_TRANSITION",IF(AND(D453="GAS_WATER",E453="OIL"),"GOC_TRANSITION",IF(OR(D453="OIL_WATER",D453="GAS_WATER"),"TRANSITION_INTERVAL","")))))))))</f>
        <v/>
      </c>
      <c r="G453" s="20">
        <f>IF(OR(F453="",Master_Data!R453="",Master_Data!S453=""),"",IF(RIGHT(F453,10)="TRANSITION",AVERAGE(Master_Data!R453:Master_Data!S453),AVERAGE(Master_Data!S453,Master_Data!R454)))</f>
        <v/>
      </c>
      <c r="H453" s="20">
        <f>IF(G453="","",MAX(Settings!$B$4,Settings!$B$5*AVERAGE(IF(Master_Data!O453&lt;&gt;"",Master_Data!O453,Master_Data!H453),IF(Master_Data!O454&lt;&gt;"",Master_Data!O454,Master_Data!H454))))</f>
        <v/>
      </c>
      <c r="I453" s="20">
        <f>IF(G453="","",G453-H453)</f>
        <v/>
      </c>
      <c r="J453" s="20">
        <f>IF(G453="","",G453+H453)</f>
        <v/>
      </c>
      <c r="K453" s="20">
        <f>IF($A453="","",Master_Data!G453)</f>
        <v/>
      </c>
      <c r="L453" s="20">
        <f>IF($A453="","",Master_Data!G454)</f>
        <v/>
      </c>
      <c r="M453" s="20">
        <f>IF(AND(ISNUMBER(K453),ISNUMBER(L453)),L453-K453,"")</f>
        <v/>
      </c>
      <c r="N453" s="19">
        <f>IF(G453="","",IF(AND(ISNUMBER(K453),ISNUMBER(L453)),IF(OR(F453="GOC",F453="OWC",F453="GWC",F453="OWC_TRANSITION",F453="GOC_TRANSITION"),IF(L453&gt;=K453,"Supports","Conflicts"),"N/A"),"No Sw"))</f>
        <v/>
      </c>
      <c r="O453" s="20">
        <f>IF(G453="","",Settings!$B$6*IF(OR(F453="GOC",F453="OWC",F453="GWC"),1,0.7)+Settings!$B$7*IF(N453="Supports",1,IF(N453="Conflicts",0,0.5))+Settings!$B$8*IF(AND(Master_Data!R453&lt;&gt;"",Master_Data!S453&lt;&gt;"",Master_Data!R454&lt;&gt;"",Master_Data!S454&lt;&gt;""),1,0.5))</f>
        <v/>
      </c>
      <c r="P453" s="19">
        <f>IF(G453="","",IF(N453="Conflicts","SW_CONFLICT",IF(OR(F453="GOC",F453="OWC",F453="GWC"),"DIRECT_FLUID_TRANSITION","TRANSITION_INTERVAL")))</f>
        <v/>
      </c>
      <c r="Q453" s="19">
        <f>IF(G453="","",IF(N453="Conflicts","Investigate contact interpretation / saturation behaviour",IF(OR(F453="OWC",F453="GOC",F453="GWC"),"Candidate contact — validate with logs, pressure and dynamic evidence","Transition zone — do not force to a sharp contact")))</f>
        <v/>
      </c>
    </row>
    <row r="454">
      <c r="A454" s="19">
        <f>IF(AND(Master_Data!A454&lt;&gt;"",Master_Data!A454=Master_Data!A455),Master_Data!A454,"")</f>
        <v/>
      </c>
      <c r="B454" s="19">
        <f>IF($A454="","",Master_Data!B454)</f>
        <v/>
      </c>
      <c r="C454" s="19">
        <f>IF($A454="","",Master_Data!B455)</f>
        <v/>
      </c>
      <c r="D454" s="19">
        <f>IF($A454="","",Master_Data!Q454)</f>
        <v/>
      </c>
      <c r="E454" s="19">
        <f>IF($A454="","",Master_Data!Q455)</f>
        <v/>
      </c>
      <c r="F454" s="19">
        <f>IF($A454="","",IF(AND(D454="GAS",E454="OIL"),"GOC",IF(AND(D454="OIL",E454="WATER"),"OWC",IF(AND(D454="GAS",E454="WATER"),"GWC",IF(AND(D454="OIL",E454="OIL_WATER"),"OWC_TRANSITION",IF(AND(D454="OIL_WATER",E454="WATER"),"OWC_TRANSITION",IF(AND(D454="GAS",E454="GAS_WATER"),"GOC_TRANSITION",IF(AND(D454="GAS_WATER",E454="OIL"),"GOC_TRANSITION",IF(OR(D454="OIL_WATER",D454="GAS_WATER"),"TRANSITION_INTERVAL","")))))))))</f>
        <v/>
      </c>
      <c r="G454" s="20">
        <f>IF(OR(F454="",Master_Data!R454="",Master_Data!S454=""),"",IF(RIGHT(F454,10)="TRANSITION",AVERAGE(Master_Data!R454:Master_Data!S454),AVERAGE(Master_Data!S454,Master_Data!R455)))</f>
        <v/>
      </c>
      <c r="H454" s="20">
        <f>IF(G454="","",MAX(Settings!$B$4,Settings!$B$5*AVERAGE(IF(Master_Data!O454&lt;&gt;"",Master_Data!O454,Master_Data!H454),IF(Master_Data!O455&lt;&gt;"",Master_Data!O455,Master_Data!H455))))</f>
        <v/>
      </c>
      <c r="I454" s="20">
        <f>IF(G454="","",G454-H454)</f>
        <v/>
      </c>
      <c r="J454" s="20">
        <f>IF(G454="","",G454+H454)</f>
        <v/>
      </c>
      <c r="K454" s="20">
        <f>IF($A454="","",Master_Data!G454)</f>
        <v/>
      </c>
      <c r="L454" s="20">
        <f>IF($A454="","",Master_Data!G455)</f>
        <v/>
      </c>
      <c r="M454" s="20">
        <f>IF(AND(ISNUMBER(K454),ISNUMBER(L454)),L454-K454,"")</f>
        <v/>
      </c>
      <c r="N454" s="19">
        <f>IF(G454="","",IF(AND(ISNUMBER(K454),ISNUMBER(L454)),IF(OR(F454="GOC",F454="OWC",F454="GWC",F454="OWC_TRANSITION",F454="GOC_TRANSITION"),IF(L454&gt;=K454,"Supports","Conflicts"),"N/A"),"No Sw"))</f>
        <v/>
      </c>
      <c r="O454" s="20">
        <f>IF(G454="","",Settings!$B$6*IF(OR(F454="GOC",F454="OWC",F454="GWC"),1,0.7)+Settings!$B$7*IF(N454="Supports",1,IF(N454="Conflicts",0,0.5))+Settings!$B$8*IF(AND(Master_Data!R454&lt;&gt;"",Master_Data!S454&lt;&gt;"",Master_Data!R455&lt;&gt;"",Master_Data!S455&lt;&gt;""),1,0.5))</f>
        <v/>
      </c>
      <c r="P454" s="19">
        <f>IF(G454="","",IF(N454="Conflicts","SW_CONFLICT",IF(OR(F454="GOC",F454="OWC",F454="GWC"),"DIRECT_FLUID_TRANSITION","TRANSITION_INTERVAL")))</f>
        <v/>
      </c>
      <c r="Q454" s="19">
        <f>IF(G454="","",IF(N454="Conflicts","Investigate contact interpretation / saturation behaviour",IF(OR(F454="OWC",F454="GOC",F454="GWC"),"Candidate contact — validate with logs, pressure and dynamic evidence","Transition zone — do not force to a sharp contact")))</f>
        <v/>
      </c>
    </row>
    <row r="455">
      <c r="A455" s="19">
        <f>IF(AND(Master_Data!A455&lt;&gt;"",Master_Data!A455=Master_Data!A456),Master_Data!A455,"")</f>
        <v/>
      </c>
      <c r="B455" s="19">
        <f>IF($A455="","",Master_Data!B455)</f>
        <v/>
      </c>
      <c r="C455" s="19">
        <f>IF($A455="","",Master_Data!B456)</f>
        <v/>
      </c>
      <c r="D455" s="19">
        <f>IF($A455="","",Master_Data!Q455)</f>
        <v/>
      </c>
      <c r="E455" s="19">
        <f>IF($A455="","",Master_Data!Q456)</f>
        <v/>
      </c>
      <c r="F455" s="19">
        <f>IF($A455="","",IF(AND(D455="GAS",E455="OIL"),"GOC",IF(AND(D455="OIL",E455="WATER"),"OWC",IF(AND(D455="GAS",E455="WATER"),"GWC",IF(AND(D455="OIL",E455="OIL_WATER"),"OWC_TRANSITION",IF(AND(D455="OIL_WATER",E455="WATER"),"OWC_TRANSITION",IF(AND(D455="GAS",E455="GAS_WATER"),"GOC_TRANSITION",IF(AND(D455="GAS_WATER",E455="OIL"),"GOC_TRANSITION",IF(OR(D455="OIL_WATER",D455="GAS_WATER"),"TRANSITION_INTERVAL","")))))))))</f>
        <v/>
      </c>
      <c r="G455" s="20">
        <f>IF(OR(F455="",Master_Data!R455="",Master_Data!S455=""),"",IF(RIGHT(F455,10)="TRANSITION",AVERAGE(Master_Data!R455:Master_Data!S455),AVERAGE(Master_Data!S455,Master_Data!R456)))</f>
        <v/>
      </c>
      <c r="H455" s="20">
        <f>IF(G455="","",MAX(Settings!$B$4,Settings!$B$5*AVERAGE(IF(Master_Data!O455&lt;&gt;"",Master_Data!O455,Master_Data!H455),IF(Master_Data!O456&lt;&gt;"",Master_Data!O456,Master_Data!H456))))</f>
        <v/>
      </c>
      <c r="I455" s="20">
        <f>IF(G455="","",G455-H455)</f>
        <v/>
      </c>
      <c r="J455" s="20">
        <f>IF(G455="","",G455+H455)</f>
        <v/>
      </c>
      <c r="K455" s="20">
        <f>IF($A455="","",Master_Data!G455)</f>
        <v/>
      </c>
      <c r="L455" s="20">
        <f>IF($A455="","",Master_Data!G456)</f>
        <v/>
      </c>
      <c r="M455" s="20">
        <f>IF(AND(ISNUMBER(K455),ISNUMBER(L455)),L455-K455,"")</f>
        <v/>
      </c>
      <c r="N455" s="19">
        <f>IF(G455="","",IF(AND(ISNUMBER(K455),ISNUMBER(L455)),IF(OR(F455="GOC",F455="OWC",F455="GWC",F455="OWC_TRANSITION",F455="GOC_TRANSITION"),IF(L455&gt;=K455,"Supports","Conflicts"),"N/A"),"No Sw"))</f>
        <v/>
      </c>
      <c r="O455" s="20">
        <f>IF(G455="","",Settings!$B$6*IF(OR(F455="GOC",F455="OWC",F455="GWC"),1,0.7)+Settings!$B$7*IF(N455="Supports",1,IF(N455="Conflicts",0,0.5))+Settings!$B$8*IF(AND(Master_Data!R455&lt;&gt;"",Master_Data!S455&lt;&gt;"",Master_Data!R456&lt;&gt;"",Master_Data!S456&lt;&gt;""),1,0.5))</f>
        <v/>
      </c>
      <c r="P455" s="19">
        <f>IF(G455="","",IF(N455="Conflicts","SW_CONFLICT",IF(OR(F455="GOC",F455="OWC",F455="GWC"),"DIRECT_FLUID_TRANSITION","TRANSITION_INTERVAL")))</f>
        <v/>
      </c>
      <c r="Q455" s="19">
        <f>IF(G455="","",IF(N455="Conflicts","Investigate contact interpretation / saturation behaviour",IF(OR(F455="OWC",F455="GOC",F455="GWC"),"Candidate contact — validate with logs, pressure and dynamic evidence","Transition zone — do not force to a sharp contact")))</f>
        <v/>
      </c>
    </row>
    <row r="456">
      <c r="A456" s="19">
        <f>IF(AND(Master_Data!A456&lt;&gt;"",Master_Data!A456=Master_Data!A457),Master_Data!A456,"")</f>
        <v/>
      </c>
      <c r="B456" s="19">
        <f>IF($A456="","",Master_Data!B456)</f>
        <v/>
      </c>
      <c r="C456" s="19">
        <f>IF($A456="","",Master_Data!B457)</f>
        <v/>
      </c>
      <c r="D456" s="19">
        <f>IF($A456="","",Master_Data!Q456)</f>
        <v/>
      </c>
      <c r="E456" s="19">
        <f>IF($A456="","",Master_Data!Q457)</f>
        <v/>
      </c>
      <c r="F456" s="19">
        <f>IF($A456="","",IF(AND(D456="GAS",E456="OIL"),"GOC",IF(AND(D456="OIL",E456="WATER"),"OWC",IF(AND(D456="GAS",E456="WATER"),"GWC",IF(AND(D456="OIL",E456="OIL_WATER"),"OWC_TRANSITION",IF(AND(D456="OIL_WATER",E456="WATER"),"OWC_TRANSITION",IF(AND(D456="GAS",E456="GAS_WATER"),"GOC_TRANSITION",IF(AND(D456="GAS_WATER",E456="OIL"),"GOC_TRANSITION",IF(OR(D456="OIL_WATER",D456="GAS_WATER"),"TRANSITION_INTERVAL","")))))))))</f>
        <v/>
      </c>
      <c r="G456" s="20">
        <f>IF(OR(F456="",Master_Data!R456="",Master_Data!S456=""),"",IF(RIGHT(F456,10)="TRANSITION",AVERAGE(Master_Data!R456:Master_Data!S456),AVERAGE(Master_Data!S456,Master_Data!R457)))</f>
        <v/>
      </c>
      <c r="H456" s="20">
        <f>IF(G456="","",MAX(Settings!$B$4,Settings!$B$5*AVERAGE(IF(Master_Data!O456&lt;&gt;"",Master_Data!O456,Master_Data!H456),IF(Master_Data!O457&lt;&gt;"",Master_Data!O457,Master_Data!H457))))</f>
        <v/>
      </c>
      <c r="I456" s="20">
        <f>IF(G456="","",G456-H456)</f>
        <v/>
      </c>
      <c r="J456" s="20">
        <f>IF(G456="","",G456+H456)</f>
        <v/>
      </c>
      <c r="K456" s="20">
        <f>IF($A456="","",Master_Data!G456)</f>
        <v/>
      </c>
      <c r="L456" s="20">
        <f>IF($A456="","",Master_Data!G457)</f>
        <v/>
      </c>
      <c r="M456" s="20">
        <f>IF(AND(ISNUMBER(K456),ISNUMBER(L456)),L456-K456,"")</f>
        <v/>
      </c>
      <c r="N456" s="19">
        <f>IF(G456="","",IF(AND(ISNUMBER(K456),ISNUMBER(L456)),IF(OR(F456="GOC",F456="OWC",F456="GWC",F456="OWC_TRANSITION",F456="GOC_TRANSITION"),IF(L456&gt;=K456,"Supports","Conflicts"),"N/A"),"No Sw"))</f>
        <v/>
      </c>
      <c r="O456" s="20">
        <f>IF(G456="","",Settings!$B$6*IF(OR(F456="GOC",F456="OWC",F456="GWC"),1,0.7)+Settings!$B$7*IF(N456="Supports",1,IF(N456="Conflicts",0,0.5))+Settings!$B$8*IF(AND(Master_Data!R456&lt;&gt;"",Master_Data!S456&lt;&gt;"",Master_Data!R457&lt;&gt;"",Master_Data!S457&lt;&gt;""),1,0.5))</f>
        <v/>
      </c>
      <c r="P456" s="19">
        <f>IF(G456="","",IF(N456="Conflicts","SW_CONFLICT",IF(OR(F456="GOC",F456="OWC",F456="GWC"),"DIRECT_FLUID_TRANSITION","TRANSITION_INTERVAL")))</f>
        <v/>
      </c>
      <c r="Q456" s="19">
        <f>IF(G456="","",IF(N456="Conflicts","Investigate contact interpretation / saturation behaviour",IF(OR(F456="OWC",F456="GOC",F456="GWC"),"Candidate contact — validate with logs, pressure and dynamic evidence","Transition zone — do not force to a sharp contact")))</f>
        <v/>
      </c>
    </row>
    <row r="457">
      <c r="A457" s="19">
        <f>IF(AND(Master_Data!A457&lt;&gt;"",Master_Data!A457=Master_Data!A458),Master_Data!A457,"")</f>
        <v/>
      </c>
      <c r="B457" s="19">
        <f>IF($A457="","",Master_Data!B457)</f>
        <v/>
      </c>
      <c r="C457" s="19">
        <f>IF($A457="","",Master_Data!B458)</f>
        <v/>
      </c>
      <c r="D457" s="19">
        <f>IF($A457="","",Master_Data!Q457)</f>
        <v/>
      </c>
      <c r="E457" s="19">
        <f>IF($A457="","",Master_Data!Q458)</f>
        <v/>
      </c>
      <c r="F457" s="19">
        <f>IF($A457="","",IF(AND(D457="GAS",E457="OIL"),"GOC",IF(AND(D457="OIL",E457="WATER"),"OWC",IF(AND(D457="GAS",E457="WATER"),"GWC",IF(AND(D457="OIL",E457="OIL_WATER"),"OWC_TRANSITION",IF(AND(D457="OIL_WATER",E457="WATER"),"OWC_TRANSITION",IF(AND(D457="GAS",E457="GAS_WATER"),"GOC_TRANSITION",IF(AND(D457="GAS_WATER",E457="OIL"),"GOC_TRANSITION",IF(OR(D457="OIL_WATER",D457="GAS_WATER"),"TRANSITION_INTERVAL","")))))))))</f>
        <v/>
      </c>
      <c r="G457" s="20">
        <f>IF(OR(F457="",Master_Data!R457="",Master_Data!S457=""),"",IF(RIGHT(F457,10)="TRANSITION",AVERAGE(Master_Data!R457:Master_Data!S457),AVERAGE(Master_Data!S457,Master_Data!R458)))</f>
        <v/>
      </c>
      <c r="H457" s="20">
        <f>IF(G457="","",MAX(Settings!$B$4,Settings!$B$5*AVERAGE(IF(Master_Data!O457&lt;&gt;"",Master_Data!O457,Master_Data!H457),IF(Master_Data!O458&lt;&gt;"",Master_Data!O458,Master_Data!H458))))</f>
        <v/>
      </c>
      <c r="I457" s="20">
        <f>IF(G457="","",G457-H457)</f>
        <v/>
      </c>
      <c r="J457" s="20">
        <f>IF(G457="","",G457+H457)</f>
        <v/>
      </c>
      <c r="K457" s="20">
        <f>IF($A457="","",Master_Data!G457)</f>
        <v/>
      </c>
      <c r="L457" s="20">
        <f>IF($A457="","",Master_Data!G458)</f>
        <v/>
      </c>
      <c r="M457" s="20">
        <f>IF(AND(ISNUMBER(K457),ISNUMBER(L457)),L457-K457,"")</f>
        <v/>
      </c>
      <c r="N457" s="19">
        <f>IF(G457="","",IF(AND(ISNUMBER(K457),ISNUMBER(L457)),IF(OR(F457="GOC",F457="OWC",F457="GWC",F457="OWC_TRANSITION",F457="GOC_TRANSITION"),IF(L457&gt;=K457,"Supports","Conflicts"),"N/A"),"No Sw"))</f>
        <v/>
      </c>
      <c r="O457" s="20">
        <f>IF(G457="","",Settings!$B$6*IF(OR(F457="GOC",F457="OWC",F457="GWC"),1,0.7)+Settings!$B$7*IF(N457="Supports",1,IF(N457="Conflicts",0,0.5))+Settings!$B$8*IF(AND(Master_Data!R457&lt;&gt;"",Master_Data!S457&lt;&gt;"",Master_Data!R458&lt;&gt;"",Master_Data!S458&lt;&gt;""),1,0.5))</f>
        <v/>
      </c>
      <c r="P457" s="19">
        <f>IF(G457="","",IF(N457="Conflicts","SW_CONFLICT",IF(OR(F457="GOC",F457="OWC",F457="GWC"),"DIRECT_FLUID_TRANSITION","TRANSITION_INTERVAL")))</f>
        <v/>
      </c>
      <c r="Q457" s="19">
        <f>IF(G457="","",IF(N457="Conflicts","Investigate contact interpretation / saturation behaviour",IF(OR(F457="OWC",F457="GOC",F457="GWC"),"Candidate contact — validate with logs, pressure and dynamic evidence","Transition zone — do not force to a sharp contact")))</f>
        <v/>
      </c>
    </row>
    <row r="458">
      <c r="A458" s="19">
        <f>IF(AND(Master_Data!A458&lt;&gt;"",Master_Data!A458=Master_Data!A459),Master_Data!A458,"")</f>
        <v/>
      </c>
      <c r="B458" s="19">
        <f>IF($A458="","",Master_Data!B458)</f>
        <v/>
      </c>
      <c r="C458" s="19">
        <f>IF($A458="","",Master_Data!B459)</f>
        <v/>
      </c>
      <c r="D458" s="19">
        <f>IF($A458="","",Master_Data!Q458)</f>
        <v/>
      </c>
      <c r="E458" s="19">
        <f>IF($A458="","",Master_Data!Q459)</f>
        <v/>
      </c>
      <c r="F458" s="19">
        <f>IF($A458="","",IF(AND(D458="GAS",E458="OIL"),"GOC",IF(AND(D458="OIL",E458="WATER"),"OWC",IF(AND(D458="GAS",E458="WATER"),"GWC",IF(AND(D458="OIL",E458="OIL_WATER"),"OWC_TRANSITION",IF(AND(D458="OIL_WATER",E458="WATER"),"OWC_TRANSITION",IF(AND(D458="GAS",E458="GAS_WATER"),"GOC_TRANSITION",IF(AND(D458="GAS_WATER",E458="OIL"),"GOC_TRANSITION",IF(OR(D458="OIL_WATER",D458="GAS_WATER"),"TRANSITION_INTERVAL","")))))))))</f>
        <v/>
      </c>
      <c r="G458" s="20">
        <f>IF(OR(F458="",Master_Data!R458="",Master_Data!S458=""),"",IF(RIGHT(F458,10)="TRANSITION",AVERAGE(Master_Data!R458:Master_Data!S458),AVERAGE(Master_Data!S458,Master_Data!R459)))</f>
        <v/>
      </c>
      <c r="H458" s="20">
        <f>IF(G458="","",MAX(Settings!$B$4,Settings!$B$5*AVERAGE(IF(Master_Data!O458&lt;&gt;"",Master_Data!O458,Master_Data!H458),IF(Master_Data!O459&lt;&gt;"",Master_Data!O459,Master_Data!H459))))</f>
        <v/>
      </c>
      <c r="I458" s="20">
        <f>IF(G458="","",G458-H458)</f>
        <v/>
      </c>
      <c r="J458" s="20">
        <f>IF(G458="","",G458+H458)</f>
        <v/>
      </c>
      <c r="K458" s="20">
        <f>IF($A458="","",Master_Data!G458)</f>
        <v/>
      </c>
      <c r="L458" s="20">
        <f>IF($A458="","",Master_Data!G459)</f>
        <v/>
      </c>
      <c r="M458" s="20">
        <f>IF(AND(ISNUMBER(K458),ISNUMBER(L458)),L458-K458,"")</f>
        <v/>
      </c>
      <c r="N458" s="19">
        <f>IF(G458="","",IF(AND(ISNUMBER(K458),ISNUMBER(L458)),IF(OR(F458="GOC",F458="OWC",F458="GWC",F458="OWC_TRANSITION",F458="GOC_TRANSITION"),IF(L458&gt;=K458,"Supports","Conflicts"),"N/A"),"No Sw"))</f>
        <v/>
      </c>
      <c r="O458" s="20">
        <f>IF(G458="","",Settings!$B$6*IF(OR(F458="GOC",F458="OWC",F458="GWC"),1,0.7)+Settings!$B$7*IF(N458="Supports",1,IF(N458="Conflicts",0,0.5))+Settings!$B$8*IF(AND(Master_Data!R458&lt;&gt;"",Master_Data!S458&lt;&gt;"",Master_Data!R459&lt;&gt;"",Master_Data!S459&lt;&gt;""),1,0.5))</f>
        <v/>
      </c>
      <c r="P458" s="19">
        <f>IF(G458="","",IF(N458="Conflicts","SW_CONFLICT",IF(OR(F458="GOC",F458="OWC",F458="GWC"),"DIRECT_FLUID_TRANSITION","TRANSITION_INTERVAL")))</f>
        <v/>
      </c>
      <c r="Q458" s="19">
        <f>IF(G458="","",IF(N458="Conflicts","Investigate contact interpretation / saturation behaviour",IF(OR(F458="OWC",F458="GOC",F458="GWC"),"Candidate contact — validate with logs, pressure and dynamic evidence","Transition zone — do not force to a sharp contact")))</f>
        <v/>
      </c>
    </row>
    <row r="459">
      <c r="A459" s="19">
        <f>IF(AND(Master_Data!A459&lt;&gt;"",Master_Data!A459=Master_Data!A460),Master_Data!A459,"")</f>
        <v/>
      </c>
      <c r="B459" s="19">
        <f>IF($A459="","",Master_Data!B459)</f>
        <v/>
      </c>
      <c r="C459" s="19">
        <f>IF($A459="","",Master_Data!B460)</f>
        <v/>
      </c>
      <c r="D459" s="19">
        <f>IF($A459="","",Master_Data!Q459)</f>
        <v/>
      </c>
      <c r="E459" s="19">
        <f>IF($A459="","",Master_Data!Q460)</f>
        <v/>
      </c>
      <c r="F459" s="19">
        <f>IF($A459="","",IF(AND(D459="GAS",E459="OIL"),"GOC",IF(AND(D459="OIL",E459="WATER"),"OWC",IF(AND(D459="GAS",E459="WATER"),"GWC",IF(AND(D459="OIL",E459="OIL_WATER"),"OWC_TRANSITION",IF(AND(D459="OIL_WATER",E459="WATER"),"OWC_TRANSITION",IF(AND(D459="GAS",E459="GAS_WATER"),"GOC_TRANSITION",IF(AND(D459="GAS_WATER",E459="OIL"),"GOC_TRANSITION",IF(OR(D459="OIL_WATER",D459="GAS_WATER"),"TRANSITION_INTERVAL","")))))))))</f>
        <v/>
      </c>
      <c r="G459" s="20">
        <f>IF(OR(F459="",Master_Data!R459="",Master_Data!S459=""),"",IF(RIGHT(F459,10)="TRANSITION",AVERAGE(Master_Data!R459:Master_Data!S459),AVERAGE(Master_Data!S459,Master_Data!R460)))</f>
        <v/>
      </c>
      <c r="H459" s="20">
        <f>IF(G459="","",MAX(Settings!$B$4,Settings!$B$5*AVERAGE(IF(Master_Data!O459&lt;&gt;"",Master_Data!O459,Master_Data!H459),IF(Master_Data!O460&lt;&gt;"",Master_Data!O460,Master_Data!H460))))</f>
        <v/>
      </c>
      <c r="I459" s="20">
        <f>IF(G459="","",G459-H459)</f>
        <v/>
      </c>
      <c r="J459" s="20">
        <f>IF(G459="","",G459+H459)</f>
        <v/>
      </c>
      <c r="K459" s="20">
        <f>IF($A459="","",Master_Data!G459)</f>
        <v/>
      </c>
      <c r="L459" s="20">
        <f>IF($A459="","",Master_Data!G460)</f>
        <v/>
      </c>
      <c r="M459" s="20">
        <f>IF(AND(ISNUMBER(K459),ISNUMBER(L459)),L459-K459,"")</f>
        <v/>
      </c>
      <c r="N459" s="19">
        <f>IF(G459="","",IF(AND(ISNUMBER(K459),ISNUMBER(L459)),IF(OR(F459="GOC",F459="OWC",F459="GWC",F459="OWC_TRANSITION",F459="GOC_TRANSITION"),IF(L459&gt;=K459,"Supports","Conflicts"),"N/A"),"No Sw"))</f>
        <v/>
      </c>
      <c r="O459" s="20">
        <f>IF(G459="","",Settings!$B$6*IF(OR(F459="GOC",F459="OWC",F459="GWC"),1,0.7)+Settings!$B$7*IF(N459="Supports",1,IF(N459="Conflicts",0,0.5))+Settings!$B$8*IF(AND(Master_Data!R459&lt;&gt;"",Master_Data!S459&lt;&gt;"",Master_Data!R460&lt;&gt;"",Master_Data!S460&lt;&gt;""),1,0.5))</f>
        <v/>
      </c>
      <c r="P459" s="19">
        <f>IF(G459="","",IF(N459="Conflicts","SW_CONFLICT",IF(OR(F459="GOC",F459="OWC",F459="GWC"),"DIRECT_FLUID_TRANSITION","TRANSITION_INTERVAL")))</f>
        <v/>
      </c>
      <c r="Q459" s="19">
        <f>IF(G459="","",IF(N459="Conflicts","Investigate contact interpretation / saturation behaviour",IF(OR(F459="OWC",F459="GOC",F459="GWC"),"Candidate contact — validate with logs, pressure and dynamic evidence","Transition zone — do not force to a sharp contact")))</f>
        <v/>
      </c>
    </row>
    <row r="460">
      <c r="A460" s="19">
        <f>IF(AND(Master_Data!A460&lt;&gt;"",Master_Data!A460=Master_Data!A461),Master_Data!A460,"")</f>
        <v/>
      </c>
      <c r="B460" s="19">
        <f>IF($A460="","",Master_Data!B460)</f>
        <v/>
      </c>
      <c r="C460" s="19">
        <f>IF($A460="","",Master_Data!B461)</f>
        <v/>
      </c>
      <c r="D460" s="19">
        <f>IF($A460="","",Master_Data!Q460)</f>
        <v/>
      </c>
      <c r="E460" s="19">
        <f>IF($A460="","",Master_Data!Q461)</f>
        <v/>
      </c>
      <c r="F460" s="19">
        <f>IF($A460="","",IF(AND(D460="GAS",E460="OIL"),"GOC",IF(AND(D460="OIL",E460="WATER"),"OWC",IF(AND(D460="GAS",E460="WATER"),"GWC",IF(AND(D460="OIL",E460="OIL_WATER"),"OWC_TRANSITION",IF(AND(D460="OIL_WATER",E460="WATER"),"OWC_TRANSITION",IF(AND(D460="GAS",E460="GAS_WATER"),"GOC_TRANSITION",IF(AND(D460="GAS_WATER",E460="OIL"),"GOC_TRANSITION",IF(OR(D460="OIL_WATER",D460="GAS_WATER"),"TRANSITION_INTERVAL","")))))))))</f>
        <v/>
      </c>
      <c r="G460" s="20">
        <f>IF(OR(F460="",Master_Data!R460="",Master_Data!S460=""),"",IF(RIGHT(F460,10)="TRANSITION",AVERAGE(Master_Data!R460:Master_Data!S460),AVERAGE(Master_Data!S460,Master_Data!R461)))</f>
        <v/>
      </c>
      <c r="H460" s="20">
        <f>IF(G460="","",MAX(Settings!$B$4,Settings!$B$5*AVERAGE(IF(Master_Data!O460&lt;&gt;"",Master_Data!O460,Master_Data!H460),IF(Master_Data!O461&lt;&gt;"",Master_Data!O461,Master_Data!H461))))</f>
        <v/>
      </c>
      <c r="I460" s="20">
        <f>IF(G460="","",G460-H460)</f>
        <v/>
      </c>
      <c r="J460" s="20">
        <f>IF(G460="","",G460+H460)</f>
        <v/>
      </c>
      <c r="K460" s="20">
        <f>IF($A460="","",Master_Data!G460)</f>
        <v/>
      </c>
      <c r="L460" s="20">
        <f>IF($A460="","",Master_Data!G461)</f>
        <v/>
      </c>
      <c r="M460" s="20">
        <f>IF(AND(ISNUMBER(K460),ISNUMBER(L460)),L460-K460,"")</f>
        <v/>
      </c>
      <c r="N460" s="19">
        <f>IF(G460="","",IF(AND(ISNUMBER(K460),ISNUMBER(L460)),IF(OR(F460="GOC",F460="OWC",F460="GWC",F460="OWC_TRANSITION",F460="GOC_TRANSITION"),IF(L460&gt;=K460,"Supports","Conflicts"),"N/A"),"No Sw"))</f>
        <v/>
      </c>
      <c r="O460" s="20">
        <f>IF(G460="","",Settings!$B$6*IF(OR(F460="GOC",F460="OWC",F460="GWC"),1,0.7)+Settings!$B$7*IF(N460="Supports",1,IF(N460="Conflicts",0,0.5))+Settings!$B$8*IF(AND(Master_Data!R460&lt;&gt;"",Master_Data!S460&lt;&gt;"",Master_Data!R461&lt;&gt;"",Master_Data!S461&lt;&gt;""),1,0.5))</f>
        <v/>
      </c>
      <c r="P460" s="19">
        <f>IF(G460="","",IF(N460="Conflicts","SW_CONFLICT",IF(OR(F460="GOC",F460="OWC",F460="GWC"),"DIRECT_FLUID_TRANSITION","TRANSITION_INTERVAL")))</f>
        <v/>
      </c>
      <c r="Q460" s="19">
        <f>IF(G460="","",IF(N460="Conflicts","Investigate contact interpretation / saturation behaviour",IF(OR(F460="OWC",F460="GOC",F460="GWC"),"Candidate contact — validate with logs, pressure and dynamic evidence","Transition zone — do not force to a sharp contact")))</f>
        <v/>
      </c>
    </row>
    <row r="461">
      <c r="A461" s="19">
        <f>IF(AND(Master_Data!A461&lt;&gt;"",Master_Data!A461=Master_Data!A462),Master_Data!A461,"")</f>
        <v/>
      </c>
      <c r="B461" s="19">
        <f>IF($A461="","",Master_Data!B461)</f>
        <v/>
      </c>
      <c r="C461" s="19">
        <f>IF($A461="","",Master_Data!B462)</f>
        <v/>
      </c>
      <c r="D461" s="19">
        <f>IF($A461="","",Master_Data!Q461)</f>
        <v/>
      </c>
      <c r="E461" s="19">
        <f>IF($A461="","",Master_Data!Q462)</f>
        <v/>
      </c>
      <c r="F461" s="19">
        <f>IF($A461="","",IF(AND(D461="GAS",E461="OIL"),"GOC",IF(AND(D461="OIL",E461="WATER"),"OWC",IF(AND(D461="GAS",E461="WATER"),"GWC",IF(AND(D461="OIL",E461="OIL_WATER"),"OWC_TRANSITION",IF(AND(D461="OIL_WATER",E461="WATER"),"OWC_TRANSITION",IF(AND(D461="GAS",E461="GAS_WATER"),"GOC_TRANSITION",IF(AND(D461="GAS_WATER",E461="OIL"),"GOC_TRANSITION",IF(OR(D461="OIL_WATER",D461="GAS_WATER"),"TRANSITION_INTERVAL","")))))))))</f>
        <v/>
      </c>
      <c r="G461" s="20">
        <f>IF(OR(F461="",Master_Data!R461="",Master_Data!S461=""),"",IF(RIGHT(F461,10)="TRANSITION",AVERAGE(Master_Data!R461:Master_Data!S461),AVERAGE(Master_Data!S461,Master_Data!R462)))</f>
        <v/>
      </c>
      <c r="H461" s="20">
        <f>IF(G461="","",MAX(Settings!$B$4,Settings!$B$5*AVERAGE(IF(Master_Data!O461&lt;&gt;"",Master_Data!O461,Master_Data!H461),IF(Master_Data!O462&lt;&gt;"",Master_Data!O462,Master_Data!H462))))</f>
        <v/>
      </c>
      <c r="I461" s="20">
        <f>IF(G461="","",G461-H461)</f>
        <v/>
      </c>
      <c r="J461" s="20">
        <f>IF(G461="","",G461+H461)</f>
        <v/>
      </c>
      <c r="K461" s="20">
        <f>IF($A461="","",Master_Data!G461)</f>
        <v/>
      </c>
      <c r="L461" s="20">
        <f>IF($A461="","",Master_Data!G462)</f>
        <v/>
      </c>
      <c r="M461" s="20">
        <f>IF(AND(ISNUMBER(K461),ISNUMBER(L461)),L461-K461,"")</f>
        <v/>
      </c>
      <c r="N461" s="19">
        <f>IF(G461="","",IF(AND(ISNUMBER(K461),ISNUMBER(L461)),IF(OR(F461="GOC",F461="OWC",F461="GWC",F461="OWC_TRANSITION",F461="GOC_TRANSITION"),IF(L461&gt;=K461,"Supports","Conflicts"),"N/A"),"No Sw"))</f>
        <v/>
      </c>
      <c r="O461" s="20">
        <f>IF(G461="","",Settings!$B$6*IF(OR(F461="GOC",F461="OWC",F461="GWC"),1,0.7)+Settings!$B$7*IF(N461="Supports",1,IF(N461="Conflicts",0,0.5))+Settings!$B$8*IF(AND(Master_Data!R461&lt;&gt;"",Master_Data!S461&lt;&gt;"",Master_Data!R462&lt;&gt;"",Master_Data!S462&lt;&gt;""),1,0.5))</f>
        <v/>
      </c>
      <c r="P461" s="19">
        <f>IF(G461="","",IF(N461="Conflicts","SW_CONFLICT",IF(OR(F461="GOC",F461="OWC",F461="GWC"),"DIRECT_FLUID_TRANSITION","TRANSITION_INTERVAL")))</f>
        <v/>
      </c>
      <c r="Q461" s="19">
        <f>IF(G461="","",IF(N461="Conflicts","Investigate contact interpretation / saturation behaviour",IF(OR(F461="OWC",F461="GOC",F461="GWC"),"Candidate contact — validate with logs, pressure and dynamic evidence","Transition zone — do not force to a sharp contact")))</f>
        <v/>
      </c>
    </row>
    <row r="462">
      <c r="A462" s="19">
        <f>IF(AND(Master_Data!A462&lt;&gt;"",Master_Data!A462=Master_Data!A463),Master_Data!A462,"")</f>
        <v/>
      </c>
      <c r="B462" s="19">
        <f>IF($A462="","",Master_Data!B462)</f>
        <v/>
      </c>
      <c r="C462" s="19">
        <f>IF($A462="","",Master_Data!B463)</f>
        <v/>
      </c>
      <c r="D462" s="19">
        <f>IF($A462="","",Master_Data!Q462)</f>
        <v/>
      </c>
      <c r="E462" s="19">
        <f>IF($A462="","",Master_Data!Q463)</f>
        <v/>
      </c>
      <c r="F462" s="19">
        <f>IF($A462="","",IF(AND(D462="GAS",E462="OIL"),"GOC",IF(AND(D462="OIL",E462="WATER"),"OWC",IF(AND(D462="GAS",E462="WATER"),"GWC",IF(AND(D462="OIL",E462="OIL_WATER"),"OWC_TRANSITION",IF(AND(D462="OIL_WATER",E462="WATER"),"OWC_TRANSITION",IF(AND(D462="GAS",E462="GAS_WATER"),"GOC_TRANSITION",IF(AND(D462="GAS_WATER",E462="OIL"),"GOC_TRANSITION",IF(OR(D462="OIL_WATER",D462="GAS_WATER"),"TRANSITION_INTERVAL","")))))))))</f>
        <v/>
      </c>
      <c r="G462" s="20">
        <f>IF(OR(F462="",Master_Data!R462="",Master_Data!S462=""),"",IF(RIGHT(F462,10)="TRANSITION",AVERAGE(Master_Data!R462:Master_Data!S462),AVERAGE(Master_Data!S462,Master_Data!R463)))</f>
        <v/>
      </c>
      <c r="H462" s="20">
        <f>IF(G462="","",MAX(Settings!$B$4,Settings!$B$5*AVERAGE(IF(Master_Data!O462&lt;&gt;"",Master_Data!O462,Master_Data!H462),IF(Master_Data!O463&lt;&gt;"",Master_Data!O463,Master_Data!H463))))</f>
        <v/>
      </c>
      <c r="I462" s="20">
        <f>IF(G462="","",G462-H462)</f>
        <v/>
      </c>
      <c r="J462" s="20">
        <f>IF(G462="","",G462+H462)</f>
        <v/>
      </c>
      <c r="K462" s="20">
        <f>IF($A462="","",Master_Data!G462)</f>
        <v/>
      </c>
      <c r="L462" s="20">
        <f>IF($A462="","",Master_Data!G463)</f>
        <v/>
      </c>
      <c r="M462" s="20">
        <f>IF(AND(ISNUMBER(K462),ISNUMBER(L462)),L462-K462,"")</f>
        <v/>
      </c>
      <c r="N462" s="19">
        <f>IF(G462="","",IF(AND(ISNUMBER(K462),ISNUMBER(L462)),IF(OR(F462="GOC",F462="OWC",F462="GWC",F462="OWC_TRANSITION",F462="GOC_TRANSITION"),IF(L462&gt;=K462,"Supports","Conflicts"),"N/A"),"No Sw"))</f>
        <v/>
      </c>
      <c r="O462" s="20">
        <f>IF(G462="","",Settings!$B$6*IF(OR(F462="GOC",F462="OWC",F462="GWC"),1,0.7)+Settings!$B$7*IF(N462="Supports",1,IF(N462="Conflicts",0,0.5))+Settings!$B$8*IF(AND(Master_Data!R462&lt;&gt;"",Master_Data!S462&lt;&gt;"",Master_Data!R463&lt;&gt;"",Master_Data!S463&lt;&gt;""),1,0.5))</f>
        <v/>
      </c>
      <c r="P462" s="19">
        <f>IF(G462="","",IF(N462="Conflicts","SW_CONFLICT",IF(OR(F462="GOC",F462="OWC",F462="GWC"),"DIRECT_FLUID_TRANSITION","TRANSITION_INTERVAL")))</f>
        <v/>
      </c>
      <c r="Q462" s="19">
        <f>IF(G462="","",IF(N462="Conflicts","Investigate contact interpretation / saturation behaviour",IF(OR(F462="OWC",F462="GOC",F462="GWC"),"Candidate contact — validate with logs, pressure and dynamic evidence","Transition zone — do not force to a sharp contact")))</f>
        <v/>
      </c>
    </row>
    <row r="463">
      <c r="A463" s="19">
        <f>IF(AND(Master_Data!A463&lt;&gt;"",Master_Data!A463=Master_Data!A464),Master_Data!A463,"")</f>
        <v/>
      </c>
      <c r="B463" s="19">
        <f>IF($A463="","",Master_Data!B463)</f>
        <v/>
      </c>
      <c r="C463" s="19">
        <f>IF($A463="","",Master_Data!B464)</f>
        <v/>
      </c>
      <c r="D463" s="19">
        <f>IF($A463="","",Master_Data!Q463)</f>
        <v/>
      </c>
      <c r="E463" s="19">
        <f>IF($A463="","",Master_Data!Q464)</f>
        <v/>
      </c>
      <c r="F463" s="19">
        <f>IF($A463="","",IF(AND(D463="GAS",E463="OIL"),"GOC",IF(AND(D463="OIL",E463="WATER"),"OWC",IF(AND(D463="GAS",E463="WATER"),"GWC",IF(AND(D463="OIL",E463="OIL_WATER"),"OWC_TRANSITION",IF(AND(D463="OIL_WATER",E463="WATER"),"OWC_TRANSITION",IF(AND(D463="GAS",E463="GAS_WATER"),"GOC_TRANSITION",IF(AND(D463="GAS_WATER",E463="OIL"),"GOC_TRANSITION",IF(OR(D463="OIL_WATER",D463="GAS_WATER"),"TRANSITION_INTERVAL","")))))))))</f>
        <v/>
      </c>
      <c r="G463" s="20">
        <f>IF(OR(F463="",Master_Data!R463="",Master_Data!S463=""),"",IF(RIGHT(F463,10)="TRANSITION",AVERAGE(Master_Data!R463:Master_Data!S463),AVERAGE(Master_Data!S463,Master_Data!R464)))</f>
        <v/>
      </c>
      <c r="H463" s="20">
        <f>IF(G463="","",MAX(Settings!$B$4,Settings!$B$5*AVERAGE(IF(Master_Data!O463&lt;&gt;"",Master_Data!O463,Master_Data!H463),IF(Master_Data!O464&lt;&gt;"",Master_Data!O464,Master_Data!H464))))</f>
        <v/>
      </c>
      <c r="I463" s="20">
        <f>IF(G463="","",G463-H463)</f>
        <v/>
      </c>
      <c r="J463" s="20">
        <f>IF(G463="","",G463+H463)</f>
        <v/>
      </c>
      <c r="K463" s="20">
        <f>IF($A463="","",Master_Data!G463)</f>
        <v/>
      </c>
      <c r="L463" s="20">
        <f>IF($A463="","",Master_Data!G464)</f>
        <v/>
      </c>
      <c r="M463" s="20">
        <f>IF(AND(ISNUMBER(K463),ISNUMBER(L463)),L463-K463,"")</f>
        <v/>
      </c>
      <c r="N463" s="19">
        <f>IF(G463="","",IF(AND(ISNUMBER(K463),ISNUMBER(L463)),IF(OR(F463="GOC",F463="OWC",F463="GWC",F463="OWC_TRANSITION",F463="GOC_TRANSITION"),IF(L463&gt;=K463,"Supports","Conflicts"),"N/A"),"No Sw"))</f>
        <v/>
      </c>
      <c r="O463" s="20">
        <f>IF(G463="","",Settings!$B$6*IF(OR(F463="GOC",F463="OWC",F463="GWC"),1,0.7)+Settings!$B$7*IF(N463="Supports",1,IF(N463="Conflicts",0,0.5))+Settings!$B$8*IF(AND(Master_Data!R463&lt;&gt;"",Master_Data!S463&lt;&gt;"",Master_Data!R464&lt;&gt;"",Master_Data!S464&lt;&gt;""),1,0.5))</f>
        <v/>
      </c>
      <c r="P463" s="19">
        <f>IF(G463="","",IF(N463="Conflicts","SW_CONFLICT",IF(OR(F463="GOC",F463="OWC",F463="GWC"),"DIRECT_FLUID_TRANSITION","TRANSITION_INTERVAL")))</f>
        <v/>
      </c>
      <c r="Q463" s="19">
        <f>IF(G463="","",IF(N463="Conflicts","Investigate contact interpretation / saturation behaviour",IF(OR(F463="OWC",F463="GOC",F463="GWC"),"Candidate contact — validate with logs, pressure and dynamic evidence","Transition zone — do not force to a sharp contact")))</f>
        <v/>
      </c>
    </row>
    <row r="464">
      <c r="A464" s="19">
        <f>IF(AND(Master_Data!A464&lt;&gt;"",Master_Data!A464=Master_Data!A465),Master_Data!A464,"")</f>
        <v/>
      </c>
      <c r="B464" s="19">
        <f>IF($A464="","",Master_Data!B464)</f>
        <v/>
      </c>
      <c r="C464" s="19">
        <f>IF($A464="","",Master_Data!B465)</f>
        <v/>
      </c>
      <c r="D464" s="19">
        <f>IF($A464="","",Master_Data!Q464)</f>
        <v/>
      </c>
      <c r="E464" s="19">
        <f>IF($A464="","",Master_Data!Q465)</f>
        <v/>
      </c>
      <c r="F464" s="19">
        <f>IF($A464="","",IF(AND(D464="GAS",E464="OIL"),"GOC",IF(AND(D464="OIL",E464="WATER"),"OWC",IF(AND(D464="GAS",E464="WATER"),"GWC",IF(AND(D464="OIL",E464="OIL_WATER"),"OWC_TRANSITION",IF(AND(D464="OIL_WATER",E464="WATER"),"OWC_TRANSITION",IF(AND(D464="GAS",E464="GAS_WATER"),"GOC_TRANSITION",IF(AND(D464="GAS_WATER",E464="OIL"),"GOC_TRANSITION",IF(OR(D464="OIL_WATER",D464="GAS_WATER"),"TRANSITION_INTERVAL","")))))))))</f>
        <v/>
      </c>
      <c r="G464" s="20">
        <f>IF(OR(F464="",Master_Data!R464="",Master_Data!S464=""),"",IF(RIGHT(F464,10)="TRANSITION",AVERAGE(Master_Data!R464:Master_Data!S464),AVERAGE(Master_Data!S464,Master_Data!R465)))</f>
        <v/>
      </c>
      <c r="H464" s="20">
        <f>IF(G464="","",MAX(Settings!$B$4,Settings!$B$5*AVERAGE(IF(Master_Data!O464&lt;&gt;"",Master_Data!O464,Master_Data!H464),IF(Master_Data!O465&lt;&gt;"",Master_Data!O465,Master_Data!H465))))</f>
        <v/>
      </c>
      <c r="I464" s="20">
        <f>IF(G464="","",G464-H464)</f>
        <v/>
      </c>
      <c r="J464" s="20">
        <f>IF(G464="","",G464+H464)</f>
        <v/>
      </c>
      <c r="K464" s="20">
        <f>IF($A464="","",Master_Data!G464)</f>
        <v/>
      </c>
      <c r="L464" s="20">
        <f>IF($A464="","",Master_Data!G465)</f>
        <v/>
      </c>
      <c r="M464" s="20">
        <f>IF(AND(ISNUMBER(K464),ISNUMBER(L464)),L464-K464,"")</f>
        <v/>
      </c>
      <c r="N464" s="19">
        <f>IF(G464="","",IF(AND(ISNUMBER(K464),ISNUMBER(L464)),IF(OR(F464="GOC",F464="OWC",F464="GWC",F464="OWC_TRANSITION",F464="GOC_TRANSITION"),IF(L464&gt;=K464,"Supports","Conflicts"),"N/A"),"No Sw"))</f>
        <v/>
      </c>
      <c r="O464" s="20">
        <f>IF(G464="","",Settings!$B$6*IF(OR(F464="GOC",F464="OWC",F464="GWC"),1,0.7)+Settings!$B$7*IF(N464="Supports",1,IF(N464="Conflicts",0,0.5))+Settings!$B$8*IF(AND(Master_Data!R464&lt;&gt;"",Master_Data!S464&lt;&gt;"",Master_Data!R465&lt;&gt;"",Master_Data!S465&lt;&gt;""),1,0.5))</f>
        <v/>
      </c>
      <c r="P464" s="19">
        <f>IF(G464="","",IF(N464="Conflicts","SW_CONFLICT",IF(OR(F464="GOC",F464="OWC",F464="GWC"),"DIRECT_FLUID_TRANSITION","TRANSITION_INTERVAL")))</f>
        <v/>
      </c>
      <c r="Q464" s="19">
        <f>IF(G464="","",IF(N464="Conflicts","Investigate contact interpretation / saturation behaviour",IF(OR(F464="OWC",F464="GOC",F464="GWC"),"Candidate contact — validate with logs, pressure and dynamic evidence","Transition zone — do not force to a sharp contact")))</f>
        <v/>
      </c>
    </row>
    <row r="465">
      <c r="A465" s="19">
        <f>IF(AND(Master_Data!A465&lt;&gt;"",Master_Data!A465=Master_Data!A466),Master_Data!A465,"")</f>
        <v/>
      </c>
      <c r="B465" s="19">
        <f>IF($A465="","",Master_Data!B465)</f>
        <v/>
      </c>
      <c r="C465" s="19">
        <f>IF($A465="","",Master_Data!B466)</f>
        <v/>
      </c>
      <c r="D465" s="19">
        <f>IF($A465="","",Master_Data!Q465)</f>
        <v/>
      </c>
      <c r="E465" s="19">
        <f>IF($A465="","",Master_Data!Q466)</f>
        <v/>
      </c>
      <c r="F465" s="19">
        <f>IF($A465="","",IF(AND(D465="GAS",E465="OIL"),"GOC",IF(AND(D465="OIL",E465="WATER"),"OWC",IF(AND(D465="GAS",E465="WATER"),"GWC",IF(AND(D465="OIL",E465="OIL_WATER"),"OWC_TRANSITION",IF(AND(D465="OIL_WATER",E465="WATER"),"OWC_TRANSITION",IF(AND(D465="GAS",E465="GAS_WATER"),"GOC_TRANSITION",IF(AND(D465="GAS_WATER",E465="OIL"),"GOC_TRANSITION",IF(OR(D465="OIL_WATER",D465="GAS_WATER"),"TRANSITION_INTERVAL","")))))))))</f>
        <v/>
      </c>
      <c r="G465" s="20">
        <f>IF(OR(F465="",Master_Data!R465="",Master_Data!S465=""),"",IF(RIGHT(F465,10)="TRANSITION",AVERAGE(Master_Data!R465:Master_Data!S465),AVERAGE(Master_Data!S465,Master_Data!R466)))</f>
        <v/>
      </c>
      <c r="H465" s="20">
        <f>IF(G465="","",MAX(Settings!$B$4,Settings!$B$5*AVERAGE(IF(Master_Data!O465&lt;&gt;"",Master_Data!O465,Master_Data!H465),IF(Master_Data!O466&lt;&gt;"",Master_Data!O466,Master_Data!H466))))</f>
        <v/>
      </c>
      <c r="I465" s="20">
        <f>IF(G465="","",G465-H465)</f>
        <v/>
      </c>
      <c r="J465" s="20">
        <f>IF(G465="","",G465+H465)</f>
        <v/>
      </c>
      <c r="K465" s="20">
        <f>IF($A465="","",Master_Data!G465)</f>
        <v/>
      </c>
      <c r="L465" s="20">
        <f>IF($A465="","",Master_Data!G466)</f>
        <v/>
      </c>
      <c r="M465" s="20">
        <f>IF(AND(ISNUMBER(K465),ISNUMBER(L465)),L465-K465,"")</f>
        <v/>
      </c>
      <c r="N465" s="19">
        <f>IF(G465="","",IF(AND(ISNUMBER(K465),ISNUMBER(L465)),IF(OR(F465="GOC",F465="OWC",F465="GWC",F465="OWC_TRANSITION",F465="GOC_TRANSITION"),IF(L465&gt;=K465,"Supports","Conflicts"),"N/A"),"No Sw"))</f>
        <v/>
      </c>
      <c r="O465" s="20">
        <f>IF(G465="","",Settings!$B$6*IF(OR(F465="GOC",F465="OWC",F465="GWC"),1,0.7)+Settings!$B$7*IF(N465="Supports",1,IF(N465="Conflicts",0,0.5))+Settings!$B$8*IF(AND(Master_Data!R465&lt;&gt;"",Master_Data!S465&lt;&gt;"",Master_Data!R466&lt;&gt;"",Master_Data!S466&lt;&gt;""),1,0.5))</f>
        <v/>
      </c>
      <c r="P465" s="19">
        <f>IF(G465="","",IF(N465="Conflicts","SW_CONFLICT",IF(OR(F465="GOC",F465="OWC",F465="GWC"),"DIRECT_FLUID_TRANSITION","TRANSITION_INTERVAL")))</f>
        <v/>
      </c>
      <c r="Q465" s="19">
        <f>IF(G465="","",IF(N465="Conflicts","Investigate contact interpretation / saturation behaviour",IF(OR(F465="OWC",F465="GOC",F465="GWC"),"Candidate contact — validate with logs, pressure and dynamic evidence","Transition zone — do not force to a sharp contact")))</f>
        <v/>
      </c>
    </row>
    <row r="466">
      <c r="A466" s="19">
        <f>IF(AND(Master_Data!A466&lt;&gt;"",Master_Data!A466=Master_Data!A467),Master_Data!A466,"")</f>
        <v/>
      </c>
      <c r="B466" s="19">
        <f>IF($A466="","",Master_Data!B466)</f>
        <v/>
      </c>
      <c r="C466" s="19">
        <f>IF($A466="","",Master_Data!B467)</f>
        <v/>
      </c>
      <c r="D466" s="19">
        <f>IF($A466="","",Master_Data!Q466)</f>
        <v/>
      </c>
      <c r="E466" s="19">
        <f>IF($A466="","",Master_Data!Q467)</f>
        <v/>
      </c>
      <c r="F466" s="19">
        <f>IF($A466="","",IF(AND(D466="GAS",E466="OIL"),"GOC",IF(AND(D466="OIL",E466="WATER"),"OWC",IF(AND(D466="GAS",E466="WATER"),"GWC",IF(AND(D466="OIL",E466="OIL_WATER"),"OWC_TRANSITION",IF(AND(D466="OIL_WATER",E466="WATER"),"OWC_TRANSITION",IF(AND(D466="GAS",E466="GAS_WATER"),"GOC_TRANSITION",IF(AND(D466="GAS_WATER",E466="OIL"),"GOC_TRANSITION",IF(OR(D466="OIL_WATER",D466="GAS_WATER"),"TRANSITION_INTERVAL","")))))))))</f>
        <v/>
      </c>
      <c r="G466" s="20">
        <f>IF(OR(F466="",Master_Data!R466="",Master_Data!S466=""),"",IF(RIGHT(F466,10)="TRANSITION",AVERAGE(Master_Data!R466:Master_Data!S466),AVERAGE(Master_Data!S466,Master_Data!R467)))</f>
        <v/>
      </c>
      <c r="H466" s="20">
        <f>IF(G466="","",MAX(Settings!$B$4,Settings!$B$5*AVERAGE(IF(Master_Data!O466&lt;&gt;"",Master_Data!O466,Master_Data!H466),IF(Master_Data!O467&lt;&gt;"",Master_Data!O467,Master_Data!H467))))</f>
        <v/>
      </c>
      <c r="I466" s="20">
        <f>IF(G466="","",G466-H466)</f>
        <v/>
      </c>
      <c r="J466" s="20">
        <f>IF(G466="","",G466+H466)</f>
        <v/>
      </c>
      <c r="K466" s="20">
        <f>IF($A466="","",Master_Data!G466)</f>
        <v/>
      </c>
      <c r="L466" s="20">
        <f>IF($A466="","",Master_Data!G467)</f>
        <v/>
      </c>
      <c r="M466" s="20">
        <f>IF(AND(ISNUMBER(K466),ISNUMBER(L466)),L466-K466,"")</f>
        <v/>
      </c>
      <c r="N466" s="19">
        <f>IF(G466="","",IF(AND(ISNUMBER(K466),ISNUMBER(L466)),IF(OR(F466="GOC",F466="OWC",F466="GWC",F466="OWC_TRANSITION",F466="GOC_TRANSITION"),IF(L466&gt;=K466,"Supports","Conflicts"),"N/A"),"No Sw"))</f>
        <v/>
      </c>
      <c r="O466" s="20">
        <f>IF(G466="","",Settings!$B$6*IF(OR(F466="GOC",F466="OWC",F466="GWC"),1,0.7)+Settings!$B$7*IF(N466="Supports",1,IF(N466="Conflicts",0,0.5))+Settings!$B$8*IF(AND(Master_Data!R466&lt;&gt;"",Master_Data!S466&lt;&gt;"",Master_Data!R467&lt;&gt;"",Master_Data!S467&lt;&gt;""),1,0.5))</f>
        <v/>
      </c>
      <c r="P466" s="19">
        <f>IF(G466="","",IF(N466="Conflicts","SW_CONFLICT",IF(OR(F466="GOC",F466="OWC",F466="GWC"),"DIRECT_FLUID_TRANSITION","TRANSITION_INTERVAL")))</f>
        <v/>
      </c>
      <c r="Q466" s="19">
        <f>IF(G466="","",IF(N466="Conflicts","Investigate contact interpretation / saturation behaviour",IF(OR(F466="OWC",F466="GOC",F466="GWC"),"Candidate contact — validate with logs, pressure and dynamic evidence","Transition zone — do not force to a sharp contact")))</f>
        <v/>
      </c>
    </row>
    <row r="467">
      <c r="A467" s="19">
        <f>IF(AND(Master_Data!A467&lt;&gt;"",Master_Data!A467=Master_Data!A468),Master_Data!A467,"")</f>
        <v/>
      </c>
      <c r="B467" s="19">
        <f>IF($A467="","",Master_Data!B467)</f>
        <v/>
      </c>
      <c r="C467" s="19">
        <f>IF($A467="","",Master_Data!B468)</f>
        <v/>
      </c>
      <c r="D467" s="19">
        <f>IF($A467="","",Master_Data!Q467)</f>
        <v/>
      </c>
      <c r="E467" s="19">
        <f>IF($A467="","",Master_Data!Q468)</f>
        <v/>
      </c>
      <c r="F467" s="19">
        <f>IF($A467="","",IF(AND(D467="GAS",E467="OIL"),"GOC",IF(AND(D467="OIL",E467="WATER"),"OWC",IF(AND(D467="GAS",E467="WATER"),"GWC",IF(AND(D467="OIL",E467="OIL_WATER"),"OWC_TRANSITION",IF(AND(D467="OIL_WATER",E467="WATER"),"OWC_TRANSITION",IF(AND(D467="GAS",E467="GAS_WATER"),"GOC_TRANSITION",IF(AND(D467="GAS_WATER",E467="OIL"),"GOC_TRANSITION",IF(OR(D467="OIL_WATER",D467="GAS_WATER"),"TRANSITION_INTERVAL","")))))))))</f>
        <v/>
      </c>
      <c r="G467" s="20">
        <f>IF(OR(F467="",Master_Data!R467="",Master_Data!S467=""),"",IF(RIGHT(F467,10)="TRANSITION",AVERAGE(Master_Data!R467:Master_Data!S467),AVERAGE(Master_Data!S467,Master_Data!R468)))</f>
        <v/>
      </c>
      <c r="H467" s="20">
        <f>IF(G467="","",MAX(Settings!$B$4,Settings!$B$5*AVERAGE(IF(Master_Data!O467&lt;&gt;"",Master_Data!O467,Master_Data!H467),IF(Master_Data!O468&lt;&gt;"",Master_Data!O468,Master_Data!H468))))</f>
        <v/>
      </c>
      <c r="I467" s="20">
        <f>IF(G467="","",G467-H467)</f>
        <v/>
      </c>
      <c r="J467" s="20">
        <f>IF(G467="","",G467+H467)</f>
        <v/>
      </c>
      <c r="K467" s="20">
        <f>IF($A467="","",Master_Data!G467)</f>
        <v/>
      </c>
      <c r="L467" s="20">
        <f>IF($A467="","",Master_Data!G468)</f>
        <v/>
      </c>
      <c r="M467" s="20">
        <f>IF(AND(ISNUMBER(K467),ISNUMBER(L467)),L467-K467,"")</f>
        <v/>
      </c>
      <c r="N467" s="19">
        <f>IF(G467="","",IF(AND(ISNUMBER(K467),ISNUMBER(L467)),IF(OR(F467="GOC",F467="OWC",F467="GWC",F467="OWC_TRANSITION",F467="GOC_TRANSITION"),IF(L467&gt;=K467,"Supports","Conflicts"),"N/A"),"No Sw"))</f>
        <v/>
      </c>
      <c r="O467" s="20">
        <f>IF(G467="","",Settings!$B$6*IF(OR(F467="GOC",F467="OWC",F467="GWC"),1,0.7)+Settings!$B$7*IF(N467="Supports",1,IF(N467="Conflicts",0,0.5))+Settings!$B$8*IF(AND(Master_Data!R467&lt;&gt;"",Master_Data!S467&lt;&gt;"",Master_Data!R468&lt;&gt;"",Master_Data!S468&lt;&gt;""),1,0.5))</f>
        <v/>
      </c>
      <c r="P467" s="19">
        <f>IF(G467="","",IF(N467="Conflicts","SW_CONFLICT",IF(OR(F467="GOC",F467="OWC",F467="GWC"),"DIRECT_FLUID_TRANSITION","TRANSITION_INTERVAL")))</f>
        <v/>
      </c>
      <c r="Q467" s="19">
        <f>IF(G467="","",IF(N467="Conflicts","Investigate contact interpretation / saturation behaviour",IF(OR(F467="OWC",F467="GOC",F467="GWC"),"Candidate contact — validate with logs, pressure and dynamic evidence","Transition zone — do not force to a sharp contact")))</f>
        <v/>
      </c>
    </row>
    <row r="468">
      <c r="A468" s="19">
        <f>IF(AND(Master_Data!A468&lt;&gt;"",Master_Data!A468=Master_Data!A469),Master_Data!A468,"")</f>
        <v/>
      </c>
      <c r="B468" s="19">
        <f>IF($A468="","",Master_Data!B468)</f>
        <v/>
      </c>
      <c r="C468" s="19">
        <f>IF($A468="","",Master_Data!B469)</f>
        <v/>
      </c>
      <c r="D468" s="19">
        <f>IF($A468="","",Master_Data!Q468)</f>
        <v/>
      </c>
      <c r="E468" s="19">
        <f>IF($A468="","",Master_Data!Q469)</f>
        <v/>
      </c>
      <c r="F468" s="19">
        <f>IF($A468="","",IF(AND(D468="GAS",E468="OIL"),"GOC",IF(AND(D468="OIL",E468="WATER"),"OWC",IF(AND(D468="GAS",E468="WATER"),"GWC",IF(AND(D468="OIL",E468="OIL_WATER"),"OWC_TRANSITION",IF(AND(D468="OIL_WATER",E468="WATER"),"OWC_TRANSITION",IF(AND(D468="GAS",E468="GAS_WATER"),"GOC_TRANSITION",IF(AND(D468="GAS_WATER",E468="OIL"),"GOC_TRANSITION",IF(OR(D468="OIL_WATER",D468="GAS_WATER"),"TRANSITION_INTERVAL","")))))))))</f>
        <v/>
      </c>
      <c r="G468" s="20">
        <f>IF(OR(F468="",Master_Data!R468="",Master_Data!S468=""),"",IF(RIGHT(F468,10)="TRANSITION",AVERAGE(Master_Data!R468:Master_Data!S468),AVERAGE(Master_Data!S468,Master_Data!R469)))</f>
        <v/>
      </c>
      <c r="H468" s="20">
        <f>IF(G468="","",MAX(Settings!$B$4,Settings!$B$5*AVERAGE(IF(Master_Data!O468&lt;&gt;"",Master_Data!O468,Master_Data!H468),IF(Master_Data!O469&lt;&gt;"",Master_Data!O469,Master_Data!H469))))</f>
        <v/>
      </c>
      <c r="I468" s="20">
        <f>IF(G468="","",G468-H468)</f>
        <v/>
      </c>
      <c r="J468" s="20">
        <f>IF(G468="","",G468+H468)</f>
        <v/>
      </c>
      <c r="K468" s="20">
        <f>IF($A468="","",Master_Data!G468)</f>
        <v/>
      </c>
      <c r="L468" s="20">
        <f>IF($A468="","",Master_Data!G469)</f>
        <v/>
      </c>
      <c r="M468" s="20">
        <f>IF(AND(ISNUMBER(K468),ISNUMBER(L468)),L468-K468,"")</f>
        <v/>
      </c>
      <c r="N468" s="19">
        <f>IF(G468="","",IF(AND(ISNUMBER(K468),ISNUMBER(L468)),IF(OR(F468="GOC",F468="OWC",F468="GWC",F468="OWC_TRANSITION",F468="GOC_TRANSITION"),IF(L468&gt;=K468,"Supports","Conflicts"),"N/A"),"No Sw"))</f>
        <v/>
      </c>
      <c r="O468" s="20">
        <f>IF(G468="","",Settings!$B$6*IF(OR(F468="GOC",F468="OWC",F468="GWC"),1,0.7)+Settings!$B$7*IF(N468="Supports",1,IF(N468="Conflicts",0,0.5))+Settings!$B$8*IF(AND(Master_Data!R468&lt;&gt;"",Master_Data!S468&lt;&gt;"",Master_Data!R469&lt;&gt;"",Master_Data!S469&lt;&gt;""),1,0.5))</f>
        <v/>
      </c>
      <c r="P468" s="19">
        <f>IF(G468="","",IF(N468="Conflicts","SW_CONFLICT",IF(OR(F468="GOC",F468="OWC",F468="GWC"),"DIRECT_FLUID_TRANSITION","TRANSITION_INTERVAL")))</f>
        <v/>
      </c>
      <c r="Q468" s="19">
        <f>IF(G468="","",IF(N468="Conflicts","Investigate contact interpretation / saturation behaviour",IF(OR(F468="OWC",F468="GOC",F468="GWC"),"Candidate contact — validate with logs, pressure and dynamic evidence","Transition zone — do not force to a sharp contact")))</f>
        <v/>
      </c>
    </row>
    <row r="469">
      <c r="A469" s="19">
        <f>IF(AND(Master_Data!A469&lt;&gt;"",Master_Data!A469=Master_Data!A470),Master_Data!A469,"")</f>
        <v/>
      </c>
      <c r="B469" s="19">
        <f>IF($A469="","",Master_Data!B469)</f>
        <v/>
      </c>
      <c r="C469" s="19">
        <f>IF($A469="","",Master_Data!B470)</f>
        <v/>
      </c>
      <c r="D469" s="19">
        <f>IF($A469="","",Master_Data!Q469)</f>
        <v/>
      </c>
      <c r="E469" s="19">
        <f>IF($A469="","",Master_Data!Q470)</f>
        <v/>
      </c>
      <c r="F469" s="19">
        <f>IF($A469="","",IF(AND(D469="GAS",E469="OIL"),"GOC",IF(AND(D469="OIL",E469="WATER"),"OWC",IF(AND(D469="GAS",E469="WATER"),"GWC",IF(AND(D469="OIL",E469="OIL_WATER"),"OWC_TRANSITION",IF(AND(D469="OIL_WATER",E469="WATER"),"OWC_TRANSITION",IF(AND(D469="GAS",E469="GAS_WATER"),"GOC_TRANSITION",IF(AND(D469="GAS_WATER",E469="OIL"),"GOC_TRANSITION",IF(OR(D469="OIL_WATER",D469="GAS_WATER"),"TRANSITION_INTERVAL","")))))))))</f>
        <v/>
      </c>
      <c r="G469" s="20">
        <f>IF(OR(F469="",Master_Data!R469="",Master_Data!S469=""),"",IF(RIGHT(F469,10)="TRANSITION",AVERAGE(Master_Data!R469:Master_Data!S469),AVERAGE(Master_Data!S469,Master_Data!R470)))</f>
        <v/>
      </c>
      <c r="H469" s="20">
        <f>IF(G469="","",MAX(Settings!$B$4,Settings!$B$5*AVERAGE(IF(Master_Data!O469&lt;&gt;"",Master_Data!O469,Master_Data!H469),IF(Master_Data!O470&lt;&gt;"",Master_Data!O470,Master_Data!H470))))</f>
        <v/>
      </c>
      <c r="I469" s="20">
        <f>IF(G469="","",G469-H469)</f>
        <v/>
      </c>
      <c r="J469" s="20">
        <f>IF(G469="","",G469+H469)</f>
        <v/>
      </c>
      <c r="K469" s="20">
        <f>IF($A469="","",Master_Data!G469)</f>
        <v/>
      </c>
      <c r="L469" s="20">
        <f>IF($A469="","",Master_Data!G470)</f>
        <v/>
      </c>
      <c r="M469" s="20">
        <f>IF(AND(ISNUMBER(K469),ISNUMBER(L469)),L469-K469,"")</f>
        <v/>
      </c>
      <c r="N469" s="19">
        <f>IF(G469="","",IF(AND(ISNUMBER(K469),ISNUMBER(L469)),IF(OR(F469="GOC",F469="OWC",F469="GWC",F469="OWC_TRANSITION",F469="GOC_TRANSITION"),IF(L469&gt;=K469,"Supports","Conflicts"),"N/A"),"No Sw"))</f>
        <v/>
      </c>
      <c r="O469" s="20">
        <f>IF(G469="","",Settings!$B$6*IF(OR(F469="GOC",F469="OWC",F469="GWC"),1,0.7)+Settings!$B$7*IF(N469="Supports",1,IF(N469="Conflicts",0,0.5))+Settings!$B$8*IF(AND(Master_Data!R469&lt;&gt;"",Master_Data!S469&lt;&gt;"",Master_Data!R470&lt;&gt;"",Master_Data!S470&lt;&gt;""),1,0.5))</f>
        <v/>
      </c>
      <c r="P469" s="19">
        <f>IF(G469="","",IF(N469="Conflicts","SW_CONFLICT",IF(OR(F469="GOC",F469="OWC",F469="GWC"),"DIRECT_FLUID_TRANSITION","TRANSITION_INTERVAL")))</f>
        <v/>
      </c>
      <c r="Q469" s="19">
        <f>IF(G469="","",IF(N469="Conflicts","Investigate contact interpretation / saturation behaviour",IF(OR(F469="OWC",F469="GOC",F469="GWC"),"Candidate contact — validate with logs, pressure and dynamic evidence","Transition zone — do not force to a sharp contact")))</f>
        <v/>
      </c>
    </row>
    <row r="470">
      <c r="A470" s="19">
        <f>IF(AND(Master_Data!A470&lt;&gt;"",Master_Data!A470=Master_Data!A471),Master_Data!A470,"")</f>
        <v/>
      </c>
      <c r="B470" s="19">
        <f>IF($A470="","",Master_Data!B470)</f>
        <v/>
      </c>
      <c r="C470" s="19">
        <f>IF($A470="","",Master_Data!B471)</f>
        <v/>
      </c>
      <c r="D470" s="19">
        <f>IF($A470="","",Master_Data!Q470)</f>
        <v/>
      </c>
      <c r="E470" s="19">
        <f>IF($A470="","",Master_Data!Q471)</f>
        <v/>
      </c>
      <c r="F470" s="19">
        <f>IF($A470="","",IF(AND(D470="GAS",E470="OIL"),"GOC",IF(AND(D470="OIL",E470="WATER"),"OWC",IF(AND(D470="GAS",E470="WATER"),"GWC",IF(AND(D470="OIL",E470="OIL_WATER"),"OWC_TRANSITION",IF(AND(D470="OIL_WATER",E470="WATER"),"OWC_TRANSITION",IF(AND(D470="GAS",E470="GAS_WATER"),"GOC_TRANSITION",IF(AND(D470="GAS_WATER",E470="OIL"),"GOC_TRANSITION",IF(OR(D470="OIL_WATER",D470="GAS_WATER"),"TRANSITION_INTERVAL","")))))))))</f>
        <v/>
      </c>
      <c r="G470" s="20">
        <f>IF(OR(F470="",Master_Data!R470="",Master_Data!S470=""),"",IF(RIGHT(F470,10)="TRANSITION",AVERAGE(Master_Data!R470:Master_Data!S470),AVERAGE(Master_Data!S470,Master_Data!R471)))</f>
        <v/>
      </c>
      <c r="H470" s="20">
        <f>IF(G470="","",MAX(Settings!$B$4,Settings!$B$5*AVERAGE(IF(Master_Data!O470&lt;&gt;"",Master_Data!O470,Master_Data!H470),IF(Master_Data!O471&lt;&gt;"",Master_Data!O471,Master_Data!H471))))</f>
        <v/>
      </c>
      <c r="I470" s="20">
        <f>IF(G470="","",G470-H470)</f>
        <v/>
      </c>
      <c r="J470" s="20">
        <f>IF(G470="","",G470+H470)</f>
        <v/>
      </c>
      <c r="K470" s="20">
        <f>IF($A470="","",Master_Data!G470)</f>
        <v/>
      </c>
      <c r="L470" s="20">
        <f>IF($A470="","",Master_Data!G471)</f>
        <v/>
      </c>
      <c r="M470" s="20">
        <f>IF(AND(ISNUMBER(K470),ISNUMBER(L470)),L470-K470,"")</f>
        <v/>
      </c>
      <c r="N470" s="19">
        <f>IF(G470="","",IF(AND(ISNUMBER(K470),ISNUMBER(L470)),IF(OR(F470="GOC",F470="OWC",F470="GWC",F470="OWC_TRANSITION",F470="GOC_TRANSITION"),IF(L470&gt;=K470,"Supports","Conflicts"),"N/A"),"No Sw"))</f>
        <v/>
      </c>
      <c r="O470" s="20">
        <f>IF(G470="","",Settings!$B$6*IF(OR(F470="GOC",F470="OWC",F470="GWC"),1,0.7)+Settings!$B$7*IF(N470="Supports",1,IF(N470="Conflicts",0,0.5))+Settings!$B$8*IF(AND(Master_Data!R470&lt;&gt;"",Master_Data!S470&lt;&gt;"",Master_Data!R471&lt;&gt;"",Master_Data!S471&lt;&gt;""),1,0.5))</f>
        <v/>
      </c>
      <c r="P470" s="19">
        <f>IF(G470="","",IF(N470="Conflicts","SW_CONFLICT",IF(OR(F470="GOC",F470="OWC",F470="GWC"),"DIRECT_FLUID_TRANSITION","TRANSITION_INTERVAL")))</f>
        <v/>
      </c>
      <c r="Q470" s="19">
        <f>IF(G470="","",IF(N470="Conflicts","Investigate contact interpretation / saturation behaviour",IF(OR(F470="OWC",F470="GOC",F470="GWC"),"Candidate contact — validate with logs, pressure and dynamic evidence","Transition zone — do not force to a sharp contact")))</f>
        <v/>
      </c>
    </row>
    <row r="471">
      <c r="A471" s="19">
        <f>IF(AND(Master_Data!A471&lt;&gt;"",Master_Data!A471=Master_Data!A472),Master_Data!A471,"")</f>
        <v/>
      </c>
      <c r="B471" s="19">
        <f>IF($A471="","",Master_Data!B471)</f>
        <v/>
      </c>
      <c r="C471" s="19">
        <f>IF($A471="","",Master_Data!B472)</f>
        <v/>
      </c>
      <c r="D471" s="19">
        <f>IF($A471="","",Master_Data!Q471)</f>
        <v/>
      </c>
      <c r="E471" s="19">
        <f>IF($A471="","",Master_Data!Q472)</f>
        <v/>
      </c>
      <c r="F471" s="19">
        <f>IF($A471="","",IF(AND(D471="GAS",E471="OIL"),"GOC",IF(AND(D471="OIL",E471="WATER"),"OWC",IF(AND(D471="GAS",E471="WATER"),"GWC",IF(AND(D471="OIL",E471="OIL_WATER"),"OWC_TRANSITION",IF(AND(D471="OIL_WATER",E471="WATER"),"OWC_TRANSITION",IF(AND(D471="GAS",E471="GAS_WATER"),"GOC_TRANSITION",IF(AND(D471="GAS_WATER",E471="OIL"),"GOC_TRANSITION",IF(OR(D471="OIL_WATER",D471="GAS_WATER"),"TRANSITION_INTERVAL","")))))))))</f>
        <v/>
      </c>
      <c r="G471" s="20">
        <f>IF(OR(F471="",Master_Data!R471="",Master_Data!S471=""),"",IF(RIGHT(F471,10)="TRANSITION",AVERAGE(Master_Data!R471:Master_Data!S471),AVERAGE(Master_Data!S471,Master_Data!R472)))</f>
        <v/>
      </c>
      <c r="H471" s="20">
        <f>IF(G471="","",MAX(Settings!$B$4,Settings!$B$5*AVERAGE(IF(Master_Data!O471&lt;&gt;"",Master_Data!O471,Master_Data!H471),IF(Master_Data!O472&lt;&gt;"",Master_Data!O472,Master_Data!H472))))</f>
        <v/>
      </c>
      <c r="I471" s="20">
        <f>IF(G471="","",G471-H471)</f>
        <v/>
      </c>
      <c r="J471" s="20">
        <f>IF(G471="","",G471+H471)</f>
        <v/>
      </c>
      <c r="K471" s="20">
        <f>IF($A471="","",Master_Data!G471)</f>
        <v/>
      </c>
      <c r="L471" s="20">
        <f>IF($A471="","",Master_Data!G472)</f>
        <v/>
      </c>
      <c r="M471" s="20">
        <f>IF(AND(ISNUMBER(K471),ISNUMBER(L471)),L471-K471,"")</f>
        <v/>
      </c>
      <c r="N471" s="19">
        <f>IF(G471="","",IF(AND(ISNUMBER(K471),ISNUMBER(L471)),IF(OR(F471="GOC",F471="OWC",F471="GWC",F471="OWC_TRANSITION",F471="GOC_TRANSITION"),IF(L471&gt;=K471,"Supports","Conflicts"),"N/A"),"No Sw"))</f>
        <v/>
      </c>
      <c r="O471" s="20">
        <f>IF(G471="","",Settings!$B$6*IF(OR(F471="GOC",F471="OWC",F471="GWC"),1,0.7)+Settings!$B$7*IF(N471="Supports",1,IF(N471="Conflicts",0,0.5))+Settings!$B$8*IF(AND(Master_Data!R471&lt;&gt;"",Master_Data!S471&lt;&gt;"",Master_Data!R472&lt;&gt;"",Master_Data!S472&lt;&gt;""),1,0.5))</f>
        <v/>
      </c>
      <c r="P471" s="19">
        <f>IF(G471="","",IF(N471="Conflicts","SW_CONFLICT",IF(OR(F471="GOC",F471="OWC",F471="GWC"),"DIRECT_FLUID_TRANSITION","TRANSITION_INTERVAL")))</f>
        <v/>
      </c>
      <c r="Q471" s="19">
        <f>IF(G471="","",IF(N471="Conflicts","Investigate contact interpretation / saturation behaviour",IF(OR(F471="OWC",F471="GOC",F471="GWC"),"Candidate contact — validate with logs, pressure and dynamic evidence","Transition zone — do not force to a sharp contact")))</f>
        <v/>
      </c>
    </row>
    <row r="472">
      <c r="A472" s="19">
        <f>IF(AND(Master_Data!A472&lt;&gt;"",Master_Data!A472=Master_Data!A473),Master_Data!A472,"")</f>
        <v/>
      </c>
      <c r="B472" s="19">
        <f>IF($A472="","",Master_Data!B472)</f>
        <v/>
      </c>
      <c r="C472" s="19">
        <f>IF($A472="","",Master_Data!B473)</f>
        <v/>
      </c>
      <c r="D472" s="19">
        <f>IF($A472="","",Master_Data!Q472)</f>
        <v/>
      </c>
      <c r="E472" s="19">
        <f>IF($A472="","",Master_Data!Q473)</f>
        <v/>
      </c>
      <c r="F472" s="19">
        <f>IF($A472="","",IF(AND(D472="GAS",E472="OIL"),"GOC",IF(AND(D472="OIL",E472="WATER"),"OWC",IF(AND(D472="GAS",E472="WATER"),"GWC",IF(AND(D472="OIL",E472="OIL_WATER"),"OWC_TRANSITION",IF(AND(D472="OIL_WATER",E472="WATER"),"OWC_TRANSITION",IF(AND(D472="GAS",E472="GAS_WATER"),"GOC_TRANSITION",IF(AND(D472="GAS_WATER",E472="OIL"),"GOC_TRANSITION",IF(OR(D472="OIL_WATER",D472="GAS_WATER"),"TRANSITION_INTERVAL","")))))))))</f>
        <v/>
      </c>
      <c r="G472" s="20">
        <f>IF(OR(F472="",Master_Data!R472="",Master_Data!S472=""),"",IF(RIGHT(F472,10)="TRANSITION",AVERAGE(Master_Data!R472:Master_Data!S472),AVERAGE(Master_Data!S472,Master_Data!R473)))</f>
        <v/>
      </c>
      <c r="H472" s="20">
        <f>IF(G472="","",MAX(Settings!$B$4,Settings!$B$5*AVERAGE(IF(Master_Data!O472&lt;&gt;"",Master_Data!O472,Master_Data!H472),IF(Master_Data!O473&lt;&gt;"",Master_Data!O473,Master_Data!H473))))</f>
        <v/>
      </c>
      <c r="I472" s="20">
        <f>IF(G472="","",G472-H472)</f>
        <v/>
      </c>
      <c r="J472" s="20">
        <f>IF(G472="","",G472+H472)</f>
        <v/>
      </c>
      <c r="K472" s="20">
        <f>IF($A472="","",Master_Data!G472)</f>
        <v/>
      </c>
      <c r="L472" s="20">
        <f>IF($A472="","",Master_Data!G473)</f>
        <v/>
      </c>
      <c r="M472" s="20">
        <f>IF(AND(ISNUMBER(K472),ISNUMBER(L472)),L472-K472,"")</f>
        <v/>
      </c>
      <c r="N472" s="19">
        <f>IF(G472="","",IF(AND(ISNUMBER(K472),ISNUMBER(L472)),IF(OR(F472="GOC",F472="OWC",F472="GWC",F472="OWC_TRANSITION",F472="GOC_TRANSITION"),IF(L472&gt;=K472,"Supports","Conflicts"),"N/A"),"No Sw"))</f>
        <v/>
      </c>
      <c r="O472" s="20">
        <f>IF(G472="","",Settings!$B$6*IF(OR(F472="GOC",F472="OWC",F472="GWC"),1,0.7)+Settings!$B$7*IF(N472="Supports",1,IF(N472="Conflicts",0,0.5))+Settings!$B$8*IF(AND(Master_Data!R472&lt;&gt;"",Master_Data!S472&lt;&gt;"",Master_Data!R473&lt;&gt;"",Master_Data!S473&lt;&gt;""),1,0.5))</f>
        <v/>
      </c>
      <c r="P472" s="19">
        <f>IF(G472="","",IF(N472="Conflicts","SW_CONFLICT",IF(OR(F472="GOC",F472="OWC",F472="GWC"),"DIRECT_FLUID_TRANSITION","TRANSITION_INTERVAL")))</f>
        <v/>
      </c>
      <c r="Q472" s="19">
        <f>IF(G472="","",IF(N472="Conflicts","Investigate contact interpretation / saturation behaviour",IF(OR(F472="OWC",F472="GOC",F472="GWC"),"Candidate contact — validate with logs, pressure and dynamic evidence","Transition zone — do not force to a sharp contact")))</f>
        <v/>
      </c>
    </row>
    <row r="473">
      <c r="A473" s="19">
        <f>IF(AND(Master_Data!A473&lt;&gt;"",Master_Data!A473=Master_Data!A474),Master_Data!A473,"")</f>
        <v/>
      </c>
      <c r="B473" s="19">
        <f>IF($A473="","",Master_Data!B473)</f>
        <v/>
      </c>
      <c r="C473" s="19">
        <f>IF($A473="","",Master_Data!B474)</f>
        <v/>
      </c>
      <c r="D473" s="19">
        <f>IF($A473="","",Master_Data!Q473)</f>
        <v/>
      </c>
      <c r="E473" s="19">
        <f>IF($A473="","",Master_Data!Q474)</f>
        <v/>
      </c>
      <c r="F473" s="19">
        <f>IF($A473="","",IF(AND(D473="GAS",E473="OIL"),"GOC",IF(AND(D473="OIL",E473="WATER"),"OWC",IF(AND(D473="GAS",E473="WATER"),"GWC",IF(AND(D473="OIL",E473="OIL_WATER"),"OWC_TRANSITION",IF(AND(D473="OIL_WATER",E473="WATER"),"OWC_TRANSITION",IF(AND(D473="GAS",E473="GAS_WATER"),"GOC_TRANSITION",IF(AND(D473="GAS_WATER",E473="OIL"),"GOC_TRANSITION",IF(OR(D473="OIL_WATER",D473="GAS_WATER"),"TRANSITION_INTERVAL","")))))))))</f>
        <v/>
      </c>
      <c r="G473" s="20">
        <f>IF(OR(F473="",Master_Data!R473="",Master_Data!S473=""),"",IF(RIGHT(F473,10)="TRANSITION",AVERAGE(Master_Data!R473:Master_Data!S473),AVERAGE(Master_Data!S473,Master_Data!R474)))</f>
        <v/>
      </c>
      <c r="H473" s="20">
        <f>IF(G473="","",MAX(Settings!$B$4,Settings!$B$5*AVERAGE(IF(Master_Data!O473&lt;&gt;"",Master_Data!O473,Master_Data!H473),IF(Master_Data!O474&lt;&gt;"",Master_Data!O474,Master_Data!H474))))</f>
        <v/>
      </c>
      <c r="I473" s="20">
        <f>IF(G473="","",G473-H473)</f>
        <v/>
      </c>
      <c r="J473" s="20">
        <f>IF(G473="","",G473+H473)</f>
        <v/>
      </c>
      <c r="K473" s="20">
        <f>IF($A473="","",Master_Data!G473)</f>
        <v/>
      </c>
      <c r="L473" s="20">
        <f>IF($A473="","",Master_Data!G474)</f>
        <v/>
      </c>
      <c r="M473" s="20">
        <f>IF(AND(ISNUMBER(K473),ISNUMBER(L473)),L473-K473,"")</f>
        <v/>
      </c>
      <c r="N473" s="19">
        <f>IF(G473="","",IF(AND(ISNUMBER(K473),ISNUMBER(L473)),IF(OR(F473="GOC",F473="OWC",F473="GWC",F473="OWC_TRANSITION",F473="GOC_TRANSITION"),IF(L473&gt;=K473,"Supports","Conflicts"),"N/A"),"No Sw"))</f>
        <v/>
      </c>
      <c r="O473" s="20">
        <f>IF(G473="","",Settings!$B$6*IF(OR(F473="GOC",F473="OWC",F473="GWC"),1,0.7)+Settings!$B$7*IF(N473="Supports",1,IF(N473="Conflicts",0,0.5))+Settings!$B$8*IF(AND(Master_Data!R473&lt;&gt;"",Master_Data!S473&lt;&gt;"",Master_Data!R474&lt;&gt;"",Master_Data!S474&lt;&gt;""),1,0.5))</f>
        <v/>
      </c>
      <c r="P473" s="19">
        <f>IF(G473="","",IF(N473="Conflicts","SW_CONFLICT",IF(OR(F473="GOC",F473="OWC",F473="GWC"),"DIRECT_FLUID_TRANSITION","TRANSITION_INTERVAL")))</f>
        <v/>
      </c>
      <c r="Q473" s="19">
        <f>IF(G473="","",IF(N473="Conflicts","Investigate contact interpretation / saturation behaviour",IF(OR(F473="OWC",F473="GOC",F473="GWC"),"Candidate contact — validate with logs, pressure and dynamic evidence","Transition zone — do not force to a sharp contact")))</f>
        <v/>
      </c>
    </row>
    <row r="474">
      <c r="A474" s="19">
        <f>IF(AND(Master_Data!A474&lt;&gt;"",Master_Data!A474=Master_Data!A475),Master_Data!A474,"")</f>
        <v/>
      </c>
      <c r="B474" s="19">
        <f>IF($A474="","",Master_Data!B474)</f>
        <v/>
      </c>
      <c r="C474" s="19">
        <f>IF($A474="","",Master_Data!B475)</f>
        <v/>
      </c>
      <c r="D474" s="19">
        <f>IF($A474="","",Master_Data!Q474)</f>
        <v/>
      </c>
      <c r="E474" s="19">
        <f>IF($A474="","",Master_Data!Q475)</f>
        <v/>
      </c>
      <c r="F474" s="19">
        <f>IF($A474="","",IF(AND(D474="GAS",E474="OIL"),"GOC",IF(AND(D474="OIL",E474="WATER"),"OWC",IF(AND(D474="GAS",E474="WATER"),"GWC",IF(AND(D474="OIL",E474="OIL_WATER"),"OWC_TRANSITION",IF(AND(D474="OIL_WATER",E474="WATER"),"OWC_TRANSITION",IF(AND(D474="GAS",E474="GAS_WATER"),"GOC_TRANSITION",IF(AND(D474="GAS_WATER",E474="OIL"),"GOC_TRANSITION",IF(OR(D474="OIL_WATER",D474="GAS_WATER"),"TRANSITION_INTERVAL","")))))))))</f>
        <v/>
      </c>
      <c r="G474" s="20">
        <f>IF(OR(F474="",Master_Data!R474="",Master_Data!S474=""),"",IF(RIGHT(F474,10)="TRANSITION",AVERAGE(Master_Data!R474:Master_Data!S474),AVERAGE(Master_Data!S474,Master_Data!R475)))</f>
        <v/>
      </c>
      <c r="H474" s="20">
        <f>IF(G474="","",MAX(Settings!$B$4,Settings!$B$5*AVERAGE(IF(Master_Data!O474&lt;&gt;"",Master_Data!O474,Master_Data!H474),IF(Master_Data!O475&lt;&gt;"",Master_Data!O475,Master_Data!H475))))</f>
        <v/>
      </c>
      <c r="I474" s="20">
        <f>IF(G474="","",G474-H474)</f>
        <v/>
      </c>
      <c r="J474" s="20">
        <f>IF(G474="","",G474+H474)</f>
        <v/>
      </c>
      <c r="K474" s="20">
        <f>IF($A474="","",Master_Data!G474)</f>
        <v/>
      </c>
      <c r="L474" s="20">
        <f>IF($A474="","",Master_Data!G475)</f>
        <v/>
      </c>
      <c r="M474" s="20">
        <f>IF(AND(ISNUMBER(K474),ISNUMBER(L474)),L474-K474,"")</f>
        <v/>
      </c>
      <c r="N474" s="19">
        <f>IF(G474="","",IF(AND(ISNUMBER(K474),ISNUMBER(L474)),IF(OR(F474="GOC",F474="OWC",F474="GWC",F474="OWC_TRANSITION",F474="GOC_TRANSITION"),IF(L474&gt;=K474,"Supports","Conflicts"),"N/A"),"No Sw"))</f>
        <v/>
      </c>
      <c r="O474" s="20">
        <f>IF(G474="","",Settings!$B$6*IF(OR(F474="GOC",F474="OWC",F474="GWC"),1,0.7)+Settings!$B$7*IF(N474="Supports",1,IF(N474="Conflicts",0,0.5))+Settings!$B$8*IF(AND(Master_Data!R474&lt;&gt;"",Master_Data!S474&lt;&gt;"",Master_Data!R475&lt;&gt;"",Master_Data!S475&lt;&gt;""),1,0.5))</f>
        <v/>
      </c>
      <c r="P474" s="19">
        <f>IF(G474="","",IF(N474="Conflicts","SW_CONFLICT",IF(OR(F474="GOC",F474="OWC",F474="GWC"),"DIRECT_FLUID_TRANSITION","TRANSITION_INTERVAL")))</f>
        <v/>
      </c>
      <c r="Q474" s="19">
        <f>IF(G474="","",IF(N474="Conflicts","Investigate contact interpretation / saturation behaviour",IF(OR(F474="OWC",F474="GOC",F474="GWC"),"Candidate contact — validate with logs, pressure and dynamic evidence","Transition zone — do not force to a sharp contact")))</f>
        <v/>
      </c>
    </row>
    <row r="475">
      <c r="A475" s="19">
        <f>IF(AND(Master_Data!A475&lt;&gt;"",Master_Data!A475=Master_Data!A476),Master_Data!A475,"")</f>
        <v/>
      </c>
      <c r="B475" s="19">
        <f>IF($A475="","",Master_Data!B475)</f>
        <v/>
      </c>
      <c r="C475" s="19">
        <f>IF($A475="","",Master_Data!B476)</f>
        <v/>
      </c>
      <c r="D475" s="19">
        <f>IF($A475="","",Master_Data!Q475)</f>
        <v/>
      </c>
      <c r="E475" s="19">
        <f>IF($A475="","",Master_Data!Q476)</f>
        <v/>
      </c>
      <c r="F475" s="19">
        <f>IF($A475="","",IF(AND(D475="GAS",E475="OIL"),"GOC",IF(AND(D475="OIL",E475="WATER"),"OWC",IF(AND(D475="GAS",E475="WATER"),"GWC",IF(AND(D475="OIL",E475="OIL_WATER"),"OWC_TRANSITION",IF(AND(D475="OIL_WATER",E475="WATER"),"OWC_TRANSITION",IF(AND(D475="GAS",E475="GAS_WATER"),"GOC_TRANSITION",IF(AND(D475="GAS_WATER",E475="OIL"),"GOC_TRANSITION",IF(OR(D475="OIL_WATER",D475="GAS_WATER"),"TRANSITION_INTERVAL","")))))))))</f>
        <v/>
      </c>
      <c r="G475" s="20">
        <f>IF(OR(F475="",Master_Data!R475="",Master_Data!S475=""),"",IF(RIGHT(F475,10)="TRANSITION",AVERAGE(Master_Data!R475:Master_Data!S475),AVERAGE(Master_Data!S475,Master_Data!R476)))</f>
        <v/>
      </c>
      <c r="H475" s="20">
        <f>IF(G475="","",MAX(Settings!$B$4,Settings!$B$5*AVERAGE(IF(Master_Data!O475&lt;&gt;"",Master_Data!O475,Master_Data!H475),IF(Master_Data!O476&lt;&gt;"",Master_Data!O476,Master_Data!H476))))</f>
        <v/>
      </c>
      <c r="I475" s="20">
        <f>IF(G475="","",G475-H475)</f>
        <v/>
      </c>
      <c r="J475" s="20">
        <f>IF(G475="","",G475+H475)</f>
        <v/>
      </c>
      <c r="K475" s="20">
        <f>IF($A475="","",Master_Data!G475)</f>
        <v/>
      </c>
      <c r="L475" s="20">
        <f>IF($A475="","",Master_Data!G476)</f>
        <v/>
      </c>
      <c r="M475" s="20">
        <f>IF(AND(ISNUMBER(K475),ISNUMBER(L475)),L475-K475,"")</f>
        <v/>
      </c>
      <c r="N475" s="19">
        <f>IF(G475="","",IF(AND(ISNUMBER(K475),ISNUMBER(L475)),IF(OR(F475="GOC",F475="OWC",F475="GWC",F475="OWC_TRANSITION",F475="GOC_TRANSITION"),IF(L475&gt;=K475,"Supports","Conflicts"),"N/A"),"No Sw"))</f>
        <v/>
      </c>
      <c r="O475" s="20">
        <f>IF(G475="","",Settings!$B$6*IF(OR(F475="GOC",F475="OWC",F475="GWC"),1,0.7)+Settings!$B$7*IF(N475="Supports",1,IF(N475="Conflicts",0,0.5))+Settings!$B$8*IF(AND(Master_Data!R475&lt;&gt;"",Master_Data!S475&lt;&gt;"",Master_Data!R476&lt;&gt;"",Master_Data!S476&lt;&gt;""),1,0.5))</f>
        <v/>
      </c>
      <c r="P475" s="19">
        <f>IF(G475="","",IF(N475="Conflicts","SW_CONFLICT",IF(OR(F475="GOC",F475="OWC",F475="GWC"),"DIRECT_FLUID_TRANSITION","TRANSITION_INTERVAL")))</f>
        <v/>
      </c>
      <c r="Q475" s="19">
        <f>IF(G475="","",IF(N475="Conflicts","Investigate contact interpretation / saturation behaviour",IF(OR(F475="OWC",F475="GOC",F475="GWC"),"Candidate contact — validate with logs, pressure and dynamic evidence","Transition zone — do not force to a sharp contact")))</f>
        <v/>
      </c>
    </row>
    <row r="476">
      <c r="A476" s="19">
        <f>IF(AND(Master_Data!A476&lt;&gt;"",Master_Data!A476=Master_Data!A477),Master_Data!A476,"")</f>
        <v/>
      </c>
      <c r="B476" s="19">
        <f>IF($A476="","",Master_Data!B476)</f>
        <v/>
      </c>
      <c r="C476" s="19">
        <f>IF($A476="","",Master_Data!B477)</f>
        <v/>
      </c>
      <c r="D476" s="19">
        <f>IF($A476="","",Master_Data!Q476)</f>
        <v/>
      </c>
      <c r="E476" s="19">
        <f>IF($A476="","",Master_Data!Q477)</f>
        <v/>
      </c>
      <c r="F476" s="19">
        <f>IF($A476="","",IF(AND(D476="GAS",E476="OIL"),"GOC",IF(AND(D476="OIL",E476="WATER"),"OWC",IF(AND(D476="GAS",E476="WATER"),"GWC",IF(AND(D476="OIL",E476="OIL_WATER"),"OWC_TRANSITION",IF(AND(D476="OIL_WATER",E476="WATER"),"OWC_TRANSITION",IF(AND(D476="GAS",E476="GAS_WATER"),"GOC_TRANSITION",IF(AND(D476="GAS_WATER",E476="OIL"),"GOC_TRANSITION",IF(OR(D476="OIL_WATER",D476="GAS_WATER"),"TRANSITION_INTERVAL","")))))))))</f>
        <v/>
      </c>
      <c r="G476" s="20">
        <f>IF(OR(F476="",Master_Data!R476="",Master_Data!S476=""),"",IF(RIGHT(F476,10)="TRANSITION",AVERAGE(Master_Data!R476:Master_Data!S476),AVERAGE(Master_Data!S476,Master_Data!R477)))</f>
        <v/>
      </c>
      <c r="H476" s="20">
        <f>IF(G476="","",MAX(Settings!$B$4,Settings!$B$5*AVERAGE(IF(Master_Data!O476&lt;&gt;"",Master_Data!O476,Master_Data!H476),IF(Master_Data!O477&lt;&gt;"",Master_Data!O477,Master_Data!H477))))</f>
        <v/>
      </c>
      <c r="I476" s="20">
        <f>IF(G476="","",G476-H476)</f>
        <v/>
      </c>
      <c r="J476" s="20">
        <f>IF(G476="","",G476+H476)</f>
        <v/>
      </c>
      <c r="K476" s="20">
        <f>IF($A476="","",Master_Data!G476)</f>
        <v/>
      </c>
      <c r="L476" s="20">
        <f>IF($A476="","",Master_Data!G477)</f>
        <v/>
      </c>
      <c r="M476" s="20">
        <f>IF(AND(ISNUMBER(K476),ISNUMBER(L476)),L476-K476,"")</f>
        <v/>
      </c>
      <c r="N476" s="19">
        <f>IF(G476="","",IF(AND(ISNUMBER(K476),ISNUMBER(L476)),IF(OR(F476="GOC",F476="OWC",F476="GWC",F476="OWC_TRANSITION",F476="GOC_TRANSITION"),IF(L476&gt;=K476,"Supports","Conflicts"),"N/A"),"No Sw"))</f>
        <v/>
      </c>
      <c r="O476" s="20">
        <f>IF(G476="","",Settings!$B$6*IF(OR(F476="GOC",F476="OWC",F476="GWC"),1,0.7)+Settings!$B$7*IF(N476="Supports",1,IF(N476="Conflicts",0,0.5))+Settings!$B$8*IF(AND(Master_Data!R476&lt;&gt;"",Master_Data!S476&lt;&gt;"",Master_Data!R477&lt;&gt;"",Master_Data!S477&lt;&gt;""),1,0.5))</f>
        <v/>
      </c>
      <c r="P476" s="19">
        <f>IF(G476="","",IF(N476="Conflicts","SW_CONFLICT",IF(OR(F476="GOC",F476="OWC",F476="GWC"),"DIRECT_FLUID_TRANSITION","TRANSITION_INTERVAL")))</f>
        <v/>
      </c>
      <c r="Q476" s="19">
        <f>IF(G476="","",IF(N476="Conflicts","Investigate contact interpretation / saturation behaviour",IF(OR(F476="OWC",F476="GOC",F476="GWC"),"Candidate contact — validate with logs, pressure and dynamic evidence","Transition zone — do not force to a sharp contact")))</f>
        <v/>
      </c>
    </row>
    <row r="477">
      <c r="A477" s="19">
        <f>IF(AND(Master_Data!A477&lt;&gt;"",Master_Data!A477=Master_Data!A478),Master_Data!A477,"")</f>
        <v/>
      </c>
      <c r="B477" s="19">
        <f>IF($A477="","",Master_Data!B477)</f>
        <v/>
      </c>
      <c r="C477" s="19">
        <f>IF($A477="","",Master_Data!B478)</f>
        <v/>
      </c>
      <c r="D477" s="19">
        <f>IF($A477="","",Master_Data!Q477)</f>
        <v/>
      </c>
      <c r="E477" s="19">
        <f>IF($A477="","",Master_Data!Q478)</f>
        <v/>
      </c>
      <c r="F477" s="19">
        <f>IF($A477="","",IF(AND(D477="GAS",E477="OIL"),"GOC",IF(AND(D477="OIL",E477="WATER"),"OWC",IF(AND(D477="GAS",E477="WATER"),"GWC",IF(AND(D477="OIL",E477="OIL_WATER"),"OWC_TRANSITION",IF(AND(D477="OIL_WATER",E477="WATER"),"OWC_TRANSITION",IF(AND(D477="GAS",E477="GAS_WATER"),"GOC_TRANSITION",IF(AND(D477="GAS_WATER",E477="OIL"),"GOC_TRANSITION",IF(OR(D477="OIL_WATER",D477="GAS_WATER"),"TRANSITION_INTERVAL","")))))))))</f>
        <v/>
      </c>
      <c r="G477" s="20">
        <f>IF(OR(F477="",Master_Data!R477="",Master_Data!S477=""),"",IF(RIGHT(F477,10)="TRANSITION",AVERAGE(Master_Data!R477:Master_Data!S477),AVERAGE(Master_Data!S477,Master_Data!R478)))</f>
        <v/>
      </c>
      <c r="H477" s="20">
        <f>IF(G477="","",MAX(Settings!$B$4,Settings!$B$5*AVERAGE(IF(Master_Data!O477&lt;&gt;"",Master_Data!O477,Master_Data!H477),IF(Master_Data!O478&lt;&gt;"",Master_Data!O478,Master_Data!H478))))</f>
        <v/>
      </c>
      <c r="I477" s="20">
        <f>IF(G477="","",G477-H477)</f>
        <v/>
      </c>
      <c r="J477" s="20">
        <f>IF(G477="","",G477+H477)</f>
        <v/>
      </c>
      <c r="K477" s="20">
        <f>IF($A477="","",Master_Data!G477)</f>
        <v/>
      </c>
      <c r="L477" s="20">
        <f>IF($A477="","",Master_Data!G478)</f>
        <v/>
      </c>
      <c r="M477" s="20">
        <f>IF(AND(ISNUMBER(K477),ISNUMBER(L477)),L477-K477,"")</f>
        <v/>
      </c>
      <c r="N477" s="19">
        <f>IF(G477="","",IF(AND(ISNUMBER(K477),ISNUMBER(L477)),IF(OR(F477="GOC",F477="OWC",F477="GWC",F477="OWC_TRANSITION",F477="GOC_TRANSITION"),IF(L477&gt;=K477,"Supports","Conflicts"),"N/A"),"No Sw"))</f>
        <v/>
      </c>
      <c r="O477" s="20">
        <f>IF(G477="","",Settings!$B$6*IF(OR(F477="GOC",F477="OWC",F477="GWC"),1,0.7)+Settings!$B$7*IF(N477="Supports",1,IF(N477="Conflicts",0,0.5))+Settings!$B$8*IF(AND(Master_Data!R477&lt;&gt;"",Master_Data!S477&lt;&gt;"",Master_Data!R478&lt;&gt;"",Master_Data!S478&lt;&gt;""),1,0.5))</f>
        <v/>
      </c>
      <c r="P477" s="19">
        <f>IF(G477="","",IF(N477="Conflicts","SW_CONFLICT",IF(OR(F477="GOC",F477="OWC",F477="GWC"),"DIRECT_FLUID_TRANSITION","TRANSITION_INTERVAL")))</f>
        <v/>
      </c>
      <c r="Q477" s="19">
        <f>IF(G477="","",IF(N477="Conflicts","Investigate contact interpretation / saturation behaviour",IF(OR(F477="OWC",F477="GOC",F477="GWC"),"Candidate contact — validate with logs, pressure and dynamic evidence","Transition zone — do not force to a sharp contact")))</f>
        <v/>
      </c>
    </row>
    <row r="478">
      <c r="A478" s="19">
        <f>IF(AND(Master_Data!A478&lt;&gt;"",Master_Data!A478=Master_Data!A479),Master_Data!A478,"")</f>
        <v/>
      </c>
      <c r="B478" s="19">
        <f>IF($A478="","",Master_Data!B478)</f>
        <v/>
      </c>
      <c r="C478" s="19">
        <f>IF($A478="","",Master_Data!B479)</f>
        <v/>
      </c>
      <c r="D478" s="19">
        <f>IF($A478="","",Master_Data!Q478)</f>
        <v/>
      </c>
      <c r="E478" s="19">
        <f>IF($A478="","",Master_Data!Q479)</f>
        <v/>
      </c>
      <c r="F478" s="19">
        <f>IF($A478="","",IF(AND(D478="GAS",E478="OIL"),"GOC",IF(AND(D478="OIL",E478="WATER"),"OWC",IF(AND(D478="GAS",E478="WATER"),"GWC",IF(AND(D478="OIL",E478="OIL_WATER"),"OWC_TRANSITION",IF(AND(D478="OIL_WATER",E478="WATER"),"OWC_TRANSITION",IF(AND(D478="GAS",E478="GAS_WATER"),"GOC_TRANSITION",IF(AND(D478="GAS_WATER",E478="OIL"),"GOC_TRANSITION",IF(OR(D478="OIL_WATER",D478="GAS_WATER"),"TRANSITION_INTERVAL","")))))))))</f>
        <v/>
      </c>
      <c r="G478" s="20">
        <f>IF(OR(F478="",Master_Data!R478="",Master_Data!S478=""),"",IF(RIGHT(F478,10)="TRANSITION",AVERAGE(Master_Data!R478:Master_Data!S478),AVERAGE(Master_Data!S478,Master_Data!R479)))</f>
        <v/>
      </c>
      <c r="H478" s="20">
        <f>IF(G478="","",MAX(Settings!$B$4,Settings!$B$5*AVERAGE(IF(Master_Data!O478&lt;&gt;"",Master_Data!O478,Master_Data!H478),IF(Master_Data!O479&lt;&gt;"",Master_Data!O479,Master_Data!H479))))</f>
        <v/>
      </c>
      <c r="I478" s="20">
        <f>IF(G478="","",G478-H478)</f>
        <v/>
      </c>
      <c r="J478" s="20">
        <f>IF(G478="","",G478+H478)</f>
        <v/>
      </c>
      <c r="K478" s="20">
        <f>IF($A478="","",Master_Data!G478)</f>
        <v/>
      </c>
      <c r="L478" s="20">
        <f>IF($A478="","",Master_Data!G479)</f>
        <v/>
      </c>
      <c r="M478" s="20">
        <f>IF(AND(ISNUMBER(K478),ISNUMBER(L478)),L478-K478,"")</f>
        <v/>
      </c>
      <c r="N478" s="19">
        <f>IF(G478="","",IF(AND(ISNUMBER(K478),ISNUMBER(L478)),IF(OR(F478="GOC",F478="OWC",F478="GWC",F478="OWC_TRANSITION",F478="GOC_TRANSITION"),IF(L478&gt;=K478,"Supports","Conflicts"),"N/A"),"No Sw"))</f>
        <v/>
      </c>
      <c r="O478" s="20">
        <f>IF(G478="","",Settings!$B$6*IF(OR(F478="GOC",F478="OWC",F478="GWC"),1,0.7)+Settings!$B$7*IF(N478="Supports",1,IF(N478="Conflicts",0,0.5))+Settings!$B$8*IF(AND(Master_Data!R478&lt;&gt;"",Master_Data!S478&lt;&gt;"",Master_Data!R479&lt;&gt;"",Master_Data!S479&lt;&gt;""),1,0.5))</f>
        <v/>
      </c>
      <c r="P478" s="19">
        <f>IF(G478="","",IF(N478="Conflicts","SW_CONFLICT",IF(OR(F478="GOC",F478="OWC",F478="GWC"),"DIRECT_FLUID_TRANSITION","TRANSITION_INTERVAL")))</f>
        <v/>
      </c>
      <c r="Q478" s="19">
        <f>IF(G478="","",IF(N478="Conflicts","Investigate contact interpretation / saturation behaviour",IF(OR(F478="OWC",F478="GOC",F478="GWC"),"Candidate contact — validate with logs, pressure and dynamic evidence","Transition zone — do not force to a sharp contact")))</f>
        <v/>
      </c>
    </row>
    <row r="479">
      <c r="A479" s="19">
        <f>IF(AND(Master_Data!A479&lt;&gt;"",Master_Data!A479=Master_Data!A480),Master_Data!A479,"")</f>
        <v/>
      </c>
      <c r="B479" s="19">
        <f>IF($A479="","",Master_Data!B479)</f>
        <v/>
      </c>
      <c r="C479" s="19">
        <f>IF($A479="","",Master_Data!B480)</f>
        <v/>
      </c>
      <c r="D479" s="19">
        <f>IF($A479="","",Master_Data!Q479)</f>
        <v/>
      </c>
      <c r="E479" s="19">
        <f>IF($A479="","",Master_Data!Q480)</f>
        <v/>
      </c>
      <c r="F479" s="19">
        <f>IF($A479="","",IF(AND(D479="GAS",E479="OIL"),"GOC",IF(AND(D479="OIL",E479="WATER"),"OWC",IF(AND(D479="GAS",E479="WATER"),"GWC",IF(AND(D479="OIL",E479="OIL_WATER"),"OWC_TRANSITION",IF(AND(D479="OIL_WATER",E479="WATER"),"OWC_TRANSITION",IF(AND(D479="GAS",E479="GAS_WATER"),"GOC_TRANSITION",IF(AND(D479="GAS_WATER",E479="OIL"),"GOC_TRANSITION",IF(OR(D479="OIL_WATER",D479="GAS_WATER"),"TRANSITION_INTERVAL","")))))))))</f>
        <v/>
      </c>
      <c r="G479" s="20">
        <f>IF(OR(F479="",Master_Data!R479="",Master_Data!S479=""),"",IF(RIGHT(F479,10)="TRANSITION",AVERAGE(Master_Data!R479:Master_Data!S479),AVERAGE(Master_Data!S479,Master_Data!R480)))</f>
        <v/>
      </c>
      <c r="H479" s="20">
        <f>IF(G479="","",MAX(Settings!$B$4,Settings!$B$5*AVERAGE(IF(Master_Data!O479&lt;&gt;"",Master_Data!O479,Master_Data!H479),IF(Master_Data!O480&lt;&gt;"",Master_Data!O480,Master_Data!H480))))</f>
        <v/>
      </c>
      <c r="I479" s="20">
        <f>IF(G479="","",G479-H479)</f>
        <v/>
      </c>
      <c r="J479" s="20">
        <f>IF(G479="","",G479+H479)</f>
        <v/>
      </c>
      <c r="K479" s="20">
        <f>IF($A479="","",Master_Data!G479)</f>
        <v/>
      </c>
      <c r="L479" s="20">
        <f>IF($A479="","",Master_Data!G480)</f>
        <v/>
      </c>
      <c r="M479" s="20">
        <f>IF(AND(ISNUMBER(K479),ISNUMBER(L479)),L479-K479,"")</f>
        <v/>
      </c>
      <c r="N479" s="19">
        <f>IF(G479="","",IF(AND(ISNUMBER(K479),ISNUMBER(L479)),IF(OR(F479="GOC",F479="OWC",F479="GWC",F479="OWC_TRANSITION",F479="GOC_TRANSITION"),IF(L479&gt;=K479,"Supports","Conflicts"),"N/A"),"No Sw"))</f>
        <v/>
      </c>
      <c r="O479" s="20">
        <f>IF(G479="","",Settings!$B$6*IF(OR(F479="GOC",F479="OWC",F479="GWC"),1,0.7)+Settings!$B$7*IF(N479="Supports",1,IF(N479="Conflicts",0,0.5))+Settings!$B$8*IF(AND(Master_Data!R479&lt;&gt;"",Master_Data!S479&lt;&gt;"",Master_Data!R480&lt;&gt;"",Master_Data!S480&lt;&gt;""),1,0.5))</f>
        <v/>
      </c>
      <c r="P479" s="19">
        <f>IF(G479="","",IF(N479="Conflicts","SW_CONFLICT",IF(OR(F479="GOC",F479="OWC",F479="GWC"),"DIRECT_FLUID_TRANSITION","TRANSITION_INTERVAL")))</f>
        <v/>
      </c>
      <c r="Q479" s="19">
        <f>IF(G479="","",IF(N479="Conflicts","Investigate contact interpretation / saturation behaviour",IF(OR(F479="OWC",F479="GOC",F479="GWC"),"Candidate contact — validate with logs, pressure and dynamic evidence","Transition zone — do not force to a sharp contact")))</f>
        <v/>
      </c>
    </row>
    <row r="480">
      <c r="A480" s="19">
        <f>IF(AND(Master_Data!A480&lt;&gt;"",Master_Data!A480=Master_Data!A481),Master_Data!A480,"")</f>
        <v/>
      </c>
      <c r="B480" s="19">
        <f>IF($A480="","",Master_Data!B480)</f>
        <v/>
      </c>
      <c r="C480" s="19">
        <f>IF($A480="","",Master_Data!B481)</f>
        <v/>
      </c>
      <c r="D480" s="19">
        <f>IF($A480="","",Master_Data!Q480)</f>
        <v/>
      </c>
      <c r="E480" s="19">
        <f>IF($A480="","",Master_Data!Q481)</f>
        <v/>
      </c>
      <c r="F480" s="19">
        <f>IF($A480="","",IF(AND(D480="GAS",E480="OIL"),"GOC",IF(AND(D480="OIL",E480="WATER"),"OWC",IF(AND(D480="GAS",E480="WATER"),"GWC",IF(AND(D480="OIL",E480="OIL_WATER"),"OWC_TRANSITION",IF(AND(D480="OIL_WATER",E480="WATER"),"OWC_TRANSITION",IF(AND(D480="GAS",E480="GAS_WATER"),"GOC_TRANSITION",IF(AND(D480="GAS_WATER",E480="OIL"),"GOC_TRANSITION",IF(OR(D480="OIL_WATER",D480="GAS_WATER"),"TRANSITION_INTERVAL","")))))))))</f>
        <v/>
      </c>
      <c r="G480" s="20">
        <f>IF(OR(F480="",Master_Data!R480="",Master_Data!S480=""),"",IF(RIGHT(F480,10)="TRANSITION",AVERAGE(Master_Data!R480:Master_Data!S480),AVERAGE(Master_Data!S480,Master_Data!R481)))</f>
        <v/>
      </c>
      <c r="H480" s="20">
        <f>IF(G480="","",MAX(Settings!$B$4,Settings!$B$5*AVERAGE(IF(Master_Data!O480&lt;&gt;"",Master_Data!O480,Master_Data!H480),IF(Master_Data!O481&lt;&gt;"",Master_Data!O481,Master_Data!H481))))</f>
        <v/>
      </c>
      <c r="I480" s="20">
        <f>IF(G480="","",G480-H480)</f>
        <v/>
      </c>
      <c r="J480" s="20">
        <f>IF(G480="","",G480+H480)</f>
        <v/>
      </c>
      <c r="K480" s="20">
        <f>IF($A480="","",Master_Data!G480)</f>
        <v/>
      </c>
      <c r="L480" s="20">
        <f>IF($A480="","",Master_Data!G481)</f>
        <v/>
      </c>
      <c r="M480" s="20">
        <f>IF(AND(ISNUMBER(K480),ISNUMBER(L480)),L480-K480,"")</f>
        <v/>
      </c>
      <c r="N480" s="19">
        <f>IF(G480="","",IF(AND(ISNUMBER(K480),ISNUMBER(L480)),IF(OR(F480="GOC",F480="OWC",F480="GWC",F480="OWC_TRANSITION",F480="GOC_TRANSITION"),IF(L480&gt;=K480,"Supports","Conflicts"),"N/A"),"No Sw"))</f>
        <v/>
      </c>
      <c r="O480" s="20">
        <f>IF(G480="","",Settings!$B$6*IF(OR(F480="GOC",F480="OWC",F480="GWC"),1,0.7)+Settings!$B$7*IF(N480="Supports",1,IF(N480="Conflicts",0,0.5))+Settings!$B$8*IF(AND(Master_Data!R480&lt;&gt;"",Master_Data!S480&lt;&gt;"",Master_Data!R481&lt;&gt;"",Master_Data!S481&lt;&gt;""),1,0.5))</f>
        <v/>
      </c>
      <c r="P480" s="19">
        <f>IF(G480="","",IF(N480="Conflicts","SW_CONFLICT",IF(OR(F480="GOC",F480="OWC",F480="GWC"),"DIRECT_FLUID_TRANSITION","TRANSITION_INTERVAL")))</f>
        <v/>
      </c>
      <c r="Q480" s="19">
        <f>IF(G480="","",IF(N480="Conflicts","Investigate contact interpretation / saturation behaviour",IF(OR(F480="OWC",F480="GOC",F480="GWC"),"Candidate contact — validate with logs, pressure and dynamic evidence","Transition zone — do not force to a sharp contact")))</f>
        <v/>
      </c>
    </row>
    <row r="481">
      <c r="A481" s="19">
        <f>IF(AND(Master_Data!A481&lt;&gt;"",Master_Data!A481=Master_Data!A482),Master_Data!A481,"")</f>
        <v/>
      </c>
      <c r="B481" s="19">
        <f>IF($A481="","",Master_Data!B481)</f>
        <v/>
      </c>
      <c r="C481" s="19">
        <f>IF($A481="","",Master_Data!B482)</f>
        <v/>
      </c>
      <c r="D481" s="19">
        <f>IF($A481="","",Master_Data!Q481)</f>
        <v/>
      </c>
      <c r="E481" s="19">
        <f>IF($A481="","",Master_Data!Q482)</f>
        <v/>
      </c>
      <c r="F481" s="19">
        <f>IF($A481="","",IF(AND(D481="GAS",E481="OIL"),"GOC",IF(AND(D481="OIL",E481="WATER"),"OWC",IF(AND(D481="GAS",E481="WATER"),"GWC",IF(AND(D481="OIL",E481="OIL_WATER"),"OWC_TRANSITION",IF(AND(D481="OIL_WATER",E481="WATER"),"OWC_TRANSITION",IF(AND(D481="GAS",E481="GAS_WATER"),"GOC_TRANSITION",IF(AND(D481="GAS_WATER",E481="OIL"),"GOC_TRANSITION",IF(OR(D481="OIL_WATER",D481="GAS_WATER"),"TRANSITION_INTERVAL","")))))))))</f>
        <v/>
      </c>
      <c r="G481" s="20">
        <f>IF(OR(F481="",Master_Data!R481="",Master_Data!S481=""),"",IF(RIGHT(F481,10)="TRANSITION",AVERAGE(Master_Data!R481:Master_Data!S481),AVERAGE(Master_Data!S481,Master_Data!R482)))</f>
        <v/>
      </c>
      <c r="H481" s="20">
        <f>IF(G481="","",MAX(Settings!$B$4,Settings!$B$5*AVERAGE(IF(Master_Data!O481&lt;&gt;"",Master_Data!O481,Master_Data!H481),IF(Master_Data!O482&lt;&gt;"",Master_Data!O482,Master_Data!H482))))</f>
        <v/>
      </c>
      <c r="I481" s="20">
        <f>IF(G481="","",G481-H481)</f>
        <v/>
      </c>
      <c r="J481" s="20">
        <f>IF(G481="","",G481+H481)</f>
        <v/>
      </c>
      <c r="K481" s="20">
        <f>IF($A481="","",Master_Data!G481)</f>
        <v/>
      </c>
      <c r="L481" s="20">
        <f>IF($A481="","",Master_Data!G482)</f>
        <v/>
      </c>
      <c r="M481" s="20">
        <f>IF(AND(ISNUMBER(K481),ISNUMBER(L481)),L481-K481,"")</f>
        <v/>
      </c>
      <c r="N481" s="19">
        <f>IF(G481="","",IF(AND(ISNUMBER(K481),ISNUMBER(L481)),IF(OR(F481="GOC",F481="OWC",F481="GWC",F481="OWC_TRANSITION",F481="GOC_TRANSITION"),IF(L481&gt;=K481,"Supports","Conflicts"),"N/A"),"No Sw"))</f>
        <v/>
      </c>
      <c r="O481" s="20">
        <f>IF(G481="","",Settings!$B$6*IF(OR(F481="GOC",F481="OWC",F481="GWC"),1,0.7)+Settings!$B$7*IF(N481="Supports",1,IF(N481="Conflicts",0,0.5))+Settings!$B$8*IF(AND(Master_Data!R481&lt;&gt;"",Master_Data!S481&lt;&gt;"",Master_Data!R482&lt;&gt;"",Master_Data!S482&lt;&gt;""),1,0.5))</f>
        <v/>
      </c>
      <c r="P481" s="19">
        <f>IF(G481="","",IF(N481="Conflicts","SW_CONFLICT",IF(OR(F481="GOC",F481="OWC",F481="GWC"),"DIRECT_FLUID_TRANSITION","TRANSITION_INTERVAL")))</f>
        <v/>
      </c>
      <c r="Q481" s="19">
        <f>IF(G481="","",IF(N481="Conflicts","Investigate contact interpretation / saturation behaviour",IF(OR(F481="OWC",F481="GOC",F481="GWC"),"Candidate contact — validate with logs, pressure and dynamic evidence","Transition zone — do not force to a sharp contact")))</f>
        <v/>
      </c>
    </row>
    <row r="482">
      <c r="A482" s="19">
        <f>IF(AND(Master_Data!A482&lt;&gt;"",Master_Data!A482=Master_Data!A483),Master_Data!A482,"")</f>
        <v/>
      </c>
      <c r="B482" s="19">
        <f>IF($A482="","",Master_Data!B482)</f>
        <v/>
      </c>
      <c r="C482" s="19">
        <f>IF($A482="","",Master_Data!B483)</f>
        <v/>
      </c>
      <c r="D482" s="19">
        <f>IF($A482="","",Master_Data!Q482)</f>
        <v/>
      </c>
      <c r="E482" s="19">
        <f>IF($A482="","",Master_Data!Q483)</f>
        <v/>
      </c>
      <c r="F482" s="19">
        <f>IF($A482="","",IF(AND(D482="GAS",E482="OIL"),"GOC",IF(AND(D482="OIL",E482="WATER"),"OWC",IF(AND(D482="GAS",E482="WATER"),"GWC",IF(AND(D482="OIL",E482="OIL_WATER"),"OWC_TRANSITION",IF(AND(D482="OIL_WATER",E482="WATER"),"OWC_TRANSITION",IF(AND(D482="GAS",E482="GAS_WATER"),"GOC_TRANSITION",IF(AND(D482="GAS_WATER",E482="OIL"),"GOC_TRANSITION",IF(OR(D482="OIL_WATER",D482="GAS_WATER"),"TRANSITION_INTERVAL","")))))))))</f>
        <v/>
      </c>
      <c r="G482" s="20">
        <f>IF(OR(F482="",Master_Data!R482="",Master_Data!S482=""),"",IF(RIGHT(F482,10)="TRANSITION",AVERAGE(Master_Data!R482:Master_Data!S482),AVERAGE(Master_Data!S482,Master_Data!R483)))</f>
        <v/>
      </c>
      <c r="H482" s="20">
        <f>IF(G482="","",MAX(Settings!$B$4,Settings!$B$5*AVERAGE(IF(Master_Data!O482&lt;&gt;"",Master_Data!O482,Master_Data!H482),IF(Master_Data!O483&lt;&gt;"",Master_Data!O483,Master_Data!H483))))</f>
        <v/>
      </c>
      <c r="I482" s="20">
        <f>IF(G482="","",G482-H482)</f>
        <v/>
      </c>
      <c r="J482" s="20">
        <f>IF(G482="","",G482+H482)</f>
        <v/>
      </c>
      <c r="K482" s="20">
        <f>IF($A482="","",Master_Data!G482)</f>
        <v/>
      </c>
      <c r="L482" s="20">
        <f>IF($A482="","",Master_Data!G483)</f>
        <v/>
      </c>
      <c r="M482" s="20">
        <f>IF(AND(ISNUMBER(K482),ISNUMBER(L482)),L482-K482,"")</f>
        <v/>
      </c>
      <c r="N482" s="19">
        <f>IF(G482="","",IF(AND(ISNUMBER(K482),ISNUMBER(L482)),IF(OR(F482="GOC",F482="OWC",F482="GWC",F482="OWC_TRANSITION",F482="GOC_TRANSITION"),IF(L482&gt;=K482,"Supports","Conflicts"),"N/A"),"No Sw"))</f>
        <v/>
      </c>
      <c r="O482" s="20">
        <f>IF(G482="","",Settings!$B$6*IF(OR(F482="GOC",F482="OWC",F482="GWC"),1,0.7)+Settings!$B$7*IF(N482="Supports",1,IF(N482="Conflicts",0,0.5))+Settings!$B$8*IF(AND(Master_Data!R482&lt;&gt;"",Master_Data!S482&lt;&gt;"",Master_Data!R483&lt;&gt;"",Master_Data!S483&lt;&gt;""),1,0.5))</f>
        <v/>
      </c>
      <c r="P482" s="19">
        <f>IF(G482="","",IF(N482="Conflicts","SW_CONFLICT",IF(OR(F482="GOC",F482="OWC",F482="GWC"),"DIRECT_FLUID_TRANSITION","TRANSITION_INTERVAL")))</f>
        <v/>
      </c>
      <c r="Q482" s="19">
        <f>IF(G482="","",IF(N482="Conflicts","Investigate contact interpretation / saturation behaviour",IF(OR(F482="OWC",F482="GOC",F482="GWC"),"Candidate contact — validate with logs, pressure and dynamic evidence","Transition zone — do not force to a sharp contact")))</f>
        <v/>
      </c>
    </row>
    <row r="483">
      <c r="A483" s="19">
        <f>IF(AND(Master_Data!A483&lt;&gt;"",Master_Data!A483=Master_Data!A484),Master_Data!A483,"")</f>
        <v/>
      </c>
      <c r="B483" s="19">
        <f>IF($A483="","",Master_Data!B483)</f>
        <v/>
      </c>
      <c r="C483" s="19">
        <f>IF($A483="","",Master_Data!B484)</f>
        <v/>
      </c>
      <c r="D483" s="19">
        <f>IF($A483="","",Master_Data!Q483)</f>
        <v/>
      </c>
      <c r="E483" s="19">
        <f>IF($A483="","",Master_Data!Q484)</f>
        <v/>
      </c>
      <c r="F483" s="19">
        <f>IF($A483="","",IF(AND(D483="GAS",E483="OIL"),"GOC",IF(AND(D483="OIL",E483="WATER"),"OWC",IF(AND(D483="GAS",E483="WATER"),"GWC",IF(AND(D483="OIL",E483="OIL_WATER"),"OWC_TRANSITION",IF(AND(D483="OIL_WATER",E483="WATER"),"OWC_TRANSITION",IF(AND(D483="GAS",E483="GAS_WATER"),"GOC_TRANSITION",IF(AND(D483="GAS_WATER",E483="OIL"),"GOC_TRANSITION",IF(OR(D483="OIL_WATER",D483="GAS_WATER"),"TRANSITION_INTERVAL","")))))))))</f>
        <v/>
      </c>
      <c r="G483" s="20">
        <f>IF(OR(F483="",Master_Data!R483="",Master_Data!S483=""),"",IF(RIGHT(F483,10)="TRANSITION",AVERAGE(Master_Data!R483:Master_Data!S483),AVERAGE(Master_Data!S483,Master_Data!R484)))</f>
        <v/>
      </c>
      <c r="H483" s="20">
        <f>IF(G483="","",MAX(Settings!$B$4,Settings!$B$5*AVERAGE(IF(Master_Data!O483&lt;&gt;"",Master_Data!O483,Master_Data!H483),IF(Master_Data!O484&lt;&gt;"",Master_Data!O484,Master_Data!H484))))</f>
        <v/>
      </c>
      <c r="I483" s="20">
        <f>IF(G483="","",G483-H483)</f>
        <v/>
      </c>
      <c r="J483" s="20">
        <f>IF(G483="","",G483+H483)</f>
        <v/>
      </c>
      <c r="K483" s="20">
        <f>IF($A483="","",Master_Data!G483)</f>
        <v/>
      </c>
      <c r="L483" s="20">
        <f>IF($A483="","",Master_Data!G484)</f>
        <v/>
      </c>
      <c r="M483" s="20">
        <f>IF(AND(ISNUMBER(K483),ISNUMBER(L483)),L483-K483,"")</f>
        <v/>
      </c>
      <c r="N483" s="19">
        <f>IF(G483="","",IF(AND(ISNUMBER(K483),ISNUMBER(L483)),IF(OR(F483="GOC",F483="OWC",F483="GWC",F483="OWC_TRANSITION",F483="GOC_TRANSITION"),IF(L483&gt;=K483,"Supports","Conflicts"),"N/A"),"No Sw"))</f>
        <v/>
      </c>
      <c r="O483" s="20">
        <f>IF(G483="","",Settings!$B$6*IF(OR(F483="GOC",F483="OWC",F483="GWC"),1,0.7)+Settings!$B$7*IF(N483="Supports",1,IF(N483="Conflicts",0,0.5))+Settings!$B$8*IF(AND(Master_Data!R483&lt;&gt;"",Master_Data!S483&lt;&gt;"",Master_Data!R484&lt;&gt;"",Master_Data!S484&lt;&gt;""),1,0.5))</f>
        <v/>
      </c>
      <c r="P483" s="19">
        <f>IF(G483="","",IF(N483="Conflicts","SW_CONFLICT",IF(OR(F483="GOC",F483="OWC",F483="GWC"),"DIRECT_FLUID_TRANSITION","TRANSITION_INTERVAL")))</f>
        <v/>
      </c>
      <c r="Q483" s="19">
        <f>IF(G483="","",IF(N483="Conflicts","Investigate contact interpretation / saturation behaviour",IF(OR(F483="OWC",F483="GOC",F483="GWC"),"Candidate contact — validate with logs, pressure and dynamic evidence","Transition zone — do not force to a sharp contact")))</f>
        <v/>
      </c>
    </row>
    <row r="484">
      <c r="A484" s="19">
        <f>IF(AND(Master_Data!A484&lt;&gt;"",Master_Data!A484=Master_Data!A485),Master_Data!A484,"")</f>
        <v/>
      </c>
      <c r="B484" s="19">
        <f>IF($A484="","",Master_Data!B484)</f>
        <v/>
      </c>
      <c r="C484" s="19">
        <f>IF($A484="","",Master_Data!B485)</f>
        <v/>
      </c>
      <c r="D484" s="19">
        <f>IF($A484="","",Master_Data!Q484)</f>
        <v/>
      </c>
      <c r="E484" s="19">
        <f>IF($A484="","",Master_Data!Q485)</f>
        <v/>
      </c>
      <c r="F484" s="19">
        <f>IF($A484="","",IF(AND(D484="GAS",E484="OIL"),"GOC",IF(AND(D484="OIL",E484="WATER"),"OWC",IF(AND(D484="GAS",E484="WATER"),"GWC",IF(AND(D484="OIL",E484="OIL_WATER"),"OWC_TRANSITION",IF(AND(D484="OIL_WATER",E484="WATER"),"OWC_TRANSITION",IF(AND(D484="GAS",E484="GAS_WATER"),"GOC_TRANSITION",IF(AND(D484="GAS_WATER",E484="OIL"),"GOC_TRANSITION",IF(OR(D484="OIL_WATER",D484="GAS_WATER"),"TRANSITION_INTERVAL","")))))))))</f>
        <v/>
      </c>
      <c r="G484" s="20">
        <f>IF(OR(F484="",Master_Data!R484="",Master_Data!S484=""),"",IF(RIGHT(F484,10)="TRANSITION",AVERAGE(Master_Data!R484:Master_Data!S484),AVERAGE(Master_Data!S484,Master_Data!R485)))</f>
        <v/>
      </c>
      <c r="H484" s="20">
        <f>IF(G484="","",MAX(Settings!$B$4,Settings!$B$5*AVERAGE(IF(Master_Data!O484&lt;&gt;"",Master_Data!O484,Master_Data!H484),IF(Master_Data!O485&lt;&gt;"",Master_Data!O485,Master_Data!H485))))</f>
        <v/>
      </c>
      <c r="I484" s="20">
        <f>IF(G484="","",G484-H484)</f>
        <v/>
      </c>
      <c r="J484" s="20">
        <f>IF(G484="","",G484+H484)</f>
        <v/>
      </c>
      <c r="K484" s="20">
        <f>IF($A484="","",Master_Data!G484)</f>
        <v/>
      </c>
      <c r="L484" s="20">
        <f>IF($A484="","",Master_Data!G485)</f>
        <v/>
      </c>
      <c r="M484" s="20">
        <f>IF(AND(ISNUMBER(K484),ISNUMBER(L484)),L484-K484,"")</f>
        <v/>
      </c>
      <c r="N484" s="19">
        <f>IF(G484="","",IF(AND(ISNUMBER(K484),ISNUMBER(L484)),IF(OR(F484="GOC",F484="OWC",F484="GWC",F484="OWC_TRANSITION",F484="GOC_TRANSITION"),IF(L484&gt;=K484,"Supports","Conflicts"),"N/A"),"No Sw"))</f>
        <v/>
      </c>
      <c r="O484" s="20">
        <f>IF(G484="","",Settings!$B$6*IF(OR(F484="GOC",F484="OWC",F484="GWC"),1,0.7)+Settings!$B$7*IF(N484="Supports",1,IF(N484="Conflicts",0,0.5))+Settings!$B$8*IF(AND(Master_Data!R484&lt;&gt;"",Master_Data!S484&lt;&gt;"",Master_Data!R485&lt;&gt;"",Master_Data!S485&lt;&gt;""),1,0.5))</f>
        <v/>
      </c>
      <c r="P484" s="19">
        <f>IF(G484="","",IF(N484="Conflicts","SW_CONFLICT",IF(OR(F484="GOC",F484="OWC",F484="GWC"),"DIRECT_FLUID_TRANSITION","TRANSITION_INTERVAL")))</f>
        <v/>
      </c>
      <c r="Q484" s="19">
        <f>IF(G484="","",IF(N484="Conflicts","Investigate contact interpretation / saturation behaviour",IF(OR(F484="OWC",F484="GOC",F484="GWC"),"Candidate contact — validate with logs, pressure and dynamic evidence","Transition zone — do not force to a sharp contact")))</f>
        <v/>
      </c>
    </row>
    <row r="485">
      <c r="A485" s="19">
        <f>IF(AND(Master_Data!A485&lt;&gt;"",Master_Data!A485=Master_Data!A486),Master_Data!A485,"")</f>
        <v/>
      </c>
      <c r="B485" s="19">
        <f>IF($A485="","",Master_Data!B485)</f>
        <v/>
      </c>
      <c r="C485" s="19">
        <f>IF($A485="","",Master_Data!B486)</f>
        <v/>
      </c>
      <c r="D485" s="19">
        <f>IF($A485="","",Master_Data!Q485)</f>
        <v/>
      </c>
      <c r="E485" s="19">
        <f>IF($A485="","",Master_Data!Q486)</f>
        <v/>
      </c>
      <c r="F485" s="19">
        <f>IF($A485="","",IF(AND(D485="GAS",E485="OIL"),"GOC",IF(AND(D485="OIL",E485="WATER"),"OWC",IF(AND(D485="GAS",E485="WATER"),"GWC",IF(AND(D485="OIL",E485="OIL_WATER"),"OWC_TRANSITION",IF(AND(D485="OIL_WATER",E485="WATER"),"OWC_TRANSITION",IF(AND(D485="GAS",E485="GAS_WATER"),"GOC_TRANSITION",IF(AND(D485="GAS_WATER",E485="OIL"),"GOC_TRANSITION",IF(OR(D485="OIL_WATER",D485="GAS_WATER"),"TRANSITION_INTERVAL","")))))))))</f>
        <v/>
      </c>
      <c r="G485" s="20">
        <f>IF(OR(F485="",Master_Data!R485="",Master_Data!S485=""),"",IF(RIGHT(F485,10)="TRANSITION",AVERAGE(Master_Data!R485:Master_Data!S485),AVERAGE(Master_Data!S485,Master_Data!R486)))</f>
        <v/>
      </c>
      <c r="H485" s="20">
        <f>IF(G485="","",MAX(Settings!$B$4,Settings!$B$5*AVERAGE(IF(Master_Data!O485&lt;&gt;"",Master_Data!O485,Master_Data!H485),IF(Master_Data!O486&lt;&gt;"",Master_Data!O486,Master_Data!H486))))</f>
        <v/>
      </c>
      <c r="I485" s="20">
        <f>IF(G485="","",G485-H485)</f>
        <v/>
      </c>
      <c r="J485" s="20">
        <f>IF(G485="","",G485+H485)</f>
        <v/>
      </c>
      <c r="K485" s="20">
        <f>IF($A485="","",Master_Data!G485)</f>
        <v/>
      </c>
      <c r="L485" s="20">
        <f>IF($A485="","",Master_Data!G486)</f>
        <v/>
      </c>
      <c r="M485" s="20">
        <f>IF(AND(ISNUMBER(K485),ISNUMBER(L485)),L485-K485,"")</f>
        <v/>
      </c>
      <c r="N485" s="19">
        <f>IF(G485="","",IF(AND(ISNUMBER(K485),ISNUMBER(L485)),IF(OR(F485="GOC",F485="OWC",F485="GWC",F485="OWC_TRANSITION",F485="GOC_TRANSITION"),IF(L485&gt;=K485,"Supports","Conflicts"),"N/A"),"No Sw"))</f>
        <v/>
      </c>
      <c r="O485" s="20">
        <f>IF(G485="","",Settings!$B$6*IF(OR(F485="GOC",F485="OWC",F485="GWC"),1,0.7)+Settings!$B$7*IF(N485="Supports",1,IF(N485="Conflicts",0,0.5))+Settings!$B$8*IF(AND(Master_Data!R485&lt;&gt;"",Master_Data!S485&lt;&gt;"",Master_Data!R486&lt;&gt;"",Master_Data!S486&lt;&gt;""),1,0.5))</f>
        <v/>
      </c>
      <c r="P485" s="19">
        <f>IF(G485="","",IF(N485="Conflicts","SW_CONFLICT",IF(OR(F485="GOC",F485="OWC",F485="GWC"),"DIRECT_FLUID_TRANSITION","TRANSITION_INTERVAL")))</f>
        <v/>
      </c>
      <c r="Q485" s="19">
        <f>IF(G485="","",IF(N485="Conflicts","Investigate contact interpretation / saturation behaviour",IF(OR(F485="OWC",F485="GOC",F485="GWC"),"Candidate contact — validate with logs, pressure and dynamic evidence","Transition zone — do not force to a sharp contact")))</f>
        <v/>
      </c>
    </row>
    <row r="486">
      <c r="A486" s="19">
        <f>IF(AND(Master_Data!A486&lt;&gt;"",Master_Data!A486=Master_Data!A487),Master_Data!A486,"")</f>
        <v/>
      </c>
      <c r="B486" s="19">
        <f>IF($A486="","",Master_Data!B486)</f>
        <v/>
      </c>
      <c r="C486" s="19">
        <f>IF($A486="","",Master_Data!B487)</f>
        <v/>
      </c>
      <c r="D486" s="19">
        <f>IF($A486="","",Master_Data!Q486)</f>
        <v/>
      </c>
      <c r="E486" s="19">
        <f>IF($A486="","",Master_Data!Q487)</f>
        <v/>
      </c>
      <c r="F486" s="19">
        <f>IF($A486="","",IF(AND(D486="GAS",E486="OIL"),"GOC",IF(AND(D486="OIL",E486="WATER"),"OWC",IF(AND(D486="GAS",E486="WATER"),"GWC",IF(AND(D486="OIL",E486="OIL_WATER"),"OWC_TRANSITION",IF(AND(D486="OIL_WATER",E486="WATER"),"OWC_TRANSITION",IF(AND(D486="GAS",E486="GAS_WATER"),"GOC_TRANSITION",IF(AND(D486="GAS_WATER",E486="OIL"),"GOC_TRANSITION",IF(OR(D486="OIL_WATER",D486="GAS_WATER"),"TRANSITION_INTERVAL","")))))))))</f>
        <v/>
      </c>
      <c r="G486" s="20">
        <f>IF(OR(F486="",Master_Data!R486="",Master_Data!S486=""),"",IF(RIGHT(F486,10)="TRANSITION",AVERAGE(Master_Data!R486:Master_Data!S486),AVERAGE(Master_Data!S486,Master_Data!R487)))</f>
        <v/>
      </c>
      <c r="H486" s="20">
        <f>IF(G486="","",MAX(Settings!$B$4,Settings!$B$5*AVERAGE(IF(Master_Data!O486&lt;&gt;"",Master_Data!O486,Master_Data!H486),IF(Master_Data!O487&lt;&gt;"",Master_Data!O487,Master_Data!H487))))</f>
        <v/>
      </c>
      <c r="I486" s="20">
        <f>IF(G486="","",G486-H486)</f>
        <v/>
      </c>
      <c r="J486" s="20">
        <f>IF(G486="","",G486+H486)</f>
        <v/>
      </c>
      <c r="K486" s="20">
        <f>IF($A486="","",Master_Data!G486)</f>
        <v/>
      </c>
      <c r="L486" s="20">
        <f>IF($A486="","",Master_Data!G487)</f>
        <v/>
      </c>
      <c r="M486" s="20">
        <f>IF(AND(ISNUMBER(K486),ISNUMBER(L486)),L486-K486,"")</f>
        <v/>
      </c>
      <c r="N486" s="19">
        <f>IF(G486="","",IF(AND(ISNUMBER(K486),ISNUMBER(L486)),IF(OR(F486="GOC",F486="OWC",F486="GWC",F486="OWC_TRANSITION",F486="GOC_TRANSITION"),IF(L486&gt;=K486,"Supports","Conflicts"),"N/A"),"No Sw"))</f>
        <v/>
      </c>
      <c r="O486" s="20">
        <f>IF(G486="","",Settings!$B$6*IF(OR(F486="GOC",F486="OWC",F486="GWC"),1,0.7)+Settings!$B$7*IF(N486="Supports",1,IF(N486="Conflicts",0,0.5))+Settings!$B$8*IF(AND(Master_Data!R486&lt;&gt;"",Master_Data!S486&lt;&gt;"",Master_Data!R487&lt;&gt;"",Master_Data!S487&lt;&gt;""),1,0.5))</f>
        <v/>
      </c>
      <c r="P486" s="19">
        <f>IF(G486="","",IF(N486="Conflicts","SW_CONFLICT",IF(OR(F486="GOC",F486="OWC",F486="GWC"),"DIRECT_FLUID_TRANSITION","TRANSITION_INTERVAL")))</f>
        <v/>
      </c>
      <c r="Q486" s="19">
        <f>IF(G486="","",IF(N486="Conflicts","Investigate contact interpretation / saturation behaviour",IF(OR(F486="OWC",F486="GOC",F486="GWC"),"Candidate contact — validate with logs, pressure and dynamic evidence","Transition zone — do not force to a sharp contact")))</f>
        <v/>
      </c>
    </row>
    <row r="487">
      <c r="A487" s="19">
        <f>IF(AND(Master_Data!A487&lt;&gt;"",Master_Data!A487=Master_Data!A488),Master_Data!A487,"")</f>
        <v/>
      </c>
      <c r="B487" s="19">
        <f>IF($A487="","",Master_Data!B487)</f>
        <v/>
      </c>
      <c r="C487" s="19">
        <f>IF($A487="","",Master_Data!B488)</f>
        <v/>
      </c>
      <c r="D487" s="19">
        <f>IF($A487="","",Master_Data!Q487)</f>
        <v/>
      </c>
      <c r="E487" s="19">
        <f>IF($A487="","",Master_Data!Q488)</f>
        <v/>
      </c>
      <c r="F487" s="19">
        <f>IF($A487="","",IF(AND(D487="GAS",E487="OIL"),"GOC",IF(AND(D487="OIL",E487="WATER"),"OWC",IF(AND(D487="GAS",E487="WATER"),"GWC",IF(AND(D487="OIL",E487="OIL_WATER"),"OWC_TRANSITION",IF(AND(D487="OIL_WATER",E487="WATER"),"OWC_TRANSITION",IF(AND(D487="GAS",E487="GAS_WATER"),"GOC_TRANSITION",IF(AND(D487="GAS_WATER",E487="OIL"),"GOC_TRANSITION",IF(OR(D487="OIL_WATER",D487="GAS_WATER"),"TRANSITION_INTERVAL","")))))))))</f>
        <v/>
      </c>
      <c r="G487" s="20">
        <f>IF(OR(F487="",Master_Data!R487="",Master_Data!S487=""),"",IF(RIGHT(F487,10)="TRANSITION",AVERAGE(Master_Data!R487:Master_Data!S487),AVERAGE(Master_Data!S487,Master_Data!R488)))</f>
        <v/>
      </c>
      <c r="H487" s="20">
        <f>IF(G487="","",MAX(Settings!$B$4,Settings!$B$5*AVERAGE(IF(Master_Data!O487&lt;&gt;"",Master_Data!O487,Master_Data!H487),IF(Master_Data!O488&lt;&gt;"",Master_Data!O488,Master_Data!H488))))</f>
        <v/>
      </c>
      <c r="I487" s="20">
        <f>IF(G487="","",G487-H487)</f>
        <v/>
      </c>
      <c r="J487" s="20">
        <f>IF(G487="","",G487+H487)</f>
        <v/>
      </c>
      <c r="K487" s="20">
        <f>IF($A487="","",Master_Data!G487)</f>
        <v/>
      </c>
      <c r="L487" s="20">
        <f>IF($A487="","",Master_Data!G488)</f>
        <v/>
      </c>
      <c r="M487" s="20">
        <f>IF(AND(ISNUMBER(K487),ISNUMBER(L487)),L487-K487,"")</f>
        <v/>
      </c>
      <c r="N487" s="19">
        <f>IF(G487="","",IF(AND(ISNUMBER(K487),ISNUMBER(L487)),IF(OR(F487="GOC",F487="OWC",F487="GWC",F487="OWC_TRANSITION",F487="GOC_TRANSITION"),IF(L487&gt;=K487,"Supports","Conflicts"),"N/A"),"No Sw"))</f>
        <v/>
      </c>
      <c r="O487" s="20">
        <f>IF(G487="","",Settings!$B$6*IF(OR(F487="GOC",F487="OWC",F487="GWC"),1,0.7)+Settings!$B$7*IF(N487="Supports",1,IF(N487="Conflicts",0,0.5))+Settings!$B$8*IF(AND(Master_Data!R487&lt;&gt;"",Master_Data!S487&lt;&gt;"",Master_Data!R488&lt;&gt;"",Master_Data!S488&lt;&gt;""),1,0.5))</f>
        <v/>
      </c>
      <c r="P487" s="19">
        <f>IF(G487="","",IF(N487="Conflicts","SW_CONFLICT",IF(OR(F487="GOC",F487="OWC",F487="GWC"),"DIRECT_FLUID_TRANSITION","TRANSITION_INTERVAL")))</f>
        <v/>
      </c>
      <c r="Q487" s="19">
        <f>IF(G487="","",IF(N487="Conflicts","Investigate contact interpretation / saturation behaviour",IF(OR(F487="OWC",F487="GOC",F487="GWC"),"Candidate contact — validate with logs, pressure and dynamic evidence","Transition zone — do not force to a sharp contact")))</f>
        <v/>
      </c>
    </row>
    <row r="488">
      <c r="A488" s="19">
        <f>IF(AND(Master_Data!A488&lt;&gt;"",Master_Data!A488=Master_Data!A489),Master_Data!A488,"")</f>
        <v/>
      </c>
      <c r="B488" s="19">
        <f>IF($A488="","",Master_Data!B488)</f>
        <v/>
      </c>
      <c r="C488" s="19">
        <f>IF($A488="","",Master_Data!B489)</f>
        <v/>
      </c>
      <c r="D488" s="19">
        <f>IF($A488="","",Master_Data!Q488)</f>
        <v/>
      </c>
      <c r="E488" s="19">
        <f>IF($A488="","",Master_Data!Q489)</f>
        <v/>
      </c>
      <c r="F488" s="19">
        <f>IF($A488="","",IF(AND(D488="GAS",E488="OIL"),"GOC",IF(AND(D488="OIL",E488="WATER"),"OWC",IF(AND(D488="GAS",E488="WATER"),"GWC",IF(AND(D488="OIL",E488="OIL_WATER"),"OWC_TRANSITION",IF(AND(D488="OIL_WATER",E488="WATER"),"OWC_TRANSITION",IF(AND(D488="GAS",E488="GAS_WATER"),"GOC_TRANSITION",IF(AND(D488="GAS_WATER",E488="OIL"),"GOC_TRANSITION",IF(OR(D488="OIL_WATER",D488="GAS_WATER"),"TRANSITION_INTERVAL","")))))))))</f>
        <v/>
      </c>
      <c r="G488" s="20">
        <f>IF(OR(F488="",Master_Data!R488="",Master_Data!S488=""),"",IF(RIGHT(F488,10)="TRANSITION",AVERAGE(Master_Data!R488:Master_Data!S488),AVERAGE(Master_Data!S488,Master_Data!R489)))</f>
        <v/>
      </c>
      <c r="H488" s="20">
        <f>IF(G488="","",MAX(Settings!$B$4,Settings!$B$5*AVERAGE(IF(Master_Data!O488&lt;&gt;"",Master_Data!O488,Master_Data!H488),IF(Master_Data!O489&lt;&gt;"",Master_Data!O489,Master_Data!H489))))</f>
        <v/>
      </c>
      <c r="I488" s="20">
        <f>IF(G488="","",G488-H488)</f>
        <v/>
      </c>
      <c r="J488" s="20">
        <f>IF(G488="","",G488+H488)</f>
        <v/>
      </c>
      <c r="K488" s="20">
        <f>IF($A488="","",Master_Data!G488)</f>
        <v/>
      </c>
      <c r="L488" s="20">
        <f>IF($A488="","",Master_Data!G489)</f>
        <v/>
      </c>
      <c r="M488" s="20">
        <f>IF(AND(ISNUMBER(K488),ISNUMBER(L488)),L488-K488,"")</f>
        <v/>
      </c>
      <c r="N488" s="19">
        <f>IF(G488="","",IF(AND(ISNUMBER(K488),ISNUMBER(L488)),IF(OR(F488="GOC",F488="OWC",F488="GWC",F488="OWC_TRANSITION",F488="GOC_TRANSITION"),IF(L488&gt;=K488,"Supports","Conflicts"),"N/A"),"No Sw"))</f>
        <v/>
      </c>
      <c r="O488" s="20">
        <f>IF(G488="","",Settings!$B$6*IF(OR(F488="GOC",F488="OWC",F488="GWC"),1,0.7)+Settings!$B$7*IF(N488="Supports",1,IF(N488="Conflicts",0,0.5))+Settings!$B$8*IF(AND(Master_Data!R488&lt;&gt;"",Master_Data!S488&lt;&gt;"",Master_Data!R489&lt;&gt;"",Master_Data!S489&lt;&gt;""),1,0.5))</f>
        <v/>
      </c>
      <c r="P488" s="19">
        <f>IF(G488="","",IF(N488="Conflicts","SW_CONFLICT",IF(OR(F488="GOC",F488="OWC",F488="GWC"),"DIRECT_FLUID_TRANSITION","TRANSITION_INTERVAL")))</f>
        <v/>
      </c>
      <c r="Q488" s="19">
        <f>IF(G488="","",IF(N488="Conflicts","Investigate contact interpretation / saturation behaviour",IF(OR(F488="OWC",F488="GOC",F488="GWC"),"Candidate contact — validate with logs, pressure and dynamic evidence","Transition zone — do not force to a sharp contact")))</f>
        <v/>
      </c>
    </row>
    <row r="489">
      <c r="A489" s="19">
        <f>IF(AND(Master_Data!A489&lt;&gt;"",Master_Data!A489=Master_Data!A490),Master_Data!A489,"")</f>
        <v/>
      </c>
      <c r="B489" s="19">
        <f>IF($A489="","",Master_Data!B489)</f>
        <v/>
      </c>
      <c r="C489" s="19">
        <f>IF($A489="","",Master_Data!B490)</f>
        <v/>
      </c>
      <c r="D489" s="19">
        <f>IF($A489="","",Master_Data!Q489)</f>
        <v/>
      </c>
      <c r="E489" s="19">
        <f>IF($A489="","",Master_Data!Q490)</f>
        <v/>
      </c>
      <c r="F489" s="19">
        <f>IF($A489="","",IF(AND(D489="GAS",E489="OIL"),"GOC",IF(AND(D489="OIL",E489="WATER"),"OWC",IF(AND(D489="GAS",E489="WATER"),"GWC",IF(AND(D489="OIL",E489="OIL_WATER"),"OWC_TRANSITION",IF(AND(D489="OIL_WATER",E489="WATER"),"OWC_TRANSITION",IF(AND(D489="GAS",E489="GAS_WATER"),"GOC_TRANSITION",IF(AND(D489="GAS_WATER",E489="OIL"),"GOC_TRANSITION",IF(OR(D489="OIL_WATER",D489="GAS_WATER"),"TRANSITION_INTERVAL","")))))))))</f>
        <v/>
      </c>
      <c r="G489" s="20">
        <f>IF(OR(F489="",Master_Data!R489="",Master_Data!S489=""),"",IF(RIGHT(F489,10)="TRANSITION",AVERAGE(Master_Data!R489:Master_Data!S489),AVERAGE(Master_Data!S489,Master_Data!R490)))</f>
        <v/>
      </c>
      <c r="H489" s="20">
        <f>IF(G489="","",MAX(Settings!$B$4,Settings!$B$5*AVERAGE(IF(Master_Data!O489&lt;&gt;"",Master_Data!O489,Master_Data!H489),IF(Master_Data!O490&lt;&gt;"",Master_Data!O490,Master_Data!H490))))</f>
        <v/>
      </c>
      <c r="I489" s="20">
        <f>IF(G489="","",G489-H489)</f>
        <v/>
      </c>
      <c r="J489" s="20">
        <f>IF(G489="","",G489+H489)</f>
        <v/>
      </c>
      <c r="K489" s="20">
        <f>IF($A489="","",Master_Data!G489)</f>
        <v/>
      </c>
      <c r="L489" s="20">
        <f>IF($A489="","",Master_Data!G490)</f>
        <v/>
      </c>
      <c r="M489" s="20">
        <f>IF(AND(ISNUMBER(K489),ISNUMBER(L489)),L489-K489,"")</f>
        <v/>
      </c>
      <c r="N489" s="19">
        <f>IF(G489="","",IF(AND(ISNUMBER(K489),ISNUMBER(L489)),IF(OR(F489="GOC",F489="OWC",F489="GWC",F489="OWC_TRANSITION",F489="GOC_TRANSITION"),IF(L489&gt;=K489,"Supports","Conflicts"),"N/A"),"No Sw"))</f>
        <v/>
      </c>
      <c r="O489" s="20">
        <f>IF(G489="","",Settings!$B$6*IF(OR(F489="GOC",F489="OWC",F489="GWC"),1,0.7)+Settings!$B$7*IF(N489="Supports",1,IF(N489="Conflicts",0,0.5))+Settings!$B$8*IF(AND(Master_Data!R489&lt;&gt;"",Master_Data!S489&lt;&gt;"",Master_Data!R490&lt;&gt;"",Master_Data!S490&lt;&gt;""),1,0.5))</f>
        <v/>
      </c>
      <c r="P489" s="19">
        <f>IF(G489="","",IF(N489="Conflicts","SW_CONFLICT",IF(OR(F489="GOC",F489="OWC",F489="GWC"),"DIRECT_FLUID_TRANSITION","TRANSITION_INTERVAL")))</f>
        <v/>
      </c>
      <c r="Q489" s="19">
        <f>IF(G489="","",IF(N489="Conflicts","Investigate contact interpretation / saturation behaviour",IF(OR(F489="OWC",F489="GOC",F489="GWC"),"Candidate contact — validate with logs, pressure and dynamic evidence","Transition zone — do not force to a sharp contact")))</f>
        <v/>
      </c>
    </row>
    <row r="490">
      <c r="A490" s="19">
        <f>IF(AND(Master_Data!A490&lt;&gt;"",Master_Data!A490=Master_Data!A491),Master_Data!A490,"")</f>
        <v/>
      </c>
      <c r="B490" s="19">
        <f>IF($A490="","",Master_Data!B490)</f>
        <v/>
      </c>
      <c r="C490" s="19">
        <f>IF($A490="","",Master_Data!B491)</f>
        <v/>
      </c>
      <c r="D490" s="19">
        <f>IF($A490="","",Master_Data!Q490)</f>
        <v/>
      </c>
      <c r="E490" s="19">
        <f>IF($A490="","",Master_Data!Q491)</f>
        <v/>
      </c>
      <c r="F490" s="19">
        <f>IF($A490="","",IF(AND(D490="GAS",E490="OIL"),"GOC",IF(AND(D490="OIL",E490="WATER"),"OWC",IF(AND(D490="GAS",E490="WATER"),"GWC",IF(AND(D490="OIL",E490="OIL_WATER"),"OWC_TRANSITION",IF(AND(D490="OIL_WATER",E490="WATER"),"OWC_TRANSITION",IF(AND(D490="GAS",E490="GAS_WATER"),"GOC_TRANSITION",IF(AND(D490="GAS_WATER",E490="OIL"),"GOC_TRANSITION",IF(OR(D490="OIL_WATER",D490="GAS_WATER"),"TRANSITION_INTERVAL","")))))))))</f>
        <v/>
      </c>
      <c r="G490" s="20">
        <f>IF(OR(F490="",Master_Data!R490="",Master_Data!S490=""),"",IF(RIGHT(F490,10)="TRANSITION",AVERAGE(Master_Data!R490:Master_Data!S490),AVERAGE(Master_Data!S490,Master_Data!R491)))</f>
        <v/>
      </c>
      <c r="H490" s="20">
        <f>IF(G490="","",MAX(Settings!$B$4,Settings!$B$5*AVERAGE(IF(Master_Data!O490&lt;&gt;"",Master_Data!O490,Master_Data!H490),IF(Master_Data!O491&lt;&gt;"",Master_Data!O491,Master_Data!H491))))</f>
        <v/>
      </c>
      <c r="I490" s="20">
        <f>IF(G490="","",G490-H490)</f>
        <v/>
      </c>
      <c r="J490" s="20">
        <f>IF(G490="","",G490+H490)</f>
        <v/>
      </c>
      <c r="K490" s="20">
        <f>IF($A490="","",Master_Data!G490)</f>
        <v/>
      </c>
      <c r="L490" s="20">
        <f>IF($A490="","",Master_Data!G491)</f>
        <v/>
      </c>
      <c r="M490" s="20">
        <f>IF(AND(ISNUMBER(K490),ISNUMBER(L490)),L490-K490,"")</f>
        <v/>
      </c>
      <c r="N490" s="19">
        <f>IF(G490="","",IF(AND(ISNUMBER(K490),ISNUMBER(L490)),IF(OR(F490="GOC",F490="OWC",F490="GWC",F490="OWC_TRANSITION",F490="GOC_TRANSITION"),IF(L490&gt;=K490,"Supports","Conflicts"),"N/A"),"No Sw"))</f>
        <v/>
      </c>
      <c r="O490" s="20">
        <f>IF(G490="","",Settings!$B$6*IF(OR(F490="GOC",F490="OWC",F490="GWC"),1,0.7)+Settings!$B$7*IF(N490="Supports",1,IF(N490="Conflicts",0,0.5))+Settings!$B$8*IF(AND(Master_Data!R490&lt;&gt;"",Master_Data!S490&lt;&gt;"",Master_Data!R491&lt;&gt;"",Master_Data!S491&lt;&gt;""),1,0.5))</f>
        <v/>
      </c>
      <c r="P490" s="19">
        <f>IF(G490="","",IF(N490="Conflicts","SW_CONFLICT",IF(OR(F490="GOC",F490="OWC",F490="GWC"),"DIRECT_FLUID_TRANSITION","TRANSITION_INTERVAL")))</f>
        <v/>
      </c>
      <c r="Q490" s="19">
        <f>IF(G490="","",IF(N490="Conflicts","Investigate contact interpretation / saturation behaviour",IF(OR(F490="OWC",F490="GOC",F490="GWC"),"Candidate contact — validate with logs, pressure and dynamic evidence","Transition zone — do not force to a sharp contact")))</f>
        <v/>
      </c>
    </row>
    <row r="491">
      <c r="A491" s="19">
        <f>IF(AND(Master_Data!A491&lt;&gt;"",Master_Data!A491=Master_Data!A492),Master_Data!A491,"")</f>
        <v/>
      </c>
      <c r="B491" s="19">
        <f>IF($A491="","",Master_Data!B491)</f>
        <v/>
      </c>
      <c r="C491" s="19">
        <f>IF($A491="","",Master_Data!B492)</f>
        <v/>
      </c>
      <c r="D491" s="19">
        <f>IF($A491="","",Master_Data!Q491)</f>
        <v/>
      </c>
      <c r="E491" s="19">
        <f>IF($A491="","",Master_Data!Q492)</f>
        <v/>
      </c>
      <c r="F491" s="19">
        <f>IF($A491="","",IF(AND(D491="GAS",E491="OIL"),"GOC",IF(AND(D491="OIL",E491="WATER"),"OWC",IF(AND(D491="GAS",E491="WATER"),"GWC",IF(AND(D491="OIL",E491="OIL_WATER"),"OWC_TRANSITION",IF(AND(D491="OIL_WATER",E491="WATER"),"OWC_TRANSITION",IF(AND(D491="GAS",E491="GAS_WATER"),"GOC_TRANSITION",IF(AND(D491="GAS_WATER",E491="OIL"),"GOC_TRANSITION",IF(OR(D491="OIL_WATER",D491="GAS_WATER"),"TRANSITION_INTERVAL","")))))))))</f>
        <v/>
      </c>
      <c r="G491" s="20">
        <f>IF(OR(F491="",Master_Data!R491="",Master_Data!S491=""),"",IF(RIGHT(F491,10)="TRANSITION",AVERAGE(Master_Data!R491:Master_Data!S491),AVERAGE(Master_Data!S491,Master_Data!R492)))</f>
        <v/>
      </c>
      <c r="H491" s="20">
        <f>IF(G491="","",MAX(Settings!$B$4,Settings!$B$5*AVERAGE(IF(Master_Data!O491&lt;&gt;"",Master_Data!O491,Master_Data!H491),IF(Master_Data!O492&lt;&gt;"",Master_Data!O492,Master_Data!H492))))</f>
        <v/>
      </c>
      <c r="I491" s="20">
        <f>IF(G491="","",G491-H491)</f>
        <v/>
      </c>
      <c r="J491" s="20">
        <f>IF(G491="","",G491+H491)</f>
        <v/>
      </c>
      <c r="K491" s="20">
        <f>IF($A491="","",Master_Data!G491)</f>
        <v/>
      </c>
      <c r="L491" s="20">
        <f>IF($A491="","",Master_Data!G492)</f>
        <v/>
      </c>
      <c r="M491" s="20">
        <f>IF(AND(ISNUMBER(K491),ISNUMBER(L491)),L491-K491,"")</f>
        <v/>
      </c>
      <c r="N491" s="19">
        <f>IF(G491="","",IF(AND(ISNUMBER(K491),ISNUMBER(L491)),IF(OR(F491="GOC",F491="OWC",F491="GWC",F491="OWC_TRANSITION",F491="GOC_TRANSITION"),IF(L491&gt;=K491,"Supports","Conflicts"),"N/A"),"No Sw"))</f>
        <v/>
      </c>
      <c r="O491" s="20">
        <f>IF(G491="","",Settings!$B$6*IF(OR(F491="GOC",F491="OWC",F491="GWC"),1,0.7)+Settings!$B$7*IF(N491="Supports",1,IF(N491="Conflicts",0,0.5))+Settings!$B$8*IF(AND(Master_Data!R491&lt;&gt;"",Master_Data!S491&lt;&gt;"",Master_Data!R492&lt;&gt;"",Master_Data!S492&lt;&gt;""),1,0.5))</f>
        <v/>
      </c>
      <c r="P491" s="19">
        <f>IF(G491="","",IF(N491="Conflicts","SW_CONFLICT",IF(OR(F491="GOC",F491="OWC",F491="GWC"),"DIRECT_FLUID_TRANSITION","TRANSITION_INTERVAL")))</f>
        <v/>
      </c>
      <c r="Q491" s="19">
        <f>IF(G491="","",IF(N491="Conflicts","Investigate contact interpretation / saturation behaviour",IF(OR(F491="OWC",F491="GOC",F491="GWC"),"Candidate contact — validate with logs, pressure and dynamic evidence","Transition zone — do not force to a sharp contact")))</f>
        <v/>
      </c>
    </row>
    <row r="492">
      <c r="A492" s="19">
        <f>IF(AND(Master_Data!A492&lt;&gt;"",Master_Data!A492=Master_Data!A493),Master_Data!A492,"")</f>
        <v/>
      </c>
      <c r="B492" s="19">
        <f>IF($A492="","",Master_Data!B492)</f>
        <v/>
      </c>
      <c r="C492" s="19">
        <f>IF($A492="","",Master_Data!B493)</f>
        <v/>
      </c>
      <c r="D492" s="19">
        <f>IF($A492="","",Master_Data!Q492)</f>
        <v/>
      </c>
      <c r="E492" s="19">
        <f>IF($A492="","",Master_Data!Q493)</f>
        <v/>
      </c>
      <c r="F492" s="19">
        <f>IF($A492="","",IF(AND(D492="GAS",E492="OIL"),"GOC",IF(AND(D492="OIL",E492="WATER"),"OWC",IF(AND(D492="GAS",E492="WATER"),"GWC",IF(AND(D492="OIL",E492="OIL_WATER"),"OWC_TRANSITION",IF(AND(D492="OIL_WATER",E492="WATER"),"OWC_TRANSITION",IF(AND(D492="GAS",E492="GAS_WATER"),"GOC_TRANSITION",IF(AND(D492="GAS_WATER",E492="OIL"),"GOC_TRANSITION",IF(OR(D492="OIL_WATER",D492="GAS_WATER"),"TRANSITION_INTERVAL","")))))))))</f>
        <v/>
      </c>
      <c r="G492" s="20">
        <f>IF(OR(F492="",Master_Data!R492="",Master_Data!S492=""),"",IF(RIGHT(F492,10)="TRANSITION",AVERAGE(Master_Data!R492:Master_Data!S492),AVERAGE(Master_Data!S492,Master_Data!R493)))</f>
        <v/>
      </c>
      <c r="H492" s="20">
        <f>IF(G492="","",MAX(Settings!$B$4,Settings!$B$5*AVERAGE(IF(Master_Data!O492&lt;&gt;"",Master_Data!O492,Master_Data!H492),IF(Master_Data!O493&lt;&gt;"",Master_Data!O493,Master_Data!H493))))</f>
        <v/>
      </c>
      <c r="I492" s="20">
        <f>IF(G492="","",G492-H492)</f>
        <v/>
      </c>
      <c r="J492" s="20">
        <f>IF(G492="","",G492+H492)</f>
        <v/>
      </c>
      <c r="K492" s="20">
        <f>IF($A492="","",Master_Data!G492)</f>
        <v/>
      </c>
      <c r="L492" s="20">
        <f>IF($A492="","",Master_Data!G493)</f>
        <v/>
      </c>
      <c r="M492" s="20">
        <f>IF(AND(ISNUMBER(K492),ISNUMBER(L492)),L492-K492,"")</f>
        <v/>
      </c>
      <c r="N492" s="19">
        <f>IF(G492="","",IF(AND(ISNUMBER(K492),ISNUMBER(L492)),IF(OR(F492="GOC",F492="OWC",F492="GWC",F492="OWC_TRANSITION",F492="GOC_TRANSITION"),IF(L492&gt;=K492,"Supports","Conflicts"),"N/A"),"No Sw"))</f>
        <v/>
      </c>
      <c r="O492" s="20">
        <f>IF(G492="","",Settings!$B$6*IF(OR(F492="GOC",F492="OWC",F492="GWC"),1,0.7)+Settings!$B$7*IF(N492="Supports",1,IF(N492="Conflicts",0,0.5))+Settings!$B$8*IF(AND(Master_Data!R492&lt;&gt;"",Master_Data!S492&lt;&gt;"",Master_Data!R493&lt;&gt;"",Master_Data!S493&lt;&gt;""),1,0.5))</f>
        <v/>
      </c>
      <c r="P492" s="19">
        <f>IF(G492="","",IF(N492="Conflicts","SW_CONFLICT",IF(OR(F492="GOC",F492="OWC",F492="GWC"),"DIRECT_FLUID_TRANSITION","TRANSITION_INTERVAL")))</f>
        <v/>
      </c>
      <c r="Q492" s="19">
        <f>IF(G492="","",IF(N492="Conflicts","Investigate contact interpretation / saturation behaviour",IF(OR(F492="OWC",F492="GOC",F492="GWC"),"Candidate contact — validate with logs, pressure and dynamic evidence","Transition zone — do not force to a sharp contact")))</f>
        <v/>
      </c>
    </row>
    <row r="493">
      <c r="A493" s="19">
        <f>IF(AND(Master_Data!A493&lt;&gt;"",Master_Data!A493=Master_Data!A494),Master_Data!A493,"")</f>
        <v/>
      </c>
      <c r="B493" s="19">
        <f>IF($A493="","",Master_Data!B493)</f>
        <v/>
      </c>
      <c r="C493" s="19">
        <f>IF($A493="","",Master_Data!B494)</f>
        <v/>
      </c>
      <c r="D493" s="19">
        <f>IF($A493="","",Master_Data!Q493)</f>
        <v/>
      </c>
      <c r="E493" s="19">
        <f>IF($A493="","",Master_Data!Q494)</f>
        <v/>
      </c>
      <c r="F493" s="19">
        <f>IF($A493="","",IF(AND(D493="GAS",E493="OIL"),"GOC",IF(AND(D493="OIL",E493="WATER"),"OWC",IF(AND(D493="GAS",E493="WATER"),"GWC",IF(AND(D493="OIL",E493="OIL_WATER"),"OWC_TRANSITION",IF(AND(D493="OIL_WATER",E493="WATER"),"OWC_TRANSITION",IF(AND(D493="GAS",E493="GAS_WATER"),"GOC_TRANSITION",IF(AND(D493="GAS_WATER",E493="OIL"),"GOC_TRANSITION",IF(OR(D493="OIL_WATER",D493="GAS_WATER"),"TRANSITION_INTERVAL","")))))))))</f>
        <v/>
      </c>
      <c r="G493" s="20">
        <f>IF(OR(F493="",Master_Data!R493="",Master_Data!S493=""),"",IF(RIGHT(F493,10)="TRANSITION",AVERAGE(Master_Data!R493:Master_Data!S493),AVERAGE(Master_Data!S493,Master_Data!R494)))</f>
        <v/>
      </c>
      <c r="H493" s="20">
        <f>IF(G493="","",MAX(Settings!$B$4,Settings!$B$5*AVERAGE(IF(Master_Data!O493&lt;&gt;"",Master_Data!O493,Master_Data!H493),IF(Master_Data!O494&lt;&gt;"",Master_Data!O494,Master_Data!H494))))</f>
        <v/>
      </c>
      <c r="I493" s="20">
        <f>IF(G493="","",G493-H493)</f>
        <v/>
      </c>
      <c r="J493" s="20">
        <f>IF(G493="","",G493+H493)</f>
        <v/>
      </c>
      <c r="K493" s="20">
        <f>IF($A493="","",Master_Data!G493)</f>
        <v/>
      </c>
      <c r="L493" s="20">
        <f>IF($A493="","",Master_Data!G494)</f>
        <v/>
      </c>
      <c r="M493" s="20">
        <f>IF(AND(ISNUMBER(K493),ISNUMBER(L493)),L493-K493,"")</f>
        <v/>
      </c>
      <c r="N493" s="19">
        <f>IF(G493="","",IF(AND(ISNUMBER(K493),ISNUMBER(L493)),IF(OR(F493="GOC",F493="OWC",F493="GWC",F493="OWC_TRANSITION",F493="GOC_TRANSITION"),IF(L493&gt;=K493,"Supports","Conflicts"),"N/A"),"No Sw"))</f>
        <v/>
      </c>
      <c r="O493" s="20">
        <f>IF(G493="","",Settings!$B$6*IF(OR(F493="GOC",F493="OWC",F493="GWC"),1,0.7)+Settings!$B$7*IF(N493="Supports",1,IF(N493="Conflicts",0,0.5))+Settings!$B$8*IF(AND(Master_Data!R493&lt;&gt;"",Master_Data!S493&lt;&gt;"",Master_Data!R494&lt;&gt;"",Master_Data!S494&lt;&gt;""),1,0.5))</f>
        <v/>
      </c>
      <c r="P493" s="19">
        <f>IF(G493="","",IF(N493="Conflicts","SW_CONFLICT",IF(OR(F493="GOC",F493="OWC",F493="GWC"),"DIRECT_FLUID_TRANSITION","TRANSITION_INTERVAL")))</f>
        <v/>
      </c>
      <c r="Q493" s="19">
        <f>IF(G493="","",IF(N493="Conflicts","Investigate contact interpretation / saturation behaviour",IF(OR(F493="OWC",F493="GOC",F493="GWC"),"Candidate contact — validate with logs, pressure and dynamic evidence","Transition zone — do not force to a sharp contact")))</f>
        <v/>
      </c>
    </row>
    <row r="494">
      <c r="A494" s="19">
        <f>IF(AND(Master_Data!A494&lt;&gt;"",Master_Data!A494=Master_Data!A495),Master_Data!A494,"")</f>
        <v/>
      </c>
      <c r="B494" s="19">
        <f>IF($A494="","",Master_Data!B494)</f>
        <v/>
      </c>
      <c r="C494" s="19">
        <f>IF($A494="","",Master_Data!B495)</f>
        <v/>
      </c>
      <c r="D494" s="19">
        <f>IF($A494="","",Master_Data!Q494)</f>
        <v/>
      </c>
      <c r="E494" s="19">
        <f>IF($A494="","",Master_Data!Q495)</f>
        <v/>
      </c>
      <c r="F494" s="19">
        <f>IF($A494="","",IF(AND(D494="GAS",E494="OIL"),"GOC",IF(AND(D494="OIL",E494="WATER"),"OWC",IF(AND(D494="GAS",E494="WATER"),"GWC",IF(AND(D494="OIL",E494="OIL_WATER"),"OWC_TRANSITION",IF(AND(D494="OIL_WATER",E494="WATER"),"OWC_TRANSITION",IF(AND(D494="GAS",E494="GAS_WATER"),"GOC_TRANSITION",IF(AND(D494="GAS_WATER",E494="OIL"),"GOC_TRANSITION",IF(OR(D494="OIL_WATER",D494="GAS_WATER"),"TRANSITION_INTERVAL","")))))))))</f>
        <v/>
      </c>
      <c r="G494" s="20">
        <f>IF(OR(F494="",Master_Data!R494="",Master_Data!S494=""),"",IF(RIGHT(F494,10)="TRANSITION",AVERAGE(Master_Data!R494:Master_Data!S494),AVERAGE(Master_Data!S494,Master_Data!R495)))</f>
        <v/>
      </c>
      <c r="H494" s="20">
        <f>IF(G494="","",MAX(Settings!$B$4,Settings!$B$5*AVERAGE(IF(Master_Data!O494&lt;&gt;"",Master_Data!O494,Master_Data!H494),IF(Master_Data!O495&lt;&gt;"",Master_Data!O495,Master_Data!H495))))</f>
        <v/>
      </c>
      <c r="I494" s="20">
        <f>IF(G494="","",G494-H494)</f>
        <v/>
      </c>
      <c r="J494" s="20">
        <f>IF(G494="","",G494+H494)</f>
        <v/>
      </c>
      <c r="K494" s="20">
        <f>IF($A494="","",Master_Data!G494)</f>
        <v/>
      </c>
      <c r="L494" s="20">
        <f>IF($A494="","",Master_Data!G495)</f>
        <v/>
      </c>
      <c r="M494" s="20">
        <f>IF(AND(ISNUMBER(K494),ISNUMBER(L494)),L494-K494,"")</f>
        <v/>
      </c>
      <c r="N494" s="19">
        <f>IF(G494="","",IF(AND(ISNUMBER(K494),ISNUMBER(L494)),IF(OR(F494="GOC",F494="OWC",F494="GWC",F494="OWC_TRANSITION",F494="GOC_TRANSITION"),IF(L494&gt;=K494,"Supports","Conflicts"),"N/A"),"No Sw"))</f>
        <v/>
      </c>
      <c r="O494" s="20">
        <f>IF(G494="","",Settings!$B$6*IF(OR(F494="GOC",F494="OWC",F494="GWC"),1,0.7)+Settings!$B$7*IF(N494="Supports",1,IF(N494="Conflicts",0,0.5))+Settings!$B$8*IF(AND(Master_Data!R494&lt;&gt;"",Master_Data!S494&lt;&gt;"",Master_Data!R495&lt;&gt;"",Master_Data!S495&lt;&gt;""),1,0.5))</f>
        <v/>
      </c>
      <c r="P494" s="19">
        <f>IF(G494="","",IF(N494="Conflicts","SW_CONFLICT",IF(OR(F494="GOC",F494="OWC",F494="GWC"),"DIRECT_FLUID_TRANSITION","TRANSITION_INTERVAL")))</f>
        <v/>
      </c>
      <c r="Q494" s="19">
        <f>IF(G494="","",IF(N494="Conflicts","Investigate contact interpretation / saturation behaviour",IF(OR(F494="OWC",F494="GOC",F494="GWC"),"Candidate contact — validate with logs, pressure and dynamic evidence","Transition zone — do not force to a sharp contact")))</f>
        <v/>
      </c>
    </row>
    <row r="495">
      <c r="A495" s="19">
        <f>IF(AND(Master_Data!A495&lt;&gt;"",Master_Data!A495=Master_Data!A496),Master_Data!A495,"")</f>
        <v/>
      </c>
      <c r="B495" s="19">
        <f>IF($A495="","",Master_Data!B495)</f>
        <v/>
      </c>
      <c r="C495" s="19">
        <f>IF($A495="","",Master_Data!B496)</f>
        <v/>
      </c>
      <c r="D495" s="19">
        <f>IF($A495="","",Master_Data!Q495)</f>
        <v/>
      </c>
      <c r="E495" s="19">
        <f>IF($A495="","",Master_Data!Q496)</f>
        <v/>
      </c>
      <c r="F495" s="19">
        <f>IF($A495="","",IF(AND(D495="GAS",E495="OIL"),"GOC",IF(AND(D495="OIL",E495="WATER"),"OWC",IF(AND(D495="GAS",E495="WATER"),"GWC",IF(AND(D495="OIL",E495="OIL_WATER"),"OWC_TRANSITION",IF(AND(D495="OIL_WATER",E495="WATER"),"OWC_TRANSITION",IF(AND(D495="GAS",E495="GAS_WATER"),"GOC_TRANSITION",IF(AND(D495="GAS_WATER",E495="OIL"),"GOC_TRANSITION",IF(OR(D495="OIL_WATER",D495="GAS_WATER"),"TRANSITION_INTERVAL","")))))))))</f>
        <v/>
      </c>
      <c r="G495" s="20">
        <f>IF(OR(F495="",Master_Data!R495="",Master_Data!S495=""),"",IF(RIGHT(F495,10)="TRANSITION",AVERAGE(Master_Data!R495:Master_Data!S495),AVERAGE(Master_Data!S495,Master_Data!R496)))</f>
        <v/>
      </c>
      <c r="H495" s="20">
        <f>IF(G495="","",MAX(Settings!$B$4,Settings!$B$5*AVERAGE(IF(Master_Data!O495&lt;&gt;"",Master_Data!O495,Master_Data!H495),IF(Master_Data!O496&lt;&gt;"",Master_Data!O496,Master_Data!H496))))</f>
        <v/>
      </c>
      <c r="I495" s="20">
        <f>IF(G495="","",G495-H495)</f>
        <v/>
      </c>
      <c r="J495" s="20">
        <f>IF(G495="","",G495+H495)</f>
        <v/>
      </c>
      <c r="K495" s="20">
        <f>IF($A495="","",Master_Data!G495)</f>
        <v/>
      </c>
      <c r="L495" s="20">
        <f>IF($A495="","",Master_Data!G496)</f>
        <v/>
      </c>
      <c r="M495" s="20">
        <f>IF(AND(ISNUMBER(K495),ISNUMBER(L495)),L495-K495,"")</f>
        <v/>
      </c>
      <c r="N495" s="19">
        <f>IF(G495="","",IF(AND(ISNUMBER(K495),ISNUMBER(L495)),IF(OR(F495="GOC",F495="OWC",F495="GWC",F495="OWC_TRANSITION",F495="GOC_TRANSITION"),IF(L495&gt;=K495,"Supports","Conflicts"),"N/A"),"No Sw"))</f>
        <v/>
      </c>
      <c r="O495" s="20">
        <f>IF(G495="","",Settings!$B$6*IF(OR(F495="GOC",F495="OWC",F495="GWC"),1,0.7)+Settings!$B$7*IF(N495="Supports",1,IF(N495="Conflicts",0,0.5))+Settings!$B$8*IF(AND(Master_Data!R495&lt;&gt;"",Master_Data!S495&lt;&gt;"",Master_Data!R496&lt;&gt;"",Master_Data!S496&lt;&gt;""),1,0.5))</f>
        <v/>
      </c>
      <c r="P495" s="19">
        <f>IF(G495="","",IF(N495="Conflicts","SW_CONFLICT",IF(OR(F495="GOC",F495="OWC",F495="GWC"),"DIRECT_FLUID_TRANSITION","TRANSITION_INTERVAL")))</f>
        <v/>
      </c>
      <c r="Q495" s="19">
        <f>IF(G495="","",IF(N495="Conflicts","Investigate contact interpretation / saturation behaviour",IF(OR(F495="OWC",F495="GOC",F495="GWC"),"Candidate contact — validate with logs, pressure and dynamic evidence","Transition zone — do not force to a sharp contact")))</f>
        <v/>
      </c>
    </row>
    <row r="496">
      <c r="A496" s="19">
        <f>IF(AND(Master_Data!A496&lt;&gt;"",Master_Data!A496=Master_Data!A497),Master_Data!A496,"")</f>
        <v/>
      </c>
      <c r="B496" s="19">
        <f>IF($A496="","",Master_Data!B496)</f>
        <v/>
      </c>
      <c r="C496" s="19">
        <f>IF($A496="","",Master_Data!B497)</f>
        <v/>
      </c>
      <c r="D496" s="19">
        <f>IF($A496="","",Master_Data!Q496)</f>
        <v/>
      </c>
      <c r="E496" s="19">
        <f>IF($A496="","",Master_Data!Q497)</f>
        <v/>
      </c>
      <c r="F496" s="19">
        <f>IF($A496="","",IF(AND(D496="GAS",E496="OIL"),"GOC",IF(AND(D496="OIL",E496="WATER"),"OWC",IF(AND(D496="GAS",E496="WATER"),"GWC",IF(AND(D496="OIL",E496="OIL_WATER"),"OWC_TRANSITION",IF(AND(D496="OIL_WATER",E496="WATER"),"OWC_TRANSITION",IF(AND(D496="GAS",E496="GAS_WATER"),"GOC_TRANSITION",IF(AND(D496="GAS_WATER",E496="OIL"),"GOC_TRANSITION",IF(OR(D496="OIL_WATER",D496="GAS_WATER"),"TRANSITION_INTERVAL","")))))))))</f>
        <v/>
      </c>
      <c r="G496" s="20">
        <f>IF(OR(F496="",Master_Data!R496="",Master_Data!S496=""),"",IF(RIGHT(F496,10)="TRANSITION",AVERAGE(Master_Data!R496:Master_Data!S496),AVERAGE(Master_Data!S496,Master_Data!R497)))</f>
        <v/>
      </c>
      <c r="H496" s="20">
        <f>IF(G496="","",MAX(Settings!$B$4,Settings!$B$5*AVERAGE(IF(Master_Data!O496&lt;&gt;"",Master_Data!O496,Master_Data!H496),IF(Master_Data!O497&lt;&gt;"",Master_Data!O497,Master_Data!H497))))</f>
        <v/>
      </c>
      <c r="I496" s="20">
        <f>IF(G496="","",G496-H496)</f>
        <v/>
      </c>
      <c r="J496" s="20">
        <f>IF(G496="","",G496+H496)</f>
        <v/>
      </c>
      <c r="K496" s="20">
        <f>IF($A496="","",Master_Data!G496)</f>
        <v/>
      </c>
      <c r="L496" s="20">
        <f>IF($A496="","",Master_Data!G497)</f>
        <v/>
      </c>
      <c r="M496" s="20">
        <f>IF(AND(ISNUMBER(K496),ISNUMBER(L496)),L496-K496,"")</f>
        <v/>
      </c>
      <c r="N496" s="19">
        <f>IF(G496="","",IF(AND(ISNUMBER(K496),ISNUMBER(L496)),IF(OR(F496="GOC",F496="OWC",F496="GWC",F496="OWC_TRANSITION",F496="GOC_TRANSITION"),IF(L496&gt;=K496,"Supports","Conflicts"),"N/A"),"No Sw"))</f>
        <v/>
      </c>
      <c r="O496" s="20">
        <f>IF(G496="","",Settings!$B$6*IF(OR(F496="GOC",F496="OWC",F496="GWC"),1,0.7)+Settings!$B$7*IF(N496="Supports",1,IF(N496="Conflicts",0,0.5))+Settings!$B$8*IF(AND(Master_Data!R496&lt;&gt;"",Master_Data!S496&lt;&gt;"",Master_Data!R497&lt;&gt;"",Master_Data!S497&lt;&gt;""),1,0.5))</f>
        <v/>
      </c>
      <c r="P496" s="19">
        <f>IF(G496="","",IF(N496="Conflicts","SW_CONFLICT",IF(OR(F496="GOC",F496="OWC",F496="GWC"),"DIRECT_FLUID_TRANSITION","TRANSITION_INTERVAL")))</f>
        <v/>
      </c>
      <c r="Q496" s="19">
        <f>IF(G496="","",IF(N496="Conflicts","Investigate contact interpretation / saturation behaviour",IF(OR(F496="OWC",F496="GOC",F496="GWC"),"Candidate contact — validate with logs, pressure and dynamic evidence","Transition zone — do not force to a sharp contact")))</f>
        <v/>
      </c>
    </row>
    <row r="497">
      <c r="A497" s="19">
        <f>IF(AND(Master_Data!A497&lt;&gt;"",Master_Data!A497=Master_Data!A498),Master_Data!A497,"")</f>
        <v/>
      </c>
      <c r="B497" s="19">
        <f>IF($A497="","",Master_Data!B497)</f>
        <v/>
      </c>
      <c r="C497" s="19">
        <f>IF($A497="","",Master_Data!B498)</f>
        <v/>
      </c>
      <c r="D497" s="19">
        <f>IF($A497="","",Master_Data!Q497)</f>
        <v/>
      </c>
      <c r="E497" s="19">
        <f>IF($A497="","",Master_Data!Q498)</f>
        <v/>
      </c>
      <c r="F497" s="19">
        <f>IF($A497="","",IF(AND(D497="GAS",E497="OIL"),"GOC",IF(AND(D497="OIL",E497="WATER"),"OWC",IF(AND(D497="GAS",E497="WATER"),"GWC",IF(AND(D497="OIL",E497="OIL_WATER"),"OWC_TRANSITION",IF(AND(D497="OIL_WATER",E497="WATER"),"OWC_TRANSITION",IF(AND(D497="GAS",E497="GAS_WATER"),"GOC_TRANSITION",IF(AND(D497="GAS_WATER",E497="OIL"),"GOC_TRANSITION",IF(OR(D497="OIL_WATER",D497="GAS_WATER"),"TRANSITION_INTERVAL","")))))))))</f>
        <v/>
      </c>
      <c r="G497" s="20">
        <f>IF(OR(F497="",Master_Data!R497="",Master_Data!S497=""),"",IF(RIGHT(F497,10)="TRANSITION",AVERAGE(Master_Data!R497:Master_Data!S497),AVERAGE(Master_Data!S497,Master_Data!R498)))</f>
        <v/>
      </c>
      <c r="H497" s="20">
        <f>IF(G497="","",MAX(Settings!$B$4,Settings!$B$5*AVERAGE(IF(Master_Data!O497&lt;&gt;"",Master_Data!O497,Master_Data!H497),IF(Master_Data!O498&lt;&gt;"",Master_Data!O498,Master_Data!H498))))</f>
        <v/>
      </c>
      <c r="I497" s="20">
        <f>IF(G497="","",G497-H497)</f>
        <v/>
      </c>
      <c r="J497" s="20">
        <f>IF(G497="","",G497+H497)</f>
        <v/>
      </c>
      <c r="K497" s="20">
        <f>IF($A497="","",Master_Data!G497)</f>
        <v/>
      </c>
      <c r="L497" s="20">
        <f>IF($A497="","",Master_Data!G498)</f>
        <v/>
      </c>
      <c r="M497" s="20">
        <f>IF(AND(ISNUMBER(K497),ISNUMBER(L497)),L497-K497,"")</f>
        <v/>
      </c>
      <c r="N497" s="19">
        <f>IF(G497="","",IF(AND(ISNUMBER(K497),ISNUMBER(L497)),IF(OR(F497="GOC",F497="OWC",F497="GWC",F497="OWC_TRANSITION",F497="GOC_TRANSITION"),IF(L497&gt;=K497,"Supports","Conflicts"),"N/A"),"No Sw"))</f>
        <v/>
      </c>
      <c r="O497" s="20">
        <f>IF(G497="","",Settings!$B$6*IF(OR(F497="GOC",F497="OWC",F497="GWC"),1,0.7)+Settings!$B$7*IF(N497="Supports",1,IF(N497="Conflicts",0,0.5))+Settings!$B$8*IF(AND(Master_Data!R497&lt;&gt;"",Master_Data!S497&lt;&gt;"",Master_Data!R498&lt;&gt;"",Master_Data!S498&lt;&gt;""),1,0.5))</f>
        <v/>
      </c>
      <c r="P497" s="19">
        <f>IF(G497="","",IF(N497="Conflicts","SW_CONFLICT",IF(OR(F497="GOC",F497="OWC",F497="GWC"),"DIRECT_FLUID_TRANSITION","TRANSITION_INTERVAL")))</f>
        <v/>
      </c>
      <c r="Q497" s="19">
        <f>IF(G497="","",IF(N497="Conflicts","Investigate contact interpretation / saturation behaviour",IF(OR(F497="OWC",F497="GOC",F497="GWC"),"Candidate contact — validate with logs, pressure and dynamic evidence","Transition zone — do not force to a sharp contact")))</f>
        <v/>
      </c>
    </row>
    <row r="498">
      <c r="A498" s="19">
        <f>IF(AND(Master_Data!A498&lt;&gt;"",Master_Data!A498=Master_Data!A499),Master_Data!A498,"")</f>
        <v/>
      </c>
      <c r="B498" s="19">
        <f>IF($A498="","",Master_Data!B498)</f>
        <v/>
      </c>
      <c r="C498" s="19">
        <f>IF($A498="","",Master_Data!B499)</f>
        <v/>
      </c>
      <c r="D498" s="19">
        <f>IF($A498="","",Master_Data!Q498)</f>
        <v/>
      </c>
      <c r="E498" s="19">
        <f>IF($A498="","",Master_Data!Q499)</f>
        <v/>
      </c>
      <c r="F498" s="19">
        <f>IF($A498="","",IF(AND(D498="GAS",E498="OIL"),"GOC",IF(AND(D498="OIL",E498="WATER"),"OWC",IF(AND(D498="GAS",E498="WATER"),"GWC",IF(AND(D498="OIL",E498="OIL_WATER"),"OWC_TRANSITION",IF(AND(D498="OIL_WATER",E498="WATER"),"OWC_TRANSITION",IF(AND(D498="GAS",E498="GAS_WATER"),"GOC_TRANSITION",IF(AND(D498="GAS_WATER",E498="OIL"),"GOC_TRANSITION",IF(OR(D498="OIL_WATER",D498="GAS_WATER"),"TRANSITION_INTERVAL","")))))))))</f>
        <v/>
      </c>
      <c r="G498" s="20">
        <f>IF(OR(F498="",Master_Data!R498="",Master_Data!S498=""),"",IF(RIGHT(F498,10)="TRANSITION",AVERAGE(Master_Data!R498:Master_Data!S498),AVERAGE(Master_Data!S498,Master_Data!R499)))</f>
        <v/>
      </c>
      <c r="H498" s="20">
        <f>IF(G498="","",MAX(Settings!$B$4,Settings!$B$5*AVERAGE(IF(Master_Data!O498&lt;&gt;"",Master_Data!O498,Master_Data!H498),IF(Master_Data!O499&lt;&gt;"",Master_Data!O499,Master_Data!H499))))</f>
        <v/>
      </c>
      <c r="I498" s="20">
        <f>IF(G498="","",G498-H498)</f>
        <v/>
      </c>
      <c r="J498" s="20">
        <f>IF(G498="","",G498+H498)</f>
        <v/>
      </c>
      <c r="K498" s="20">
        <f>IF($A498="","",Master_Data!G498)</f>
        <v/>
      </c>
      <c r="L498" s="20">
        <f>IF($A498="","",Master_Data!G499)</f>
        <v/>
      </c>
      <c r="M498" s="20">
        <f>IF(AND(ISNUMBER(K498),ISNUMBER(L498)),L498-K498,"")</f>
        <v/>
      </c>
      <c r="N498" s="19">
        <f>IF(G498="","",IF(AND(ISNUMBER(K498),ISNUMBER(L498)),IF(OR(F498="GOC",F498="OWC",F498="GWC",F498="OWC_TRANSITION",F498="GOC_TRANSITION"),IF(L498&gt;=K498,"Supports","Conflicts"),"N/A"),"No Sw"))</f>
        <v/>
      </c>
      <c r="O498" s="20">
        <f>IF(G498="","",Settings!$B$6*IF(OR(F498="GOC",F498="OWC",F498="GWC"),1,0.7)+Settings!$B$7*IF(N498="Supports",1,IF(N498="Conflicts",0,0.5))+Settings!$B$8*IF(AND(Master_Data!R498&lt;&gt;"",Master_Data!S498&lt;&gt;"",Master_Data!R499&lt;&gt;"",Master_Data!S499&lt;&gt;""),1,0.5))</f>
        <v/>
      </c>
      <c r="P498" s="19">
        <f>IF(G498="","",IF(N498="Conflicts","SW_CONFLICT",IF(OR(F498="GOC",F498="OWC",F498="GWC"),"DIRECT_FLUID_TRANSITION","TRANSITION_INTERVAL")))</f>
        <v/>
      </c>
      <c r="Q498" s="19">
        <f>IF(G498="","",IF(N498="Conflicts","Investigate contact interpretation / saturation behaviour",IF(OR(F498="OWC",F498="GOC",F498="GWC"),"Candidate contact — validate with logs, pressure and dynamic evidence","Transition zone — do not force to a sharp contact")))</f>
        <v/>
      </c>
    </row>
    <row r="499">
      <c r="A499" s="19">
        <f>IF(AND(Master_Data!A499&lt;&gt;"",Master_Data!A499=Master_Data!A500),Master_Data!A499,"")</f>
        <v/>
      </c>
      <c r="B499" s="19">
        <f>IF($A499="","",Master_Data!B499)</f>
        <v/>
      </c>
      <c r="C499" s="19">
        <f>IF($A499="","",Master_Data!B500)</f>
        <v/>
      </c>
      <c r="D499" s="19">
        <f>IF($A499="","",Master_Data!Q499)</f>
        <v/>
      </c>
      <c r="E499" s="19">
        <f>IF($A499="","",Master_Data!Q500)</f>
        <v/>
      </c>
      <c r="F499" s="19">
        <f>IF($A499="","",IF(AND(D499="GAS",E499="OIL"),"GOC",IF(AND(D499="OIL",E499="WATER"),"OWC",IF(AND(D499="GAS",E499="WATER"),"GWC",IF(AND(D499="OIL",E499="OIL_WATER"),"OWC_TRANSITION",IF(AND(D499="OIL_WATER",E499="WATER"),"OWC_TRANSITION",IF(AND(D499="GAS",E499="GAS_WATER"),"GOC_TRANSITION",IF(AND(D499="GAS_WATER",E499="OIL"),"GOC_TRANSITION",IF(OR(D499="OIL_WATER",D499="GAS_WATER"),"TRANSITION_INTERVAL","")))))))))</f>
        <v/>
      </c>
      <c r="G499" s="20">
        <f>IF(OR(F499="",Master_Data!R499="",Master_Data!S499=""),"",IF(RIGHT(F499,10)="TRANSITION",AVERAGE(Master_Data!R499:Master_Data!S499),AVERAGE(Master_Data!S499,Master_Data!R500)))</f>
        <v/>
      </c>
      <c r="H499" s="20">
        <f>IF(G499="","",MAX(Settings!$B$4,Settings!$B$5*AVERAGE(IF(Master_Data!O499&lt;&gt;"",Master_Data!O499,Master_Data!H499),IF(Master_Data!O500&lt;&gt;"",Master_Data!O500,Master_Data!H500))))</f>
        <v/>
      </c>
      <c r="I499" s="20">
        <f>IF(G499="","",G499-H499)</f>
        <v/>
      </c>
      <c r="J499" s="20">
        <f>IF(G499="","",G499+H499)</f>
        <v/>
      </c>
      <c r="K499" s="20">
        <f>IF($A499="","",Master_Data!G499)</f>
        <v/>
      </c>
      <c r="L499" s="20">
        <f>IF($A499="","",Master_Data!G500)</f>
        <v/>
      </c>
      <c r="M499" s="20">
        <f>IF(AND(ISNUMBER(K499),ISNUMBER(L499)),L499-K499,"")</f>
        <v/>
      </c>
      <c r="N499" s="19">
        <f>IF(G499="","",IF(AND(ISNUMBER(K499),ISNUMBER(L499)),IF(OR(F499="GOC",F499="OWC",F499="GWC",F499="OWC_TRANSITION",F499="GOC_TRANSITION"),IF(L499&gt;=K499,"Supports","Conflicts"),"N/A"),"No Sw"))</f>
        <v/>
      </c>
      <c r="O499" s="20">
        <f>IF(G499="","",Settings!$B$6*IF(OR(F499="GOC",F499="OWC",F499="GWC"),1,0.7)+Settings!$B$7*IF(N499="Supports",1,IF(N499="Conflicts",0,0.5))+Settings!$B$8*IF(AND(Master_Data!R499&lt;&gt;"",Master_Data!S499&lt;&gt;"",Master_Data!R500&lt;&gt;"",Master_Data!S500&lt;&gt;""),1,0.5))</f>
        <v/>
      </c>
      <c r="P499" s="19">
        <f>IF(G499="","",IF(N499="Conflicts","SW_CONFLICT",IF(OR(F499="GOC",F499="OWC",F499="GWC"),"DIRECT_FLUID_TRANSITION","TRANSITION_INTERVAL")))</f>
        <v/>
      </c>
      <c r="Q499" s="19">
        <f>IF(G499="","",IF(N499="Conflicts","Investigate contact interpretation / saturation behaviour",IF(OR(F499="OWC",F499="GOC",F499="GWC"),"Candidate contact — validate with logs, pressure and dynamic evidence","Transition zone — do not force to a sharp contact")))</f>
        <v/>
      </c>
    </row>
    <row r="500">
      <c r="A500" s="19">
        <f>IF(AND(Master_Data!A500&lt;&gt;"",Master_Data!A500=Master_Data!A501),Master_Data!A500,"")</f>
        <v/>
      </c>
      <c r="B500" s="19">
        <f>IF($A500="","",Master_Data!B500)</f>
        <v/>
      </c>
      <c r="C500" s="19">
        <f>IF($A500="","",Master_Data!B501)</f>
        <v/>
      </c>
      <c r="D500" s="19">
        <f>IF($A500="","",Master_Data!Q500)</f>
        <v/>
      </c>
      <c r="E500" s="19">
        <f>IF($A500="","",Master_Data!Q501)</f>
        <v/>
      </c>
      <c r="F500" s="19">
        <f>IF($A500="","",IF(AND(D500="GAS",E500="OIL"),"GOC",IF(AND(D500="OIL",E500="WATER"),"OWC",IF(AND(D500="GAS",E500="WATER"),"GWC",IF(AND(D500="OIL",E500="OIL_WATER"),"OWC_TRANSITION",IF(AND(D500="OIL_WATER",E500="WATER"),"OWC_TRANSITION",IF(AND(D500="GAS",E500="GAS_WATER"),"GOC_TRANSITION",IF(AND(D500="GAS_WATER",E500="OIL"),"GOC_TRANSITION",IF(OR(D500="OIL_WATER",D500="GAS_WATER"),"TRANSITION_INTERVAL","")))))))))</f>
        <v/>
      </c>
      <c r="G500" s="20">
        <f>IF(OR(F500="",Master_Data!R500="",Master_Data!S500=""),"",IF(RIGHT(F500,10)="TRANSITION",AVERAGE(Master_Data!R500:Master_Data!S500),AVERAGE(Master_Data!S500,Master_Data!R501)))</f>
        <v/>
      </c>
      <c r="H500" s="20">
        <f>IF(G500="","",MAX(Settings!$B$4,Settings!$B$5*AVERAGE(IF(Master_Data!O500&lt;&gt;"",Master_Data!O500,Master_Data!H500),IF(Master_Data!O501&lt;&gt;"",Master_Data!O501,Master_Data!H501))))</f>
        <v/>
      </c>
      <c r="I500" s="20">
        <f>IF(G500="","",G500-H500)</f>
        <v/>
      </c>
      <c r="J500" s="20">
        <f>IF(G500="","",G500+H500)</f>
        <v/>
      </c>
      <c r="K500" s="20">
        <f>IF($A500="","",Master_Data!G500)</f>
        <v/>
      </c>
      <c r="L500" s="20">
        <f>IF($A500="","",Master_Data!G501)</f>
        <v/>
      </c>
      <c r="M500" s="20">
        <f>IF(AND(ISNUMBER(K500),ISNUMBER(L500)),L500-K500,"")</f>
        <v/>
      </c>
      <c r="N500" s="19">
        <f>IF(G500="","",IF(AND(ISNUMBER(K500),ISNUMBER(L500)),IF(OR(F500="GOC",F500="OWC",F500="GWC",F500="OWC_TRANSITION",F500="GOC_TRANSITION"),IF(L500&gt;=K500,"Supports","Conflicts"),"N/A"),"No Sw"))</f>
        <v/>
      </c>
      <c r="O500" s="20">
        <f>IF(G500="","",Settings!$B$6*IF(OR(F500="GOC",F500="OWC",F500="GWC"),1,0.7)+Settings!$B$7*IF(N500="Supports",1,IF(N500="Conflicts",0,0.5))+Settings!$B$8*IF(AND(Master_Data!R500&lt;&gt;"",Master_Data!S500&lt;&gt;"",Master_Data!R501&lt;&gt;"",Master_Data!S501&lt;&gt;""),1,0.5))</f>
        <v/>
      </c>
      <c r="P500" s="19">
        <f>IF(G500="","",IF(N500="Conflicts","SW_CONFLICT",IF(OR(F500="GOC",F500="OWC",F500="GWC"),"DIRECT_FLUID_TRANSITION","TRANSITION_INTERVAL")))</f>
        <v/>
      </c>
      <c r="Q500" s="19">
        <f>IF(G500="","",IF(N500="Conflicts","Investigate contact interpretation / saturation behaviour",IF(OR(F500="OWC",F500="GOC",F500="GWC"),"Candidate contact — validate with logs, pressure and dynamic evidence","Transition zone — do not force to a sharp contact")))</f>
        <v/>
      </c>
    </row>
    <row r="501">
      <c r="A501" s="19">
        <f>IF(AND(Master_Data!A501&lt;&gt;"",Master_Data!A501=Master_Data!A502),Master_Data!A501,"")</f>
        <v/>
      </c>
      <c r="B501" s="19">
        <f>IF($A501="","",Master_Data!B501)</f>
        <v/>
      </c>
      <c r="C501" s="19">
        <f>IF($A501="","",Master_Data!B502)</f>
        <v/>
      </c>
      <c r="D501" s="19">
        <f>IF($A501="","",Master_Data!Q501)</f>
        <v/>
      </c>
      <c r="E501" s="19">
        <f>IF($A501="","",Master_Data!Q502)</f>
        <v/>
      </c>
      <c r="F501" s="19">
        <f>IF($A501="","",IF(AND(D501="GAS",E501="OIL"),"GOC",IF(AND(D501="OIL",E501="WATER"),"OWC",IF(AND(D501="GAS",E501="WATER"),"GWC",IF(AND(D501="OIL",E501="OIL_WATER"),"OWC_TRANSITION",IF(AND(D501="OIL_WATER",E501="WATER"),"OWC_TRANSITION",IF(AND(D501="GAS",E501="GAS_WATER"),"GOC_TRANSITION",IF(AND(D501="GAS_WATER",E501="OIL"),"GOC_TRANSITION",IF(OR(D501="OIL_WATER",D501="GAS_WATER"),"TRANSITION_INTERVAL","")))))))))</f>
        <v/>
      </c>
      <c r="G501" s="20">
        <f>IF(OR(F501="",Master_Data!R501="",Master_Data!S501=""),"",IF(RIGHT(F501,10)="TRANSITION",AVERAGE(Master_Data!R501:Master_Data!S501),AVERAGE(Master_Data!S501,Master_Data!R502)))</f>
        <v/>
      </c>
      <c r="H501" s="20">
        <f>IF(G501="","",MAX(Settings!$B$4,Settings!$B$5*AVERAGE(IF(Master_Data!O501&lt;&gt;"",Master_Data!O501,Master_Data!H501),IF(Master_Data!O502&lt;&gt;"",Master_Data!O502,Master_Data!H502))))</f>
        <v/>
      </c>
      <c r="I501" s="20">
        <f>IF(G501="","",G501-H501)</f>
        <v/>
      </c>
      <c r="J501" s="20">
        <f>IF(G501="","",G501+H501)</f>
        <v/>
      </c>
      <c r="K501" s="20">
        <f>IF($A501="","",Master_Data!G501)</f>
        <v/>
      </c>
      <c r="L501" s="20">
        <f>IF($A501="","",Master_Data!G502)</f>
        <v/>
      </c>
      <c r="M501" s="20">
        <f>IF(AND(ISNUMBER(K501),ISNUMBER(L501)),L501-K501,"")</f>
        <v/>
      </c>
      <c r="N501" s="19">
        <f>IF(G501="","",IF(AND(ISNUMBER(K501),ISNUMBER(L501)),IF(OR(F501="GOC",F501="OWC",F501="GWC",F501="OWC_TRANSITION",F501="GOC_TRANSITION"),IF(L501&gt;=K501,"Supports","Conflicts"),"N/A"),"No Sw"))</f>
        <v/>
      </c>
      <c r="O501" s="20">
        <f>IF(G501="","",Settings!$B$6*IF(OR(F501="GOC",F501="OWC",F501="GWC"),1,0.7)+Settings!$B$7*IF(N501="Supports",1,IF(N501="Conflicts",0,0.5))+Settings!$B$8*IF(AND(Master_Data!R501&lt;&gt;"",Master_Data!S501&lt;&gt;"",Master_Data!R502&lt;&gt;"",Master_Data!S502&lt;&gt;""),1,0.5))</f>
        <v/>
      </c>
      <c r="P501" s="19">
        <f>IF(G501="","",IF(N501="Conflicts","SW_CONFLICT",IF(OR(F501="GOC",F501="OWC",F501="GWC"),"DIRECT_FLUID_TRANSITION","TRANSITION_INTERVAL")))</f>
        <v/>
      </c>
      <c r="Q501" s="19">
        <f>IF(G501="","",IF(N501="Conflicts","Investigate contact interpretation / saturation behaviour",IF(OR(F501="OWC",F501="GOC",F501="GWC"),"Candidate contact — validate with logs, pressure and dynamic evidence","Transition zone — do not force to a sharp contact")))</f>
        <v/>
      </c>
    </row>
    <row r="502">
      <c r="A502" s="19">
        <f>IF(AND(Master_Data!A502&lt;&gt;"",Master_Data!A502=Master_Data!A503),Master_Data!A502,"")</f>
        <v/>
      </c>
      <c r="B502" s="19">
        <f>IF($A502="","",Master_Data!B502)</f>
        <v/>
      </c>
      <c r="C502" s="19">
        <f>IF($A502="","",Master_Data!B503)</f>
        <v/>
      </c>
      <c r="D502" s="19">
        <f>IF($A502="","",Master_Data!Q502)</f>
        <v/>
      </c>
      <c r="E502" s="19">
        <f>IF($A502="","",Master_Data!Q503)</f>
        <v/>
      </c>
      <c r="F502" s="19">
        <f>IF($A502="","",IF(AND(D502="GAS",E502="OIL"),"GOC",IF(AND(D502="OIL",E502="WATER"),"OWC",IF(AND(D502="GAS",E502="WATER"),"GWC",IF(AND(D502="OIL",E502="OIL_WATER"),"OWC_TRANSITION",IF(AND(D502="OIL_WATER",E502="WATER"),"OWC_TRANSITION",IF(AND(D502="GAS",E502="GAS_WATER"),"GOC_TRANSITION",IF(AND(D502="GAS_WATER",E502="OIL"),"GOC_TRANSITION",IF(OR(D502="OIL_WATER",D502="GAS_WATER"),"TRANSITION_INTERVAL","")))))))))</f>
        <v/>
      </c>
      <c r="G502" s="20">
        <f>IF(OR(F502="",Master_Data!R502="",Master_Data!S502=""),"",IF(RIGHT(F502,10)="TRANSITION",AVERAGE(Master_Data!R502:Master_Data!S502),AVERAGE(Master_Data!S502,Master_Data!R503)))</f>
        <v/>
      </c>
      <c r="H502" s="20">
        <f>IF(G502="","",MAX(Settings!$B$4,Settings!$B$5*AVERAGE(IF(Master_Data!O502&lt;&gt;"",Master_Data!O502,Master_Data!H502),IF(Master_Data!O503&lt;&gt;"",Master_Data!O503,Master_Data!H503))))</f>
        <v/>
      </c>
      <c r="I502" s="20">
        <f>IF(G502="","",G502-H502)</f>
        <v/>
      </c>
      <c r="J502" s="20">
        <f>IF(G502="","",G502+H502)</f>
        <v/>
      </c>
      <c r="K502" s="20">
        <f>IF($A502="","",Master_Data!G502)</f>
        <v/>
      </c>
      <c r="L502" s="20">
        <f>IF($A502="","",Master_Data!G503)</f>
        <v/>
      </c>
      <c r="M502" s="20">
        <f>IF(AND(ISNUMBER(K502),ISNUMBER(L502)),L502-K502,"")</f>
        <v/>
      </c>
      <c r="N502" s="19">
        <f>IF(G502="","",IF(AND(ISNUMBER(K502),ISNUMBER(L502)),IF(OR(F502="GOC",F502="OWC",F502="GWC",F502="OWC_TRANSITION",F502="GOC_TRANSITION"),IF(L502&gt;=K502,"Supports","Conflicts"),"N/A"),"No Sw"))</f>
        <v/>
      </c>
      <c r="O502" s="20">
        <f>IF(G502="","",Settings!$B$6*IF(OR(F502="GOC",F502="OWC",F502="GWC"),1,0.7)+Settings!$B$7*IF(N502="Supports",1,IF(N502="Conflicts",0,0.5))+Settings!$B$8*IF(AND(Master_Data!R502&lt;&gt;"",Master_Data!S502&lt;&gt;"",Master_Data!R503&lt;&gt;"",Master_Data!S503&lt;&gt;""),1,0.5))</f>
        <v/>
      </c>
      <c r="P502" s="19">
        <f>IF(G502="","",IF(N502="Conflicts","SW_CONFLICT",IF(OR(F502="GOC",F502="OWC",F502="GWC"),"DIRECT_FLUID_TRANSITION","TRANSITION_INTERVAL")))</f>
        <v/>
      </c>
      <c r="Q502" s="19">
        <f>IF(G502="","",IF(N502="Conflicts","Investigate contact interpretation / saturation behaviour",IF(OR(F502="OWC",F502="GOC",F502="GWC"),"Candidate contact — validate with logs, pressure and dynamic evidence","Transition zone — do not force to a sharp contact")))</f>
        <v/>
      </c>
    </row>
    <row r="503">
      <c r="A503" s="19">
        <f>IF(AND(Master_Data!A503&lt;&gt;"",Master_Data!A503=Master_Data!A504),Master_Data!A503,"")</f>
        <v/>
      </c>
      <c r="B503" s="19">
        <f>IF($A503="","",Master_Data!B503)</f>
        <v/>
      </c>
      <c r="C503" s="19">
        <f>IF($A503="","",Master_Data!B504)</f>
        <v/>
      </c>
      <c r="D503" s="19">
        <f>IF($A503="","",Master_Data!Q503)</f>
        <v/>
      </c>
      <c r="E503" s="19">
        <f>IF($A503="","",Master_Data!Q504)</f>
        <v/>
      </c>
      <c r="F503" s="19">
        <f>IF($A503="","",IF(AND(D503="GAS",E503="OIL"),"GOC",IF(AND(D503="OIL",E503="WATER"),"OWC",IF(AND(D503="GAS",E503="WATER"),"GWC",IF(AND(D503="OIL",E503="OIL_WATER"),"OWC_TRANSITION",IF(AND(D503="OIL_WATER",E503="WATER"),"OWC_TRANSITION",IF(AND(D503="GAS",E503="GAS_WATER"),"GOC_TRANSITION",IF(AND(D503="GAS_WATER",E503="OIL"),"GOC_TRANSITION",IF(OR(D503="OIL_WATER",D503="GAS_WATER"),"TRANSITION_INTERVAL","")))))))))</f>
        <v/>
      </c>
      <c r="G503" s="20">
        <f>IF(OR(F503="",Master_Data!R503="",Master_Data!S503=""),"",IF(RIGHT(F503,10)="TRANSITION",AVERAGE(Master_Data!R503:Master_Data!S503),AVERAGE(Master_Data!S503,Master_Data!R504)))</f>
        <v/>
      </c>
      <c r="H503" s="20">
        <f>IF(G503="","",MAX(Settings!$B$4,Settings!$B$5*AVERAGE(IF(Master_Data!O503&lt;&gt;"",Master_Data!O503,Master_Data!H503),IF(Master_Data!O504&lt;&gt;"",Master_Data!O504,Master_Data!H504))))</f>
        <v/>
      </c>
      <c r="I503" s="20">
        <f>IF(G503="","",G503-H503)</f>
        <v/>
      </c>
      <c r="J503" s="20">
        <f>IF(G503="","",G503+H503)</f>
        <v/>
      </c>
      <c r="K503" s="20">
        <f>IF($A503="","",Master_Data!G503)</f>
        <v/>
      </c>
      <c r="L503" s="20">
        <f>IF($A503="","",Master_Data!G504)</f>
        <v/>
      </c>
      <c r="M503" s="20">
        <f>IF(AND(ISNUMBER(K503),ISNUMBER(L503)),L503-K503,"")</f>
        <v/>
      </c>
      <c r="N503" s="19">
        <f>IF(G503="","",IF(AND(ISNUMBER(K503),ISNUMBER(L503)),IF(OR(F503="GOC",F503="OWC",F503="GWC",F503="OWC_TRANSITION",F503="GOC_TRANSITION"),IF(L503&gt;=K503,"Supports","Conflicts"),"N/A"),"No Sw"))</f>
        <v/>
      </c>
      <c r="O503" s="20">
        <f>IF(G503="","",Settings!$B$6*IF(OR(F503="GOC",F503="OWC",F503="GWC"),1,0.7)+Settings!$B$7*IF(N503="Supports",1,IF(N503="Conflicts",0,0.5))+Settings!$B$8*IF(AND(Master_Data!R503&lt;&gt;"",Master_Data!S503&lt;&gt;"",Master_Data!R504&lt;&gt;"",Master_Data!S504&lt;&gt;""),1,0.5))</f>
        <v/>
      </c>
      <c r="P503" s="19">
        <f>IF(G503="","",IF(N503="Conflicts","SW_CONFLICT",IF(OR(F503="GOC",F503="OWC",F503="GWC"),"DIRECT_FLUID_TRANSITION","TRANSITION_INTERVAL")))</f>
        <v/>
      </c>
      <c r="Q503" s="19">
        <f>IF(G503="","",IF(N503="Conflicts","Investigate contact interpretation / saturation behaviour",IF(OR(F503="OWC",F503="GOC",F503="GWC"),"Candidate contact — validate with logs, pressure and dynamic evidence","Transition zone — do not force to a sharp contact")))</f>
        <v/>
      </c>
    </row>
    <row r="504">
      <c r="A504" s="19">
        <f>IF(AND(Master_Data!A504&lt;&gt;"",Master_Data!A504=Master_Data!A505),Master_Data!A504,"")</f>
        <v/>
      </c>
      <c r="B504" s="19">
        <f>IF($A504="","",Master_Data!B504)</f>
        <v/>
      </c>
      <c r="C504" s="19">
        <f>IF($A504="","",Master_Data!B505)</f>
        <v/>
      </c>
      <c r="D504" s="19">
        <f>IF($A504="","",Master_Data!Q504)</f>
        <v/>
      </c>
      <c r="E504" s="19">
        <f>IF($A504="","",Master_Data!Q505)</f>
        <v/>
      </c>
      <c r="F504" s="19">
        <f>IF($A504="","",IF(AND(D504="GAS",E504="OIL"),"GOC",IF(AND(D504="OIL",E504="WATER"),"OWC",IF(AND(D504="GAS",E504="WATER"),"GWC",IF(AND(D504="OIL",E504="OIL_WATER"),"OWC_TRANSITION",IF(AND(D504="OIL_WATER",E504="WATER"),"OWC_TRANSITION",IF(AND(D504="GAS",E504="GAS_WATER"),"GOC_TRANSITION",IF(AND(D504="GAS_WATER",E504="OIL"),"GOC_TRANSITION",IF(OR(D504="OIL_WATER",D504="GAS_WATER"),"TRANSITION_INTERVAL","")))))))))</f>
        <v/>
      </c>
      <c r="G504" s="20">
        <f>IF(OR(F504="",Master_Data!R504="",Master_Data!S504=""),"",IF(RIGHT(F504,10)="TRANSITION",AVERAGE(Master_Data!R504:Master_Data!S504),AVERAGE(Master_Data!S504,Master_Data!R505)))</f>
        <v/>
      </c>
      <c r="H504" s="20">
        <f>IF(G504="","",MAX(Settings!$B$4,Settings!$B$5*AVERAGE(IF(Master_Data!O504&lt;&gt;"",Master_Data!O504,Master_Data!H504),IF(Master_Data!O505&lt;&gt;"",Master_Data!O505,Master_Data!H505))))</f>
        <v/>
      </c>
      <c r="I504" s="20">
        <f>IF(G504="","",G504-H504)</f>
        <v/>
      </c>
      <c r="J504" s="20">
        <f>IF(G504="","",G504+H504)</f>
        <v/>
      </c>
      <c r="K504" s="20">
        <f>IF($A504="","",Master_Data!G504)</f>
        <v/>
      </c>
      <c r="L504" s="20">
        <f>IF($A504="","",Master_Data!G505)</f>
        <v/>
      </c>
      <c r="M504" s="20">
        <f>IF(AND(ISNUMBER(K504),ISNUMBER(L504)),L504-K504,"")</f>
        <v/>
      </c>
      <c r="N504" s="19">
        <f>IF(G504="","",IF(AND(ISNUMBER(K504),ISNUMBER(L504)),IF(OR(F504="GOC",F504="OWC",F504="GWC",F504="OWC_TRANSITION",F504="GOC_TRANSITION"),IF(L504&gt;=K504,"Supports","Conflicts"),"N/A"),"No Sw"))</f>
        <v/>
      </c>
      <c r="O504" s="20">
        <f>IF(G504="","",Settings!$B$6*IF(OR(F504="GOC",F504="OWC",F504="GWC"),1,0.7)+Settings!$B$7*IF(N504="Supports",1,IF(N504="Conflicts",0,0.5))+Settings!$B$8*IF(AND(Master_Data!R504&lt;&gt;"",Master_Data!S504&lt;&gt;"",Master_Data!R505&lt;&gt;"",Master_Data!S505&lt;&gt;""),1,0.5))</f>
        <v/>
      </c>
      <c r="P504" s="19">
        <f>IF(G504="","",IF(N504="Conflicts","SW_CONFLICT",IF(OR(F504="GOC",F504="OWC",F504="GWC"),"DIRECT_FLUID_TRANSITION","TRANSITION_INTERVAL")))</f>
        <v/>
      </c>
      <c r="Q504" s="19">
        <f>IF(G504="","",IF(N504="Conflicts","Investigate contact interpretation / saturation behaviour",IF(OR(F504="OWC",F504="GOC",F504="GWC"),"Candidate contact — validate with logs, pressure and dynamic evidence","Transition zone — do not force to a sharp contact")))</f>
        <v/>
      </c>
    </row>
    <row r="505">
      <c r="A505" s="19">
        <f>IF(AND(Master_Data!A505&lt;&gt;"",Master_Data!A505=Master_Data!A506),Master_Data!A505,"")</f>
        <v/>
      </c>
      <c r="B505" s="19">
        <f>IF($A505="","",Master_Data!B505)</f>
        <v/>
      </c>
      <c r="C505" s="19">
        <f>IF($A505="","",Master_Data!B506)</f>
        <v/>
      </c>
      <c r="D505" s="19">
        <f>IF($A505="","",Master_Data!Q505)</f>
        <v/>
      </c>
      <c r="E505" s="19">
        <f>IF($A505="","",Master_Data!Q506)</f>
        <v/>
      </c>
      <c r="F505" s="19">
        <f>IF($A505="","",IF(AND(D505="GAS",E505="OIL"),"GOC",IF(AND(D505="OIL",E505="WATER"),"OWC",IF(AND(D505="GAS",E505="WATER"),"GWC",IF(AND(D505="OIL",E505="OIL_WATER"),"OWC_TRANSITION",IF(AND(D505="OIL_WATER",E505="WATER"),"OWC_TRANSITION",IF(AND(D505="GAS",E505="GAS_WATER"),"GOC_TRANSITION",IF(AND(D505="GAS_WATER",E505="OIL"),"GOC_TRANSITION",IF(OR(D505="OIL_WATER",D505="GAS_WATER"),"TRANSITION_INTERVAL","")))))))))</f>
        <v/>
      </c>
      <c r="G505" s="20">
        <f>IF(OR(F505="",Master_Data!R505="",Master_Data!S505=""),"",IF(RIGHT(F505,10)="TRANSITION",AVERAGE(Master_Data!R505:Master_Data!S505),AVERAGE(Master_Data!S505,Master_Data!R506)))</f>
        <v/>
      </c>
      <c r="H505" s="20">
        <f>IF(G505="","",MAX(Settings!$B$4,Settings!$B$5*AVERAGE(IF(Master_Data!O505&lt;&gt;"",Master_Data!O505,Master_Data!H505),IF(Master_Data!O506&lt;&gt;"",Master_Data!O506,Master_Data!H506))))</f>
        <v/>
      </c>
      <c r="I505" s="20">
        <f>IF(G505="","",G505-H505)</f>
        <v/>
      </c>
      <c r="J505" s="20">
        <f>IF(G505="","",G505+H505)</f>
        <v/>
      </c>
      <c r="K505" s="20">
        <f>IF($A505="","",Master_Data!G505)</f>
        <v/>
      </c>
      <c r="L505" s="20">
        <f>IF($A505="","",Master_Data!G506)</f>
        <v/>
      </c>
      <c r="M505" s="20">
        <f>IF(AND(ISNUMBER(K505),ISNUMBER(L505)),L505-K505,"")</f>
        <v/>
      </c>
      <c r="N505" s="19">
        <f>IF(G505="","",IF(AND(ISNUMBER(K505),ISNUMBER(L505)),IF(OR(F505="GOC",F505="OWC",F505="GWC",F505="OWC_TRANSITION",F505="GOC_TRANSITION"),IF(L505&gt;=K505,"Supports","Conflicts"),"N/A"),"No Sw"))</f>
        <v/>
      </c>
      <c r="O505" s="20">
        <f>IF(G505="","",Settings!$B$6*IF(OR(F505="GOC",F505="OWC",F505="GWC"),1,0.7)+Settings!$B$7*IF(N505="Supports",1,IF(N505="Conflicts",0,0.5))+Settings!$B$8*IF(AND(Master_Data!R505&lt;&gt;"",Master_Data!S505&lt;&gt;"",Master_Data!R506&lt;&gt;"",Master_Data!S506&lt;&gt;""),1,0.5))</f>
        <v/>
      </c>
      <c r="P505" s="19">
        <f>IF(G505="","",IF(N505="Conflicts","SW_CONFLICT",IF(OR(F505="GOC",F505="OWC",F505="GWC"),"DIRECT_FLUID_TRANSITION","TRANSITION_INTERVAL")))</f>
        <v/>
      </c>
      <c r="Q505" s="19">
        <f>IF(G505="","",IF(N505="Conflicts","Investigate contact interpretation / saturation behaviour",IF(OR(F505="OWC",F505="GOC",F505="GWC"),"Candidate contact — validate with logs, pressure and dynamic evidence","Transition zone — do not force to a sharp contact")))</f>
        <v/>
      </c>
    </row>
    <row r="506">
      <c r="A506" s="19">
        <f>IF(AND(Master_Data!A506&lt;&gt;"",Master_Data!A506=Master_Data!A507),Master_Data!A506,"")</f>
        <v/>
      </c>
      <c r="B506" s="19">
        <f>IF($A506="","",Master_Data!B506)</f>
        <v/>
      </c>
      <c r="C506" s="19">
        <f>IF($A506="","",Master_Data!B507)</f>
        <v/>
      </c>
      <c r="D506" s="19">
        <f>IF($A506="","",Master_Data!Q506)</f>
        <v/>
      </c>
      <c r="E506" s="19">
        <f>IF($A506="","",Master_Data!Q507)</f>
        <v/>
      </c>
      <c r="F506" s="19">
        <f>IF($A506="","",IF(AND(D506="GAS",E506="OIL"),"GOC",IF(AND(D506="OIL",E506="WATER"),"OWC",IF(AND(D506="GAS",E506="WATER"),"GWC",IF(AND(D506="OIL",E506="OIL_WATER"),"OWC_TRANSITION",IF(AND(D506="OIL_WATER",E506="WATER"),"OWC_TRANSITION",IF(AND(D506="GAS",E506="GAS_WATER"),"GOC_TRANSITION",IF(AND(D506="GAS_WATER",E506="OIL"),"GOC_TRANSITION",IF(OR(D506="OIL_WATER",D506="GAS_WATER"),"TRANSITION_INTERVAL","")))))))))</f>
        <v/>
      </c>
      <c r="G506" s="20">
        <f>IF(OR(F506="",Master_Data!R506="",Master_Data!S506=""),"",IF(RIGHT(F506,10)="TRANSITION",AVERAGE(Master_Data!R506:Master_Data!S506),AVERAGE(Master_Data!S506,Master_Data!R507)))</f>
        <v/>
      </c>
      <c r="H506" s="20">
        <f>IF(G506="","",MAX(Settings!$B$4,Settings!$B$5*AVERAGE(IF(Master_Data!O506&lt;&gt;"",Master_Data!O506,Master_Data!H506),IF(Master_Data!O507&lt;&gt;"",Master_Data!O507,Master_Data!H507))))</f>
        <v/>
      </c>
      <c r="I506" s="20">
        <f>IF(G506="","",G506-H506)</f>
        <v/>
      </c>
      <c r="J506" s="20">
        <f>IF(G506="","",G506+H506)</f>
        <v/>
      </c>
      <c r="K506" s="20">
        <f>IF($A506="","",Master_Data!G506)</f>
        <v/>
      </c>
      <c r="L506" s="20">
        <f>IF($A506="","",Master_Data!G507)</f>
        <v/>
      </c>
      <c r="M506" s="20">
        <f>IF(AND(ISNUMBER(K506),ISNUMBER(L506)),L506-K506,"")</f>
        <v/>
      </c>
      <c r="N506" s="19">
        <f>IF(G506="","",IF(AND(ISNUMBER(K506),ISNUMBER(L506)),IF(OR(F506="GOC",F506="OWC",F506="GWC",F506="OWC_TRANSITION",F506="GOC_TRANSITION"),IF(L506&gt;=K506,"Supports","Conflicts"),"N/A"),"No Sw"))</f>
        <v/>
      </c>
      <c r="O506" s="20">
        <f>IF(G506="","",Settings!$B$6*IF(OR(F506="GOC",F506="OWC",F506="GWC"),1,0.7)+Settings!$B$7*IF(N506="Supports",1,IF(N506="Conflicts",0,0.5))+Settings!$B$8*IF(AND(Master_Data!R506&lt;&gt;"",Master_Data!S506&lt;&gt;"",Master_Data!R507&lt;&gt;"",Master_Data!S507&lt;&gt;""),1,0.5))</f>
        <v/>
      </c>
      <c r="P506" s="19">
        <f>IF(G506="","",IF(N506="Conflicts","SW_CONFLICT",IF(OR(F506="GOC",F506="OWC",F506="GWC"),"DIRECT_FLUID_TRANSITION","TRANSITION_INTERVAL")))</f>
        <v/>
      </c>
      <c r="Q506" s="19">
        <f>IF(G506="","",IF(N506="Conflicts","Investigate contact interpretation / saturation behaviour",IF(OR(F506="OWC",F506="GOC",F506="GWC"),"Candidate contact — validate with logs, pressure and dynamic evidence","Transition zone — do not force to a sharp contact")))</f>
        <v/>
      </c>
    </row>
    <row r="507">
      <c r="A507" s="19">
        <f>IF(AND(Master_Data!A507&lt;&gt;"",Master_Data!A507=Master_Data!A508),Master_Data!A507,"")</f>
        <v/>
      </c>
      <c r="B507" s="19">
        <f>IF($A507="","",Master_Data!B507)</f>
        <v/>
      </c>
      <c r="C507" s="19">
        <f>IF($A507="","",Master_Data!B508)</f>
        <v/>
      </c>
      <c r="D507" s="19">
        <f>IF($A507="","",Master_Data!Q507)</f>
        <v/>
      </c>
      <c r="E507" s="19">
        <f>IF($A507="","",Master_Data!Q508)</f>
        <v/>
      </c>
      <c r="F507" s="19">
        <f>IF($A507="","",IF(AND(D507="GAS",E507="OIL"),"GOC",IF(AND(D507="OIL",E507="WATER"),"OWC",IF(AND(D507="GAS",E507="WATER"),"GWC",IF(AND(D507="OIL",E507="OIL_WATER"),"OWC_TRANSITION",IF(AND(D507="OIL_WATER",E507="WATER"),"OWC_TRANSITION",IF(AND(D507="GAS",E507="GAS_WATER"),"GOC_TRANSITION",IF(AND(D507="GAS_WATER",E507="OIL"),"GOC_TRANSITION",IF(OR(D507="OIL_WATER",D507="GAS_WATER"),"TRANSITION_INTERVAL","")))))))))</f>
        <v/>
      </c>
      <c r="G507" s="20">
        <f>IF(OR(F507="",Master_Data!R507="",Master_Data!S507=""),"",IF(RIGHT(F507,10)="TRANSITION",AVERAGE(Master_Data!R507:Master_Data!S507),AVERAGE(Master_Data!S507,Master_Data!R508)))</f>
        <v/>
      </c>
      <c r="H507" s="20">
        <f>IF(G507="","",MAX(Settings!$B$4,Settings!$B$5*AVERAGE(IF(Master_Data!O507&lt;&gt;"",Master_Data!O507,Master_Data!H507),IF(Master_Data!O508&lt;&gt;"",Master_Data!O508,Master_Data!H508))))</f>
        <v/>
      </c>
      <c r="I507" s="20">
        <f>IF(G507="","",G507-H507)</f>
        <v/>
      </c>
      <c r="J507" s="20">
        <f>IF(G507="","",G507+H507)</f>
        <v/>
      </c>
      <c r="K507" s="20">
        <f>IF($A507="","",Master_Data!G507)</f>
        <v/>
      </c>
      <c r="L507" s="20">
        <f>IF($A507="","",Master_Data!G508)</f>
        <v/>
      </c>
      <c r="M507" s="20">
        <f>IF(AND(ISNUMBER(K507),ISNUMBER(L507)),L507-K507,"")</f>
        <v/>
      </c>
      <c r="N507" s="19">
        <f>IF(G507="","",IF(AND(ISNUMBER(K507),ISNUMBER(L507)),IF(OR(F507="GOC",F507="OWC",F507="GWC",F507="OWC_TRANSITION",F507="GOC_TRANSITION"),IF(L507&gt;=K507,"Supports","Conflicts"),"N/A"),"No Sw"))</f>
        <v/>
      </c>
      <c r="O507" s="20">
        <f>IF(G507="","",Settings!$B$6*IF(OR(F507="GOC",F507="OWC",F507="GWC"),1,0.7)+Settings!$B$7*IF(N507="Supports",1,IF(N507="Conflicts",0,0.5))+Settings!$B$8*IF(AND(Master_Data!R507&lt;&gt;"",Master_Data!S507&lt;&gt;"",Master_Data!R508&lt;&gt;"",Master_Data!S508&lt;&gt;""),1,0.5))</f>
        <v/>
      </c>
      <c r="P507" s="19">
        <f>IF(G507="","",IF(N507="Conflicts","SW_CONFLICT",IF(OR(F507="GOC",F507="OWC",F507="GWC"),"DIRECT_FLUID_TRANSITION","TRANSITION_INTERVAL")))</f>
        <v/>
      </c>
      <c r="Q507" s="19">
        <f>IF(G507="","",IF(N507="Conflicts","Investigate contact interpretation / saturation behaviour",IF(OR(F507="OWC",F507="GOC",F507="GWC"),"Candidate contact — validate with logs, pressure and dynamic evidence","Transition zone — do not force to a sharp contact")))</f>
        <v/>
      </c>
    </row>
    <row r="508">
      <c r="A508" s="19">
        <f>IF(AND(Master_Data!A508&lt;&gt;"",Master_Data!A508=Master_Data!A509),Master_Data!A508,"")</f>
        <v/>
      </c>
      <c r="B508" s="19">
        <f>IF($A508="","",Master_Data!B508)</f>
        <v/>
      </c>
      <c r="C508" s="19">
        <f>IF($A508="","",Master_Data!B509)</f>
        <v/>
      </c>
      <c r="D508" s="19">
        <f>IF($A508="","",Master_Data!Q508)</f>
        <v/>
      </c>
      <c r="E508" s="19">
        <f>IF($A508="","",Master_Data!Q509)</f>
        <v/>
      </c>
      <c r="F508" s="19">
        <f>IF($A508="","",IF(AND(D508="GAS",E508="OIL"),"GOC",IF(AND(D508="OIL",E508="WATER"),"OWC",IF(AND(D508="GAS",E508="WATER"),"GWC",IF(AND(D508="OIL",E508="OIL_WATER"),"OWC_TRANSITION",IF(AND(D508="OIL_WATER",E508="WATER"),"OWC_TRANSITION",IF(AND(D508="GAS",E508="GAS_WATER"),"GOC_TRANSITION",IF(AND(D508="GAS_WATER",E508="OIL"),"GOC_TRANSITION",IF(OR(D508="OIL_WATER",D508="GAS_WATER"),"TRANSITION_INTERVAL","")))))))))</f>
        <v/>
      </c>
      <c r="G508" s="20">
        <f>IF(OR(F508="",Master_Data!R508="",Master_Data!S508=""),"",IF(RIGHT(F508,10)="TRANSITION",AVERAGE(Master_Data!R508:Master_Data!S508),AVERAGE(Master_Data!S508,Master_Data!R509)))</f>
        <v/>
      </c>
      <c r="H508" s="20">
        <f>IF(G508="","",MAX(Settings!$B$4,Settings!$B$5*AVERAGE(IF(Master_Data!O508&lt;&gt;"",Master_Data!O508,Master_Data!H508),IF(Master_Data!O509&lt;&gt;"",Master_Data!O509,Master_Data!H509))))</f>
        <v/>
      </c>
      <c r="I508" s="20">
        <f>IF(G508="","",G508-H508)</f>
        <v/>
      </c>
      <c r="J508" s="20">
        <f>IF(G508="","",G508+H508)</f>
        <v/>
      </c>
      <c r="K508" s="20">
        <f>IF($A508="","",Master_Data!G508)</f>
        <v/>
      </c>
      <c r="L508" s="20">
        <f>IF($A508="","",Master_Data!G509)</f>
        <v/>
      </c>
      <c r="M508" s="20">
        <f>IF(AND(ISNUMBER(K508),ISNUMBER(L508)),L508-K508,"")</f>
        <v/>
      </c>
      <c r="N508" s="19">
        <f>IF(G508="","",IF(AND(ISNUMBER(K508),ISNUMBER(L508)),IF(OR(F508="GOC",F508="OWC",F508="GWC",F508="OWC_TRANSITION",F508="GOC_TRANSITION"),IF(L508&gt;=K508,"Supports","Conflicts"),"N/A"),"No Sw"))</f>
        <v/>
      </c>
      <c r="O508" s="20">
        <f>IF(G508="","",Settings!$B$6*IF(OR(F508="GOC",F508="OWC",F508="GWC"),1,0.7)+Settings!$B$7*IF(N508="Supports",1,IF(N508="Conflicts",0,0.5))+Settings!$B$8*IF(AND(Master_Data!R508&lt;&gt;"",Master_Data!S508&lt;&gt;"",Master_Data!R509&lt;&gt;"",Master_Data!S509&lt;&gt;""),1,0.5))</f>
        <v/>
      </c>
      <c r="P508" s="19">
        <f>IF(G508="","",IF(N508="Conflicts","SW_CONFLICT",IF(OR(F508="GOC",F508="OWC",F508="GWC"),"DIRECT_FLUID_TRANSITION","TRANSITION_INTERVAL")))</f>
        <v/>
      </c>
      <c r="Q508" s="19">
        <f>IF(G508="","",IF(N508="Conflicts","Investigate contact interpretation / saturation behaviour",IF(OR(F508="OWC",F508="GOC",F508="GWC"),"Candidate contact — validate with logs, pressure and dynamic evidence","Transition zone — do not force to a sharp contact")))</f>
        <v/>
      </c>
    </row>
    <row r="509">
      <c r="A509" s="19">
        <f>IF(AND(Master_Data!A509&lt;&gt;"",Master_Data!A509=Master_Data!A510),Master_Data!A509,"")</f>
        <v/>
      </c>
      <c r="B509" s="19">
        <f>IF($A509="","",Master_Data!B509)</f>
        <v/>
      </c>
      <c r="C509" s="19">
        <f>IF($A509="","",Master_Data!B510)</f>
        <v/>
      </c>
      <c r="D509" s="19">
        <f>IF($A509="","",Master_Data!Q509)</f>
        <v/>
      </c>
      <c r="E509" s="19">
        <f>IF($A509="","",Master_Data!Q510)</f>
        <v/>
      </c>
      <c r="F509" s="19">
        <f>IF($A509="","",IF(AND(D509="GAS",E509="OIL"),"GOC",IF(AND(D509="OIL",E509="WATER"),"OWC",IF(AND(D509="GAS",E509="WATER"),"GWC",IF(AND(D509="OIL",E509="OIL_WATER"),"OWC_TRANSITION",IF(AND(D509="OIL_WATER",E509="WATER"),"OWC_TRANSITION",IF(AND(D509="GAS",E509="GAS_WATER"),"GOC_TRANSITION",IF(AND(D509="GAS_WATER",E509="OIL"),"GOC_TRANSITION",IF(OR(D509="OIL_WATER",D509="GAS_WATER"),"TRANSITION_INTERVAL","")))))))))</f>
        <v/>
      </c>
      <c r="G509" s="20">
        <f>IF(OR(F509="",Master_Data!R509="",Master_Data!S509=""),"",IF(RIGHT(F509,10)="TRANSITION",AVERAGE(Master_Data!R509:Master_Data!S509),AVERAGE(Master_Data!S509,Master_Data!R510)))</f>
        <v/>
      </c>
      <c r="H509" s="20">
        <f>IF(G509="","",MAX(Settings!$B$4,Settings!$B$5*AVERAGE(IF(Master_Data!O509&lt;&gt;"",Master_Data!O509,Master_Data!H509),IF(Master_Data!O510&lt;&gt;"",Master_Data!O510,Master_Data!H510))))</f>
        <v/>
      </c>
      <c r="I509" s="20">
        <f>IF(G509="","",G509-H509)</f>
        <v/>
      </c>
      <c r="J509" s="20">
        <f>IF(G509="","",G509+H509)</f>
        <v/>
      </c>
      <c r="K509" s="20">
        <f>IF($A509="","",Master_Data!G509)</f>
        <v/>
      </c>
      <c r="L509" s="20">
        <f>IF($A509="","",Master_Data!G510)</f>
        <v/>
      </c>
      <c r="M509" s="20">
        <f>IF(AND(ISNUMBER(K509),ISNUMBER(L509)),L509-K509,"")</f>
        <v/>
      </c>
      <c r="N509" s="19">
        <f>IF(G509="","",IF(AND(ISNUMBER(K509),ISNUMBER(L509)),IF(OR(F509="GOC",F509="OWC",F509="GWC",F509="OWC_TRANSITION",F509="GOC_TRANSITION"),IF(L509&gt;=K509,"Supports","Conflicts"),"N/A"),"No Sw"))</f>
        <v/>
      </c>
      <c r="O509" s="20">
        <f>IF(G509="","",Settings!$B$6*IF(OR(F509="GOC",F509="OWC",F509="GWC"),1,0.7)+Settings!$B$7*IF(N509="Supports",1,IF(N509="Conflicts",0,0.5))+Settings!$B$8*IF(AND(Master_Data!R509&lt;&gt;"",Master_Data!S509&lt;&gt;"",Master_Data!R510&lt;&gt;"",Master_Data!S510&lt;&gt;""),1,0.5))</f>
        <v/>
      </c>
      <c r="P509" s="19">
        <f>IF(G509="","",IF(N509="Conflicts","SW_CONFLICT",IF(OR(F509="GOC",F509="OWC",F509="GWC"),"DIRECT_FLUID_TRANSITION","TRANSITION_INTERVAL")))</f>
        <v/>
      </c>
      <c r="Q509" s="19">
        <f>IF(G509="","",IF(N509="Conflicts","Investigate contact interpretation / saturation behaviour",IF(OR(F509="OWC",F509="GOC",F509="GWC"),"Candidate contact — validate with logs, pressure and dynamic evidence","Transition zone — do not force to a sharp contact")))</f>
        <v/>
      </c>
    </row>
    <row r="510">
      <c r="A510" s="19">
        <f>IF(AND(Master_Data!A510&lt;&gt;"",Master_Data!A510=Master_Data!A511),Master_Data!A510,"")</f>
        <v/>
      </c>
      <c r="B510" s="19">
        <f>IF($A510="","",Master_Data!B510)</f>
        <v/>
      </c>
      <c r="C510" s="19">
        <f>IF($A510="","",Master_Data!B511)</f>
        <v/>
      </c>
      <c r="D510" s="19">
        <f>IF($A510="","",Master_Data!Q510)</f>
        <v/>
      </c>
      <c r="E510" s="19">
        <f>IF($A510="","",Master_Data!Q511)</f>
        <v/>
      </c>
      <c r="F510" s="19">
        <f>IF($A510="","",IF(AND(D510="GAS",E510="OIL"),"GOC",IF(AND(D510="OIL",E510="WATER"),"OWC",IF(AND(D510="GAS",E510="WATER"),"GWC",IF(AND(D510="OIL",E510="OIL_WATER"),"OWC_TRANSITION",IF(AND(D510="OIL_WATER",E510="WATER"),"OWC_TRANSITION",IF(AND(D510="GAS",E510="GAS_WATER"),"GOC_TRANSITION",IF(AND(D510="GAS_WATER",E510="OIL"),"GOC_TRANSITION",IF(OR(D510="OIL_WATER",D510="GAS_WATER"),"TRANSITION_INTERVAL","")))))))))</f>
        <v/>
      </c>
      <c r="G510" s="20">
        <f>IF(OR(F510="",Master_Data!R510="",Master_Data!S510=""),"",IF(RIGHT(F510,10)="TRANSITION",AVERAGE(Master_Data!R510:Master_Data!S510),AVERAGE(Master_Data!S510,Master_Data!R511)))</f>
        <v/>
      </c>
      <c r="H510" s="20">
        <f>IF(G510="","",MAX(Settings!$B$4,Settings!$B$5*AVERAGE(IF(Master_Data!O510&lt;&gt;"",Master_Data!O510,Master_Data!H510),IF(Master_Data!O511&lt;&gt;"",Master_Data!O511,Master_Data!H511))))</f>
        <v/>
      </c>
      <c r="I510" s="20">
        <f>IF(G510="","",G510-H510)</f>
        <v/>
      </c>
      <c r="J510" s="20">
        <f>IF(G510="","",G510+H510)</f>
        <v/>
      </c>
      <c r="K510" s="20">
        <f>IF($A510="","",Master_Data!G510)</f>
        <v/>
      </c>
      <c r="L510" s="20">
        <f>IF($A510="","",Master_Data!G511)</f>
        <v/>
      </c>
      <c r="M510" s="20">
        <f>IF(AND(ISNUMBER(K510),ISNUMBER(L510)),L510-K510,"")</f>
        <v/>
      </c>
      <c r="N510" s="19">
        <f>IF(G510="","",IF(AND(ISNUMBER(K510),ISNUMBER(L510)),IF(OR(F510="GOC",F510="OWC",F510="GWC",F510="OWC_TRANSITION",F510="GOC_TRANSITION"),IF(L510&gt;=K510,"Supports","Conflicts"),"N/A"),"No Sw"))</f>
        <v/>
      </c>
      <c r="O510" s="20">
        <f>IF(G510="","",Settings!$B$6*IF(OR(F510="GOC",F510="OWC",F510="GWC"),1,0.7)+Settings!$B$7*IF(N510="Supports",1,IF(N510="Conflicts",0,0.5))+Settings!$B$8*IF(AND(Master_Data!R510&lt;&gt;"",Master_Data!S510&lt;&gt;"",Master_Data!R511&lt;&gt;"",Master_Data!S511&lt;&gt;""),1,0.5))</f>
        <v/>
      </c>
      <c r="P510" s="19">
        <f>IF(G510="","",IF(N510="Conflicts","SW_CONFLICT",IF(OR(F510="GOC",F510="OWC",F510="GWC"),"DIRECT_FLUID_TRANSITION","TRANSITION_INTERVAL")))</f>
        <v/>
      </c>
      <c r="Q510" s="19">
        <f>IF(G510="","",IF(N510="Conflicts","Investigate contact interpretation / saturation behaviour",IF(OR(F510="OWC",F510="GOC",F510="GWC"),"Candidate contact — validate with logs, pressure and dynamic evidence","Transition zone — do not force to a sharp contact")))</f>
        <v/>
      </c>
    </row>
    <row r="511">
      <c r="A511" s="19">
        <f>IF(AND(Master_Data!A511&lt;&gt;"",Master_Data!A511=Master_Data!A512),Master_Data!A511,"")</f>
        <v/>
      </c>
      <c r="B511" s="19">
        <f>IF($A511="","",Master_Data!B511)</f>
        <v/>
      </c>
      <c r="C511" s="19">
        <f>IF($A511="","",Master_Data!B512)</f>
        <v/>
      </c>
      <c r="D511" s="19">
        <f>IF($A511="","",Master_Data!Q511)</f>
        <v/>
      </c>
      <c r="E511" s="19">
        <f>IF($A511="","",Master_Data!Q512)</f>
        <v/>
      </c>
      <c r="F511" s="19">
        <f>IF($A511="","",IF(AND(D511="GAS",E511="OIL"),"GOC",IF(AND(D511="OIL",E511="WATER"),"OWC",IF(AND(D511="GAS",E511="WATER"),"GWC",IF(AND(D511="OIL",E511="OIL_WATER"),"OWC_TRANSITION",IF(AND(D511="OIL_WATER",E511="WATER"),"OWC_TRANSITION",IF(AND(D511="GAS",E511="GAS_WATER"),"GOC_TRANSITION",IF(AND(D511="GAS_WATER",E511="OIL"),"GOC_TRANSITION",IF(OR(D511="OIL_WATER",D511="GAS_WATER"),"TRANSITION_INTERVAL","")))))))))</f>
        <v/>
      </c>
      <c r="G511" s="20">
        <f>IF(OR(F511="",Master_Data!R511="",Master_Data!S511=""),"",IF(RIGHT(F511,10)="TRANSITION",AVERAGE(Master_Data!R511:Master_Data!S511),AVERAGE(Master_Data!S511,Master_Data!R512)))</f>
        <v/>
      </c>
      <c r="H511" s="20">
        <f>IF(G511="","",MAX(Settings!$B$4,Settings!$B$5*AVERAGE(IF(Master_Data!O511&lt;&gt;"",Master_Data!O511,Master_Data!H511),IF(Master_Data!O512&lt;&gt;"",Master_Data!O512,Master_Data!H512))))</f>
        <v/>
      </c>
      <c r="I511" s="20">
        <f>IF(G511="","",G511-H511)</f>
        <v/>
      </c>
      <c r="J511" s="20">
        <f>IF(G511="","",G511+H511)</f>
        <v/>
      </c>
      <c r="K511" s="20">
        <f>IF($A511="","",Master_Data!G511)</f>
        <v/>
      </c>
      <c r="L511" s="20">
        <f>IF($A511="","",Master_Data!G512)</f>
        <v/>
      </c>
      <c r="M511" s="20">
        <f>IF(AND(ISNUMBER(K511),ISNUMBER(L511)),L511-K511,"")</f>
        <v/>
      </c>
      <c r="N511" s="19">
        <f>IF(G511="","",IF(AND(ISNUMBER(K511),ISNUMBER(L511)),IF(OR(F511="GOC",F511="OWC",F511="GWC",F511="OWC_TRANSITION",F511="GOC_TRANSITION"),IF(L511&gt;=K511,"Supports","Conflicts"),"N/A"),"No Sw"))</f>
        <v/>
      </c>
      <c r="O511" s="20">
        <f>IF(G511="","",Settings!$B$6*IF(OR(F511="GOC",F511="OWC",F511="GWC"),1,0.7)+Settings!$B$7*IF(N511="Supports",1,IF(N511="Conflicts",0,0.5))+Settings!$B$8*IF(AND(Master_Data!R511&lt;&gt;"",Master_Data!S511&lt;&gt;"",Master_Data!R512&lt;&gt;"",Master_Data!S512&lt;&gt;""),1,0.5))</f>
        <v/>
      </c>
      <c r="P511" s="19">
        <f>IF(G511="","",IF(N511="Conflicts","SW_CONFLICT",IF(OR(F511="GOC",F511="OWC",F511="GWC"),"DIRECT_FLUID_TRANSITION","TRANSITION_INTERVAL")))</f>
        <v/>
      </c>
      <c r="Q511" s="19">
        <f>IF(G511="","",IF(N511="Conflicts","Investigate contact interpretation / saturation behaviour",IF(OR(F511="OWC",F511="GOC",F511="GWC"),"Candidate contact — validate with logs, pressure and dynamic evidence","Transition zone — do not force to a sharp contact")))</f>
        <v/>
      </c>
    </row>
    <row r="512">
      <c r="A512" s="19">
        <f>IF(AND(Master_Data!A512&lt;&gt;"",Master_Data!A512=Master_Data!A513),Master_Data!A512,"")</f>
        <v/>
      </c>
      <c r="B512" s="19">
        <f>IF($A512="","",Master_Data!B512)</f>
        <v/>
      </c>
      <c r="C512" s="19">
        <f>IF($A512="","",Master_Data!B513)</f>
        <v/>
      </c>
      <c r="D512" s="19">
        <f>IF($A512="","",Master_Data!Q512)</f>
        <v/>
      </c>
      <c r="E512" s="19">
        <f>IF($A512="","",Master_Data!Q513)</f>
        <v/>
      </c>
      <c r="F512" s="19">
        <f>IF($A512="","",IF(AND(D512="GAS",E512="OIL"),"GOC",IF(AND(D512="OIL",E512="WATER"),"OWC",IF(AND(D512="GAS",E512="WATER"),"GWC",IF(AND(D512="OIL",E512="OIL_WATER"),"OWC_TRANSITION",IF(AND(D512="OIL_WATER",E512="WATER"),"OWC_TRANSITION",IF(AND(D512="GAS",E512="GAS_WATER"),"GOC_TRANSITION",IF(AND(D512="GAS_WATER",E512="OIL"),"GOC_TRANSITION",IF(OR(D512="OIL_WATER",D512="GAS_WATER"),"TRANSITION_INTERVAL","")))))))))</f>
        <v/>
      </c>
      <c r="G512" s="20">
        <f>IF(OR(F512="",Master_Data!R512="",Master_Data!S512=""),"",IF(RIGHT(F512,10)="TRANSITION",AVERAGE(Master_Data!R512:Master_Data!S512),AVERAGE(Master_Data!S512,Master_Data!R513)))</f>
        <v/>
      </c>
      <c r="H512" s="20">
        <f>IF(G512="","",MAX(Settings!$B$4,Settings!$B$5*AVERAGE(IF(Master_Data!O512&lt;&gt;"",Master_Data!O512,Master_Data!H512),IF(Master_Data!O513&lt;&gt;"",Master_Data!O513,Master_Data!H513))))</f>
        <v/>
      </c>
      <c r="I512" s="20">
        <f>IF(G512="","",G512-H512)</f>
        <v/>
      </c>
      <c r="J512" s="20">
        <f>IF(G512="","",G512+H512)</f>
        <v/>
      </c>
      <c r="K512" s="20">
        <f>IF($A512="","",Master_Data!G512)</f>
        <v/>
      </c>
      <c r="L512" s="20">
        <f>IF($A512="","",Master_Data!G513)</f>
        <v/>
      </c>
      <c r="M512" s="20">
        <f>IF(AND(ISNUMBER(K512),ISNUMBER(L512)),L512-K512,"")</f>
        <v/>
      </c>
      <c r="N512" s="19">
        <f>IF(G512="","",IF(AND(ISNUMBER(K512),ISNUMBER(L512)),IF(OR(F512="GOC",F512="OWC",F512="GWC",F512="OWC_TRANSITION",F512="GOC_TRANSITION"),IF(L512&gt;=K512,"Supports","Conflicts"),"N/A"),"No Sw"))</f>
        <v/>
      </c>
      <c r="O512" s="20">
        <f>IF(G512="","",Settings!$B$6*IF(OR(F512="GOC",F512="OWC",F512="GWC"),1,0.7)+Settings!$B$7*IF(N512="Supports",1,IF(N512="Conflicts",0,0.5))+Settings!$B$8*IF(AND(Master_Data!R512&lt;&gt;"",Master_Data!S512&lt;&gt;"",Master_Data!R513&lt;&gt;"",Master_Data!S513&lt;&gt;""),1,0.5))</f>
        <v/>
      </c>
      <c r="P512" s="19">
        <f>IF(G512="","",IF(N512="Conflicts","SW_CONFLICT",IF(OR(F512="GOC",F512="OWC",F512="GWC"),"DIRECT_FLUID_TRANSITION","TRANSITION_INTERVAL")))</f>
        <v/>
      </c>
      <c r="Q512" s="19">
        <f>IF(G512="","",IF(N512="Conflicts","Investigate contact interpretation / saturation behaviour",IF(OR(F512="OWC",F512="GOC",F512="GWC"),"Candidate contact — validate with logs, pressure and dynamic evidence","Transition zone — do not force to a sharp contact")))</f>
        <v/>
      </c>
    </row>
    <row r="513">
      <c r="A513" s="19">
        <f>IF(AND(Master_Data!A513&lt;&gt;"",Master_Data!A513=Master_Data!A514),Master_Data!A513,"")</f>
        <v/>
      </c>
      <c r="B513" s="19">
        <f>IF($A513="","",Master_Data!B513)</f>
        <v/>
      </c>
      <c r="C513" s="19">
        <f>IF($A513="","",Master_Data!B514)</f>
        <v/>
      </c>
      <c r="D513" s="19">
        <f>IF($A513="","",Master_Data!Q513)</f>
        <v/>
      </c>
      <c r="E513" s="19">
        <f>IF($A513="","",Master_Data!Q514)</f>
        <v/>
      </c>
      <c r="F513" s="19">
        <f>IF($A513="","",IF(AND(D513="GAS",E513="OIL"),"GOC",IF(AND(D513="OIL",E513="WATER"),"OWC",IF(AND(D513="GAS",E513="WATER"),"GWC",IF(AND(D513="OIL",E513="OIL_WATER"),"OWC_TRANSITION",IF(AND(D513="OIL_WATER",E513="WATER"),"OWC_TRANSITION",IF(AND(D513="GAS",E513="GAS_WATER"),"GOC_TRANSITION",IF(AND(D513="GAS_WATER",E513="OIL"),"GOC_TRANSITION",IF(OR(D513="OIL_WATER",D513="GAS_WATER"),"TRANSITION_INTERVAL","")))))))))</f>
        <v/>
      </c>
      <c r="G513" s="20">
        <f>IF(OR(F513="",Master_Data!R513="",Master_Data!S513=""),"",IF(RIGHT(F513,10)="TRANSITION",AVERAGE(Master_Data!R513:Master_Data!S513),AVERAGE(Master_Data!S513,Master_Data!R514)))</f>
        <v/>
      </c>
      <c r="H513" s="20">
        <f>IF(G513="","",MAX(Settings!$B$4,Settings!$B$5*AVERAGE(IF(Master_Data!O513&lt;&gt;"",Master_Data!O513,Master_Data!H513),IF(Master_Data!O514&lt;&gt;"",Master_Data!O514,Master_Data!H514))))</f>
        <v/>
      </c>
      <c r="I513" s="20">
        <f>IF(G513="","",G513-H513)</f>
        <v/>
      </c>
      <c r="J513" s="20">
        <f>IF(G513="","",G513+H513)</f>
        <v/>
      </c>
      <c r="K513" s="20">
        <f>IF($A513="","",Master_Data!G513)</f>
        <v/>
      </c>
      <c r="L513" s="20">
        <f>IF($A513="","",Master_Data!G514)</f>
        <v/>
      </c>
      <c r="M513" s="20">
        <f>IF(AND(ISNUMBER(K513),ISNUMBER(L513)),L513-K513,"")</f>
        <v/>
      </c>
      <c r="N513" s="19">
        <f>IF(G513="","",IF(AND(ISNUMBER(K513),ISNUMBER(L513)),IF(OR(F513="GOC",F513="OWC",F513="GWC",F513="OWC_TRANSITION",F513="GOC_TRANSITION"),IF(L513&gt;=K513,"Supports","Conflicts"),"N/A"),"No Sw"))</f>
        <v/>
      </c>
      <c r="O513" s="20">
        <f>IF(G513="","",Settings!$B$6*IF(OR(F513="GOC",F513="OWC",F513="GWC"),1,0.7)+Settings!$B$7*IF(N513="Supports",1,IF(N513="Conflicts",0,0.5))+Settings!$B$8*IF(AND(Master_Data!R513&lt;&gt;"",Master_Data!S513&lt;&gt;"",Master_Data!R514&lt;&gt;"",Master_Data!S514&lt;&gt;""),1,0.5))</f>
        <v/>
      </c>
      <c r="P513" s="19">
        <f>IF(G513="","",IF(N513="Conflicts","SW_CONFLICT",IF(OR(F513="GOC",F513="OWC",F513="GWC"),"DIRECT_FLUID_TRANSITION","TRANSITION_INTERVAL")))</f>
        <v/>
      </c>
      <c r="Q513" s="19">
        <f>IF(G513="","",IF(N513="Conflicts","Investigate contact interpretation / saturation behaviour",IF(OR(F513="OWC",F513="GOC",F513="GWC"),"Candidate contact — validate with logs, pressure and dynamic evidence","Transition zone — do not force to a sharp contact")))</f>
        <v/>
      </c>
    </row>
    <row r="514">
      <c r="A514" s="19">
        <f>IF(AND(Master_Data!A514&lt;&gt;"",Master_Data!A514=Master_Data!A515),Master_Data!A514,"")</f>
        <v/>
      </c>
      <c r="B514" s="19">
        <f>IF($A514="","",Master_Data!B514)</f>
        <v/>
      </c>
      <c r="C514" s="19">
        <f>IF($A514="","",Master_Data!B515)</f>
        <v/>
      </c>
      <c r="D514" s="19">
        <f>IF($A514="","",Master_Data!Q514)</f>
        <v/>
      </c>
      <c r="E514" s="19">
        <f>IF($A514="","",Master_Data!Q515)</f>
        <v/>
      </c>
      <c r="F514" s="19">
        <f>IF($A514="","",IF(AND(D514="GAS",E514="OIL"),"GOC",IF(AND(D514="OIL",E514="WATER"),"OWC",IF(AND(D514="GAS",E514="WATER"),"GWC",IF(AND(D514="OIL",E514="OIL_WATER"),"OWC_TRANSITION",IF(AND(D514="OIL_WATER",E514="WATER"),"OWC_TRANSITION",IF(AND(D514="GAS",E514="GAS_WATER"),"GOC_TRANSITION",IF(AND(D514="GAS_WATER",E514="OIL"),"GOC_TRANSITION",IF(OR(D514="OIL_WATER",D514="GAS_WATER"),"TRANSITION_INTERVAL","")))))))))</f>
        <v/>
      </c>
      <c r="G514" s="20">
        <f>IF(OR(F514="",Master_Data!R514="",Master_Data!S514=""),"",IF(RIGHT(F514,10)="TRANSITION",AVERAGE(Master_Data!R514:Master_Data!S514),AVERAGE(Master_Data!S514,Master_Data!R515)))</f>
        <v/>
      </c>
      <c r="H514" s="20">
        <f>IF(G514="","",MAX(Settings!$B$4,Settings!$B$5*AVERAGE(IF(Master_Data!O514&lt;&gt;"",Master_Data!O514,Master_Data!H514),IF(Master_Data!O515&lt;&gt;"",Master_Data!O515,Master_Data!H515))))</f>
        <v/>
      </c>
      <c r="I514" s="20">
        <f>IF(G514="","",G514-H514)</f>
        <v/>
      </c>
      <c r="J514" s="20">
        <f>IF(G514="","",G514+H514)</f>
        <v/>
      </c>
      <c r="K514" s="20">
        <f>IF($A514="","",Master_Data!G514)</f>
        <v/>
      </c>
      <c r="L514" s="20">
        <f>IF($A514="","",Master_Data!G515)</f>
        <v/>
      </c>
      <c r="M514" s="20">
        <f>IF(AND(ISNUMBER(K514),ISNUMBER(L514)),L514-K514,"")</f>
        <v/>
      </c>
      <c r="N514" s="19">
        <f>IF(G514="","",IF(AND(ISNUMBER(K514),ISNUMBER(L514)),IF(OR(F514="GOC",F514="OWC",F514="GWC",F514="OWC_TRANSITION",F514="GOC_TRANSITION"),IF(L514&gt;=K514,"Supports","Conflicts"),"N/A"),"No Sw"))</f>
        <v/>
      </c>
      <c r="O514" s="20">
        <f>IF(G514="","",Settings!$B$6*IF(OR(F514="GOC",F514="OWC",F514="GWC"),1,0.7)+Settings!$B$7*IF(N514="Supports",1,IF(N514="Conflicts",0,0.5))+Settings!$B$8*IF(AND(Master_Data!R514&lt;&gt;"",Master_Data!S514&lt;&gt;"",Master_Data!R515&lt;&gt;"",Master_Data!S515&lt;&gt;""),1,0.5))</f>
        <v/>
      </c>
      <c r="P514" s="19">
        <f>IF(G514="","",IF(N514="Conflicts","SW_CONFLICT",IF(OR(F514="GOC",F514="OWC",F514="GWC"),"DIRECT_FLUID_TRANSITION","TRANSITION_INTERVAL")))</f>
        <v/>
      </c>
      <c r="Q514" s="19">
        <f>IF(G514="","",IF(N514="Conflicts","Investigate contact interpretation / saturation behaviour",IF(OR(F514="OWC",F514="GOC",F514="GWC"),"Candidate contact — validate with logs, pressure and dynamic evidence","Transition zone — do not force to a sharp contact")))</f>
        <v/>
      </c>
    </row>
    <row r="515">
      <c r="A515" s="19">
        <f>IF(AND(Master_Data!A515&lt;&gt;"",Master_Data!A515=Master_Data!A516),Master_Data!A515,"")</f>
        <v/>
      </c>
      <c r="B515" s="19">
        <f>IF($A515="","",Master_Data!B515)</f>
        <v/>
      </c>
      <c r="C515" s="19">
        <f>IF($A515="","",Master_Data!B516)</f>
        <v/>
      </c>
      <c r="D515" s="19">
        <f>IF($A515="","",Master_Data!Q515)</f>
        <v/>
      </c>
      <c r="E515" s="19">
        <f>IF($A515="","",Master_Data!Q516)</f>
        <v/>
      </c>
      <c r="F515" s="19">
        <f>IF($A515="","",IF(AND(D515="GAS",E515="OIL"),"GOC",IF(AND(D515="OIL",E515="WATER"),"OWC",IF(AND(D515="GAS",E515="WATER"),"GWC",IF(AND(D515="OIL",E515="OIL_WATER"),"OWC_TRANSITION",IF(AND(D515="OIL_WATER",E515="WATER"),"OWC_TRANSITION",IF(AND(D515="GAS",E515="GAS_WATER"),"GOC_TRANSITION",IF(AND(D515="GAS_WATER",E515="OIL"),"GOC_TRANSITION",IF(OR(D515="OIL_WATER",D515="GAS_WATER"),"TRANSITION_INTERVAL","")))))))))</f>
        <v/>
      </c>
      <c r="G515" s="20">
        <f>IF(OR(F515="",Master_Data!R515="",Master_Data!S515=""),"",IF(RIGHT(F515,10)="TRANSITION",AVERAGE(Master_Data!R515:Master_Data!S515),AVERAGE(Master_Data!S515,Master_Data!R516)))</f>
        <v/>
      </c>
      <c r="H515" s="20">
        <f>IF(G515="","",MAX(Settings!$B$4,Settings!$B$5*AVERAGE(IF(Master_Data!O515&lt;&gt;"",Master_Data!O515,Master_Data!H515),IF(Master_Data!O516&lt;&gt;"",Master_Data!O516,Master_Data!H516))))</f>
        <v/>
      </c>
      <c r="I515" s="20">
        <f>IF(G515="","",G515-H515)</f>
        <v/>
      </c>
      <c r="J515" s="20">
        <f>IF(G515="","",G515+H515)</f>
        <v/>
      </c>
      <c r="K515" s="20">
        <f>IF($A515="","",Master_Data!G515)</f>
        <v/>
      </c>
      <c r="L515" s="20">
        <f>IF($A515="","",Master_Data!G516)</f>
        <v/>
      </c>
      <c r="M515" s="20">
        <f>IF(AND(ISNUMBER(K515),ISNUMBER(L515)),L515-K515,"")</f>
        <v/>
      </c>
      <c r="N515" s="19">
        <f>IF(G515="","",IF(AND(ISNUMBER(K515),ISNUMBER(L515)),IF(OR(F515="GOC",F515="OWC",F515="GWC",F515="OWC_TRANSITION",F515="GOC_TRANSITION"),IF(L515&gt;=K515,"Supports","Conflicts"),"N/A"),"No Sw"))</f>
        <v/>
      </c>
      <c r="O515" s="20">
        <f>IF(G515="","",Settings!$B$6*IF(OR(F515="GOC",F515="OWC",F515="GWC"),1,0.7)+Settings!$B$7*IF(N515="Supports",1,IF(N515="Conflicts",0,0.5))+Settings!$B$8*IF(AND(Master_Data!R515&lt;&gt;"",Master_Data!S515&lt;&gt;"",Master_Data!R516&lt;&gt;"",Master_Data!S516&lt;&gt;""),1,0.5))</f>
        <v/>
      </c>
      <c r="P515" s="19">
        <f>IF(G515="","",IF(N515="Conflicts","SW_CONFLICT",IF(OR(F515="GOC",F515="OWC",F515="GWC"),"DIRECT_FLUID_TRANSITION","TRANSITION_INTERVAL")))</f>
        <v/>
      </c>
      <c r="Q515" s="19">
        <f>IF(G515="","",IF(N515="Conflicts","Investigate contact interpretation / saturation behaviour",IF(OR(F515="OWC",F515="GOC",F515="GWC"),"Candidate contact — validate with logs, pressure and dynamic evidence","Transition zone — do not force to a sharp contact")))</f>
        <v/>
      </c>
    </row>
    <row r="516">
      <c r="A516" s="19">
        <f>IF(AND(Master_Data!A516&lt;&gt;"",Master_Data!A516=Master_Data!A517),Master_Data!A516,"")</f>
        <v/>
      </c>
      <c r="B516" s="19">
        <f>IF($A516="","",Master_Data!B516)</f>
        <v/>
      </c>
      <c r="C516" s="19">
        <f>IF($A516="","",Master_Data!B517)</f>
        <v/>
      </c>
      <c r="D516" s="19">
        <f>IF($A516="","",Master_Data!Q516)</f>
        <v/>
      </c>
      <c r="E516" s="19">
        <f>IF($A516="","",Master_Data!Q517)</f>
        <v/>
      </c>
      <c r="F516" s="19">
        <f>IF($A516="","",IF(AND(D516="GAS",E516="OIL"),"GOC",IF(AND(D516="OIL",E516="WATER"),"OWC",IF(AND(D516="GAS",E516="WATER"),"GWC",IF(AND(D516="OIL",E516="OIL_WATER"),"OWC_TRANSITION",IF(AND(D516="OIL_WATER",E516="WATER"),"OWC_TRANSITION",IF(AND(D516="GAS",E516="GAS_WATER"),"GOC_TRANSITION",IF(AND(D516="GAS_WATER",E516="OIL"),"GOC_TRANSITION",IF(OR(D516="OIL_WATER",D516="GAS_WATER"),"TRANSITION_INTERVAL","")))))))))</f>
        <v/>
      </c>
      <c r="G516" s="20">
        <f>IF(OR(F516="",Master_Data!R516="",Master_Data!S516=""),"",IF(RIGHT(F516,10)="TRANSITION",AVERAGE(Master_Data!R516:Master_Data!S516),AVERAGE(Master_Data!S516,Master_Data!R517)))</f>
        <v/>
      </c>
      <c r="H516" s="20">
        <f>IF(G516="","",MAX(Settings!$B$4,Settings!$B$5*AVERAGE(IF(Master_Data!O516&lt;&gt;"",Master_Data!O516,Master_Data!H516),IF(Master_Data!O517&lt;&gt;"",Master_Data!O517,Master_Data!H517))))</f>
        <v/>
      </c>
      <c r="I516" s="20">
        <f>IF(G516="","",G516-H516)</f>
        <v/>
      </c>
      <c r="J516" s="20">
        <f>IF(G516="","",G516+H516)</f>
        <v/>
      </c>
      <c r="K516" s="20">
        <f>IF($A516="","",Master_Data!G516)</f>
        <v/>
      </c>
      <c r="L516" s="20">
        <f>IF($A516="","",Master_Data!G517)</f>
        <v/>
      </c>
      <c r="M516" s="20">
        <f>IF(AND(ISNUMBER(K516),ISNUMBER(L516)),L516-K516,"")</f>
        <v/>
      </c>
      <c r="N516" s="19">
        <f>IF(G516="","",IF(AND(ISNUMBER(K516),ISNUMBER(L516)),IF(OR(F516="GOC",F516="OWC",F516="GWC",F516="OWC_TRANSITION",F516="GOC_TRANSITION"),IF(L516&gt;=K516,"Supports","Conflicts"),"N/A"),"No Sw"))</f>
        <v/>
      </c>
      <c r="O516" s="20">
        <f>IF(G516="","",Settings!$B$6*IF(OR(F516="GOC",F516="OWC",F516="GWC"),1,0.7)+Settings!$B$7*IF(N516="Supports",1,IF(N516="Conflicts",0,0.5))+Settings!$B$8*IF(AND(Master_Data!R516&lt;&gt;"",Master_Data!S516&lt;&gt;"",Master_Data!R517&lt;&gt;"",Master_Data!S517&lt;&gt;""),1,0.5))</f>
        <v/>
      </c>
      <c r="P516" s="19">
        <f>IF(G516="","",IF(N516="Conflicts","SW_CONFLICT",IF(OR(F516="GOC",F516="OWC",F516="GWC"),"DIRECT_FLUID_TRANSITION","TRANSITION_INTERVAL")))</f>
        <v/>
      </c>
      <c r="Q516" s="19">
        <f>IF(G516="","",IF(N516="Conflicts","Investigate contact interpretation / saturation behaviour",IF(OR(F516="OWC",F516="GOC",F516="GWC"),"Candidate contact — validate with logs, pressure and dynamic evidence","Transition zone — do not force to a sharp contact")))</f>
        <v/>
      </c>
    </row>
    <row r="517">
      <c r="A517" s="19">
        <f>IF(AND(Master_Data!A517&lt;&gt;"",Master_Data!A517=Master_Data!A518),Master_Data!A517,"")</f>
        <v/>
      </c>
      <c r="B517" s="19">
        <f>IF($A517="","",Master_Data!B517)</f>
        <v/>
      </c>
      <c r="C517" s="19">
        <f>IF($A517="","",Master_Data!B518)</f>
        <v/>
      </c>
      <c r="D517" s="19">
        <f>IF($A517="","",Master_Data!Q517)</f>
        <v/>
      </c>
      <c r="E517" s="19">
        <f>IF($A517="","",Master_Data!Q518)</f>
        <v/>
      </c>
      <c r="F517" s="19">
        <f>IF($A517="","",IF(AND(D517="GAS",E517="OIL"),"GOC",IF(AND(D517="OIL",E517="WATER"),"OWC",IF(AND(D517="GAS",E517="WATER"),"GWC",IF(AND(D517="OIL",E517="OIL_WATER"),"OWC_TRANSITION",IF(AND(D517="OIL_WATER",E517="WATER"),"OWC_TRANSITION",IF(AND(D517="GAS",E517="GAS_WATER"),"GOC_TRANSITION",IF(AND(D517="GAS_WATER",E517="OIL"),"GOC_TRANSITION",IF(OR(D517="OIL_WATER",D517="GAS_WATER"),"TRANSITION_INTERVAL","")))))))))</f>
        <v/>
      </c>
      <c r="G517" s="20">
        <f>IF(OR(F517="",Master_Data!R517="",Master_Data!S517=""),"",IF(RIGHT(F517,10)="TRANSITION",AVERAGE(Master_Data!R517:Master_Data!S517),AVERAGE(Master_Data!S517,Master_Data!R518)))</f>
        <v/>
      </c>
      <c r="H517" s="20">
        <f>IF(G517="","",MAX(Settings!$B$4,Settings!$B$5*AVERAGE(IF(Master_Data!O517&lt;&gt;"",Master_Data!O517,Master_Data!H517),IF(Master_Data!O518&lt;&gt;"",Master_Data!O518,Master_Data!H518))))</f>
        <v/>
      </c>
      <c r="I517" s="20">
        <f>IF(G517="","",G517-H517)</f>
        <v/>
      </c>
      <c r="J517" s="20">
        <f>IF(G517="","",G517+H517)</f>
        <v/>
      </c>
      <c r="K517" s="20">
        <f>IF($A517="","",Master_Data!G517)</f>
        <v/>
      </c>
      <c r="L517" s="20">
        <f>IF($A517="","",Master_Data!G518)</f>
        <v/>
      </c>
      <c r="M517" s="20">
        <f>IF(AND(ISNUMBER(K517),ISNUMBER(L517)),L517-K517,"")</f>
        <v/>
      </c>
      <c r="N517" s="19">
        <f>IF(G517="","",IF(AND(ISNUMBER(K517),ISNUMBER(L517)),IF(OR(F517="GOC",F517="OWC",F517="GWC",F517="OWC_TRANSITION",F517="GOC_TRANSITION"),IF(L517&gt;=K517,"Supports","Conflicts"),"N/A"),"No Sw"))</f>
        <v/>
      </c>
      <c r="O517" s="20">
        <f>IF(G517="","",Settings!$B$6*IF(OR(F517="GOC",F517="OWC",F517="GWC"),1,0.7)+Settings!$B$7*IF(N517="Supports",1,IF(N517="Conflicts",0,0.5))+Settings!$B$8*IF(AND(Master_Data!R517&lt;&gt;"",Master_Data!S517&lt;&gt;"",Master_Data!R518&lt;&gt;"",Master_Data!S518&lt;&gt;""),1,0.5))</f>
        <v/>
      </c>
      <c r="P517" s="19">
        <f>IF(G517="","",IF(N517="Conflicts","SW_CONFLICT",IF(OR(F517="GOC",F517="OWC",F517="GWC"),"DIRECT_FLUID_TRANSITION","TRANSITION_INTERVAL")))</f>
        <v/>
      </c>
      <c r="Q517" s="19">
        <f>IF(G517="","",IF(N517="Conflicts","Investigate contact interpretation / saturation behaviour",IF(OR(F517="OWC",F517="GOC",F517="GWC"),"Candidate contact — validate with logs, pressure and dynamic evidence","Transition zone — do not force to a sharp contact")))</f>
        <v/>
      </c>
    </row>
    <row r="518">
      <c r="A518" s="19">
        <f>IF(AND(Master_Data!A518&lt;&gt;"",Master_Data!A518=Master_Data!A519),Master_Data!A518,"")</f>
        <v/>
      </c>
      <c r="B518" s="19">
        <f>IF($A518="","",Master_Data!B518)</f>
        <v/>
      </c>
      <c r="C518" s="19">
        <f>IF($A518="","",Master_Data!B519)</f>
        <v/>
      </c>
      <c r="D518" s="19">
        <f>IF($A518="","",Master_Data!Q518)</f>
        <v/>
      </c>
      <c r="E518" s="19">
        <f>IF($A518="","",Master_Data!Q519)</f>
        <v/>
      </c>
      <c r="F518" s="19">
        <f>IF($A518="","",IF(AND(D518="GAS",E518="OIL"),"GOC",IF(AND(D518="OIL",E518="WATER"),"OWC",IF(AND(D518="GAS",E518="WATER"),"GWC",IF(AND(D518="OIL",E518="OIL_WATER"),"OWC_TRANSITION",IF(AND(D518="OIL_WATER",E518="WATER"),"OWC_TRANSITION",IF(AND(D518="GAS",E518="GAS_WATER"),"GOC_TRANSITION",IF(AND(D518="GAS_WATER",E518="OIL"),"GOC_TRANSITION",IF(OR(D518="OIL_WATER",D518="GAS_WATER"),"TRANSITION_INTERVAL","")))))))))</f>
        <v/>
      </c>
      <c r="G518" s="20">
        <f>IF(OR(F518="",Master_Data!R518="",Master_Data!S518=""),"",IF(RIGHT(F518,10)="TRANSITION",AVERAGE(Master_Data!R518:Master_Data!S518),AVERAGE(Master_Data!S518,Master_Data!R519)))</f>
        <v/>
      </c>
      <c r="H518" s="20">
        <f>IF(G518="","",MAX(Settings!$B$4,Settings!$B$5*AVERAGE(IF(Master_Data!O518&lt;&gt;"",Master_Data!O518,Master_Data!H518),IF(Master_Data!O519&lt;&gt;"",Master_Data!O519,Master_Data!H519))))</f>
        <v/>
      </c>
      <c r="I518" s="20">
        <f>IF(G518="","",G518-H518)</f>
        <v/>
      </c>
      <c r="J518" s="20">
        <f>IF(G518="","",G518+H518)</f>
        <v/>
      </c>
      <c r="K518" s="20">
        <f>IF($A518="","",Master_Data!G518)</f>
        <v/>
      </c>
      <c r="L518" s="20">
        <f>IF($A518="","",Master_Data!G519)</f>
        <v/>
      </c>
      <c r="M518" s="20">
        <f>IF(AND(ISNUMBER(K518),ISNUMBER(L518)),L518-K518,"")</f>
        <v/>
      </c>
      <c r="N518" s="19">
        <f>IF(G518="","",IF(AND(ISNUMBER(K518),ISNUMBER(L518)),IF(OR(F518="GOC",F518="OWC",F518="GWC",F518="OWC_TRANSITION",F518="GOC_TRANSITION"),IF(L518&gt;=K518,"Supports","Conflicts"),"N/A"),"No Sw"))</f>
        <v/>
      </c>
      <c r="O518" s="20">
        <f>IF(G518="","",Settings!$B$6*IF(OR(F518="GOC",F518="OWC",F518="GWC"),1,0.7)+Settings!$B$7*IF(N518="Supports",1,IF(N518="Conflicts",0,0.5))+Settings!$B$8*IF(AND(Master_Data!R518&lt;&gt;"",Master_Data!S518&lt;&gt;"",Master_Data!R519&lt;&gt;"",Master_Data!S519&lt;&gt;""),1,0.5))</f>
        <v/>
      </c>
      <c r="P518" s="19">
        <f>IF(G518="","",IF(N518="Conflicts","SW_CONFLICT",IF(OR(F518="GOC",F518="OWC",F518="GWC"),"DIRECT_FLUID_TRANSITION","TRANSITION_INTERVAL")))</f>
        <v/>
      </c>
      <c r="Q518" s="19">
        <f>IF(G518="","",IF(N518="Conflicts","Investigate contact interpretation / saturation behaviour",IF(OR(F518="OWC",F518="GOC",F518="GWC"),"Candidate contact — validate with logs, pressure and dynamic evidence","Transition zone — do not force to a sharp contact")))</f>
        <v/>
      </c>
    </row>
    <row r="519">
      <c r="A519" s="19">
        <f>IF(AND(Master_Data!A519&lt;&gt;"",Master_Data!A519=Master_Data!A520),Master_Data!A519,"")</f>
        <v/>
      </c>
      <c r="B519" s="19">
        <f>IF($A519="","",Master_Data!B519)</f>
        <v/>
      </c>
      <c r="C519" s="19">
        <f>IF($A519="","",Master_Data!B520)</f>
        <v/>
      </c>
      <c r="D519" s="19">
        <f>IF($A519="","",Master_Data!Q519)</f>
        <v/>
      </c>
      <c r="E519" s="19">
        <f>IF($A519="","",Master_Data!Q520)</f>
        <v/>
      </c>
      <c r="F519" s="19">
        <f>IF($A519="","",IF(AND(D519="GAS",E519="OIL"),"GOC",IF(AND(D519="OIL",E519="WATER"),"OWC",IF(AND(D519="GAS",E519="WATER"),"GWC",IF(AND(D519="OIL",E519="OIL_WATER"),"OWC_TRANSITION",IF(AND(D519="OIL_WATER",E519="WATER"),"OWC_TRANSITION",IF(AND(D519="GAS",E519="GAS_WATER"),"GOC_TRANSITION",IF(AND(D519="GAS_WATER",E519="OIL"),"GOC_TRANSITION",IF(OR(D519="OIL_WATER",D519="GAS_WATER"),"TRANSITION_INTERVAL","")))))))))</f>
        <v/>
      </c>
      <c r="G519" s="20">
        <f>IF(OR(F519="",Master_Data!R519="",Master_Data!S519=""),"",IF(RIGHT(F519,10)="TRANSITION",AVERAGE(Master_Data!R519:Master_Data!S519),AVERAGE(Master_Data!S519,Master_Data!R520)))</f>
        <v/>
      </c>
      <c r="H519" s="20">
        <f>IF(G519="","",MAX(Settings!$B$4,Settings!$B$5*AVERAGE(IF(Master_Data!O519&lt;&gt;"",Master_Data!O519,Master_Data!H519),IF(Master_Data!O520&lt;&gt;"",Master_Data!O520,Master_Data!H520))))</f>
        <v/>
      </c>
      <c r="I519" s="20">
        <f>IF(G519="","",G519-H519)</f>
        <v/>
      </c>
      <c r="J519" s="20">
        <f>IF(G519="","",G519+H519)</f>
        <v/>
      </c>
      <c r="K519" s="20">
        <f>IF($A519="","",Master_Data!G519)</f>
        <v/>
      </c>
      <c r="L519" s="20">
        <f>IF($A519="","",Master_Data!G520)</f>
        <v/>
      </c>
      <c r="M519" s="20">
        <f>IF(AND(ISNUMBER(K519),ISNUMBER(L519)),L519-K519,"")</f>
        <v/>
      </c>
      <c r="N519" s="19">
        <f>IF(G519="","",IF(AND(ISNUMBER(K519),ISNUMBER(L519)),IF(OR(F519="GOC",F519="OWC",F519="GWC",F519="OWC_TRANSITION",F519="GOC_TRANSITION"),IF(L519&gt;=K519,"Supports","Conflicts"),"N/A"),"No Sw"))</f>
        <v/>
      </c>
      <c r="O519" s="20">
        <f>IF(G519="","",Settings!$B$6*IF(OR(F519="GOC",F519="OWC",F519="GWC"),1,0.7)+Settings!$B$7*IF(N519="Supports",1,IF(N519="Conflicts",0,0.5))+Settings!$B$8*IF(AND(Master_Data!R519&lt;&gt;"",Master_Data!S519&lt;&gt;"",Master_Data!R520&lt;&gt;"",Master_Data!S520&lt;&gt;""),1,0.5))</f>
        <v/>
      </c>
      <c r="P519" s="19">
        <f>IF(G519="","",IF(N519="Conflicts","SW_CONFLICT",IF(OR(F519="GOC",F519="OWC",F519="GWC"),"DIRECT_FLUID_TRANSITION","TRANSITION_INTERVAL")))</f>
        <v/>
      </c>
      <c r="Q519" s="19">
        <f>IF(G519="","",IF(N519="Conflicts","Investigate contact interpretation / saturation behaviour",IF(OR(F519="OWC",F519="GOC",F519="GWC"),"Candidate contact — validate with logs, pressure and dynamic evidence","Transition zone — do not force to a sharp contact")))</f>
        <v/>
      </c>
    </row>
    <row r="520">
      <c r="A520" s="19">
        <f>IF(AND(Master_Data!A520&lt;&gt;"",Master_Data!A520=Master_Data!A521),Master_Data!A520,"")</f>
        <v/>
      </c>
      <c r="B520" s="19">
        <f>IF($A520="","",Master_Data!B520)</f>
        <v/>
      </c>
      <c r="C520" s="19">
        <f>IF($A520="","",Master_Data!B521)</f>
        <v/>
      </c>
      <c r="D520" s="19">
        <f>IF($A520="","",Master_Data!Q520)</f>
        <v/>
      </c>
      <c r="E520" s="19">
        <f>IF($A520="","",Master_Data!Q521)</f>
        <v/>
      </c>
      <c r="F520" s="19">
        <f>IF($A520="","",IF(AND(D520="GAS",E520="OIL"),"GOC",IF(AND(D520="OIL",E520="WATER"),"OWC",IF(AND(D520="GAS",E520="WATER"),"GWC",IF(AND(D520="OIL",E520="OIL_WATER"),"OWC_TRANSITION",IF(AND(D520="OIL_WATER",E520="WATER"),"OWC_TRANSITION",IF(AND(D520="GAS",E520="GAS_WATER"),"GOC_TRANSITION",IF(AND(D520="GAS_WATER",E520="OIL"),"GOC_TRANSITION",IF(OR(D520="OIL_WATER",D520="GAS_WATER"),"TRANSITION_INTERVAL","")))))))))</f>
        <v/>
      </c>
      <c r="G520" s="20">
        <f>IF(OR(F520="",Master_Data!R520="",Master_Data!S520=""),"",IF(RIGHT(F520,10)="TRANSITION",AVERAGE(Master_Data!R520:Master_Data!S520),AVERAGE(Master_Data!S520,Master_Data!R521)))</f>
        <v/>
      </c>
      <c r="H520" s="20">
        <f>IF(G520="","",MAX(Settings!$B$4,Settings!$B$5*AVERAGE(IF(Master_Data!O520&lt;&gt;"",Master_Data!O520,Master_Data!H520),IF(Master_Data!O521&lt;&gt;"",Master_Data!O521,Master_Data!H521))))</f>
        <v/>
      </c>
      <c r="I520" s="20">
        <f>IF(G520="","",G520-H520)</f>
        <v/>
      </c>
      <c r="J520" s="20">
        <f>IF(G520="","",G520+H520)</f>
        <v/>
      </c>
      <c r="K520" s="20">
        <f>IF($A520="","",Master_Data!G520)</f>
        <v/>
      </c>
      <c r="L520" s="20">
        <f>IF($A520="","",Master_Data!G521)</f>
        <v/>
      </c>
      <c r="M520" s="20">
        <f>IF(AND(ISNUMBER(K520),ISNUMBER(L520)),L520-K520,"")</f>
        <v/>
      </c>
      <c r="N520" s="19">
        <f>IF(G520="","",IF(AND(ISNUMBER(K520),ISNUMBER(L520)),IF(OR(F520="GOC",F520="OWC",F520="GWC",F520="OWC_TRANSITION",F520="GOC_TRANSITION"),IF(L520&gt;=K520,"Supports","Conflicts"),"N/A"),"No Sw"))</f>
        <v/>
      </c>
      <c r="O520" s="20">
        <f>IF(G520="","",Settings!$B$6*IF(OR(F520="GOC",F520="OWC",F520="GWC"),1,0.7)+Settings!$B$7*IF(N520="Supports",1,IF(N520="Conflicts",0,0.5))+Settings!$B$8*IF(AND(Master_Data!R520&lt;&gt;"",Master_Data!S520&lt;&gt;"",Master_Data!R521&lt;&gt;"",Master_Data!S521&lt;&gt;""),1,0.5))</f>
        <v/>
      </c>
      <c r="P520" s="19">
        <f>IF(G520="","",IF(N520="Conflicts","SW_CONFLICT",IF(OR(F520="GOC",F520="OWC",F520="GWC"),"DIRECT_FLUID_TRANSITION","TRANSITION_INTERVAL")))</f>
        <v/>
      </c>
      <c r="Q520" s="19">
        <f>IF(G520="","",IF(N520="Conflicts","Investigate contact interpretation / saturation behaviour",IF(OR(F520="OWC",F520="GOC",F520="GWC"),"Candidate contact — validate with logs, pressure and dynamic evidence","Transition zone — do not force to a sharp contact")))</f>
        <v/>
      </c>
    </row>
    <row r="521">
      <c r="A521" s="19">
        <f>IF(AND(Master_Data!A521&lt;&gt;"",Master_Data!A521=Master_Data!A522),Master_Data!A521,"")</f>
        <v/>
      </c>
      <c r="B521" s="19">
        <f>IF($A521="","",Master_Data!B521)</f>
        <v/>
      </c>
      <c r="C521" s="19">
        <f>IF($A521="","",Master_Data!B522)</f>
        <v/>
      </c>
      <c r="D521" s="19">
        <f>IF($A521="","",Master_Data!Q521)</f>
        <v/>
      </c>
      <c r="E521" s="19">
        <f>IF($A521="","",Master_Data!Q522)</f>
        <v/>
      </c>
      <c r="F521" s="19">
        <f>IF($A521="","",IF(AND(D521="GAS",E521="OIL"),"GOC",IF(AND(D521="OIL",E521="WATER"),"OWC",IF(AND(D521="GAS",E521="WATER"),"GWC",IF(AND(D521="OIL",E521="OIL_WATER"),"OWC_TRANSITION",IF(AND(D521="OIL_WATER",E521="WATER"),"OWC_TRANSITION",IF(AND(D521="GAS",E521="GAS_WATER"),"GOC_TRANSITION",IF(AND(D521="GAS_WATER",E521="OIL"),"GOC_TRANSITION",IF(OR(D521="OIL_WATER",D521="GAS_WATER"),"TRANSITION_INTERVAL","")))))))))</f>
        <v/>
      </c>
      <c r="G521" s="20">
        <f>IF(OR(F521="",Master_Data!R521="",Master_Data!S521=""),"",IF(RIGHT(F521,10)="TRANSITION",AVERAGE(Master_Data!R521:Master_Data!S521),AVERAGE(Master_Data!S521,Master_Data!R522)))</f>
        <v/>
      </c>
      <c r="H521" s="20">
        <f>IF(G521="","",MAX(Settings!$B$4,Settings!$B$5*AVERAGE(IF(Master_Data!O521&lt;&gt;"",Master_Data!O521,Master_Data!H521),IF(Master_Data!O522&lt;&gt;"",Master_Data!O522,Master_Data!H522))))</f>
        <v/>
      </c>
      <c r="I521" s="20">
        <f>IF(G521="","",G521-H521)</f>
        <v/>
      </c>
      <c r="J521" s="20">
        <f>IF(G521="","",G521+H521)</f>
        <v/>
      </c>
      <c r="K521" s="20">
        <f>IF($A521="","",Master_Data!G521)</f>
        <v/>
      </c>
      <c r="L521" s="20">
        <f>IF($A521="","",Master_Data!G522)</f>
        <v/>
      </c>
      <c r="M521" s="20">
        <f>IF(AND(ISNUMBER(K521),ISNUMBER(L521)),L521-K521,"")</f>
        <v/>
      </c>
      <c r="N521" s="19">
        <f>IF(G521="","",IF(AND(ISNUMBER(K521),ISNUMBER(L521)),IF(OR(F521="GOC",F521="OWC",F521="GWC",F521="OWC_TRANSITION",F521="GOC_TRANSITION"),IF(L521&gt;=K521,"Supports","Conflicts"),"N/A"),"No Sw"))</f>
        <v/>
      </c>
      <c r="O521" s="20">
        <f>IF(G521="","",Settings!$B$6*IF(OR(F521="GOC",F521="OWC",F521="GWC"),1,0.7)+Settings!$B$7*IF(N521="Supports",1,IF(N521="Conflicts",0,0.5))+Settings!$B$8*IF(AND(Master_Data!R521&lt;&gt;"",Master_Data!S521&lt;&gt;"",Master_Data!R522&lt;&gt;"",Master_Data!S522&lt;&gt;""),1,0.5))</f>
        <v/>
      </c>
      <c r="P521" s="19">
        <f>IF(G521="","",IF(N521="Conflicts","SW_CONFLICT",IF(OR(F521="GOC",F521="OWC",F521="GWC"),"DIRECT_FLUID_TRANSITION","TRANSITION_INTERVAL")))</f>
        <v/>
      </c>
      <c r="Q521" s="19">
        <f>IF(G521="","",IF(N521="Conflicts","Investigate contact interpretation / saturation behaviour",IF(OR(F521="OWC",F521="GOC",F521="GWC"),"Candidate contact — validate with logs, pressure and dynamic evidence","Transition zone — do not force to a sharp contact")))</f>
        <v/>
      </c>
    </row>
    <row r="522">
      <c r="A522" s="19">
        <f>IF(AND(Master_Data!A522&lt;&gt;"",Master_Data!A522=Master_Data!A523),Master_Data!A522,"")</f>
        <v/>
      </c>
      <c r="B522" s="19">
        <f>IF($A522="","",Master_Data!B522)</f>
        <v/>
      </c>
      <c r="C522" s="19">
        <f>IF($A522="","",Master_Data!B523)</f>
        <v/>
      </c>
      <c r="D522" s="19">
        <f>IF($A522="","",Master_Data!Q522)</f>
        <v/>
      </c>
      <c r="E522" s="19">
        <f>IF($A522="","",Master_Data!Q523)</f>
        <v/>
      </c>
      <c r="F522" s="19">
        <f>IF($A522="","",IF(AND(D522="GAS",E522="OIL"),"GOC",IF(AND(D522="OIL",E522="WATER"),"OWC",IF(AND(D522="GAS",E522="WATER"),"GWC",IF(AND(D522="OIL",E522="OIL_WATER"),"OWC_TRANSITION",IF(AND(D522="OIL_WATER",E522="WATER"),"OWC_TRANSITION",IF(AND(D522="GAS",E522="GAS_WATER"),"GOC_TRANSITION",IF(AND(D522="GAS_WATER",E522="OIL"),"GOC_TRANSITION",IF(OR(D522="OIL_WATER",D522="GAS_WATER"),"TRANSITION_INTERVAL","")))))))))</f>
        <v/>
      </c>
      <c r="G522" s="20">
        <f>IF(OR(F522="",Master_Data!R522="",Master_Data!S522=""),"",IF(RIGHT(F522,10)="TRANSITION",AVERAGE(Master_Data!R522:Master_Data!S522),AVERAGE(Master_Data!S522,Master_Data!R523)))</f>
        <v/>
      </c>
      <c r="H522" s="20">
        <f>IF(G522="","",MAX(Settings!$B$4,Settings!$B$5*AVERAGE(IF(Master_Data!O522&lt;&gt;"",Master_Data!O522,Master_Data!H522),IF(Master_Data!O523&lt;&gt;"",Master_Data!O523,Master_Data!H523))))</f>
        <v/>
      </c>
      <c r="I522" s="20">
        <f>IF(G522="","",G522-H522)</f>
        <v/>
      </c>
      <c r="J522" s="20">
        <f>IF(G522="","",G522+H522)</f>
        <v/>
      </c>
      <c r="K522" s="20">
        <f>IF($A522="","",Master_Data!G522)</f>
        <v/>
      </c>
      <c r="L522" s="20">
        <f>IF($A522="","",Master_Data!G523)</f>
        <v/>
      </c>
      <c r="M522" s="20">
        <f>IF(AND(ISNUMBER(K522),ISNUMBER(L522)),L522-K522,"")</f>
        <v/>
      </c>
      <c r="N522" s="19">
        <f>IF(G522="","",IF(AND(ISNUMBER(K522),ISNUMBER(L522)),IF(OR(F522="GOC",F522="OWC",F522="GWC",F522="OWC_TRANSITION",F522="GOC_TRANSITION"),IF(L522&gt;=K522,"Supports","Conflicts"),"N/A"),"No Sw"))</f>
        <v/>
      </c>
      <c r="O522" s="20">
        <f>IF(G522="","",Settings!$B$6*IF(OR(F522="GOC",F522="OWC",F522="GWC"),1,0.7)+Settings!$B$7*IF(N522="Supports",1,IF(N522="Conflicts",0,0.5))+Settings!$B$8*IF(AND(Master_Data!R522&lt;&gt;"",Master_Data!S522&lt;&gt;"",Master_Data!R523&lt;&gt;"",Master_Data!S523&lt;&gt;""),1,0.5))</f>
        <v/>
      </c>
      <c r="P522" s="19">
        <f>IF(G522="","",IF(N522="Conflicts","SW_CONFLICT",IF(OR(F522="GOC",F522="OWC",F522="GWC"),"DIRECT_FLUID_TRANSITION","TRANSITION_INTERVAL")))</f>
        <v/>
      </c>
      <c r="Q522" s="19">
        <f>IF(G522="","",IF(N522="Conflicts","Investigate contact interpretation / saturation behaviour",IF(OR(F522="OWC",F522="GOC",F522="GWC"),"Candidate contact — validate with logs, pressure and dynamic evidence","Transition zone — do not force to a sharp contact")))</f>
        <v/>
      </c>
    </row>
    <row r="523">
      <c r="A523" s="19">
        <f>IF(AND(Master_Data!A523&lt;&gt;"",Master_Data!A523=Master_Data!A524),Master_Data!A523,"")</f>
        <v/>
      </c>
      <c r="B523" s="19">
        <f>IF($A523="","",Master_Data!B523)</f>
        <v/>
      </c>
      <c r="C523" s="19">
        <f>IF($A523="","",Master_Data!B524)</f>
        <v/>
      </c>
      <c r="D523" s="19">
        <f>IF($A523="","",Master_Data!Q523)</f>
        <v/>
      </c>
      <c r="E523" s="19">
        <f>IF($A523="","",Master_Data!Q524)</f>
        <v/>
      </c>
      <c r="F523" s="19">
        <f>IF($A523="","",IF(AND(D523="GAS",E523="OIL"),"GOC",IF(AND(D523="OIL",E523="WATER"),"OWC",IF(AND(D523="GAS",E523="WATER"),"GWC",IF(AND(D523="OIL",E523="OIL_WATER"),"OWC_TRANSITION",IF(AND(D523="OIL_WATER",E523="WATER"),"OWC_TRANSITION",IF(AND(D523="GAS",E523="GAS_WATER"),"GOC_TRANSITION",IF(AND(D523="GAS_WATER",E523="OIL"),"GOC_TRANSITION",IF(OR(D523="OIL_WATER",D523="GAS_WATER"),"TRANSITION_INTERVAL","")))))))))</f>
        <v/>
      </c>
      <c r="G523" s="20">
        <f>IF(OR(F523="",Master_Data!R523="",Master_Data!S523=""),"",IF(RIGHT(F523,10)="TRANSITION",AVERAGE(Master_Data!R523:Master_Data!S523),AVERAGE(Master_Data!S523,Master_Data!R524)))</f>
        <v/>
      </c>
      <c r="H523" s="20">
        <f>IF(G523="","",MAX(Settings!$B$4,Settings!$B$5*AVERAGE(IF(Master_Data!O523&lt;&gt;"",Master_Data!O523,Master_Data!H523),IF(Master_Data!O524&lt;&gt;"",Master_Data!O524,Master_Data!H524))))</f>
        <v/>
      </c>
      <c r="I523" s="20">
        <f>IF(G523="","",G523-H523)</f>
        <v/>
      </c>
      <c r="J523" s="20">
        <f>IF(G523="","",G523+H523)</f>
        <v/>
      </c>
      <c r="K523" s="20">
        <f>IF($A523="","",Master_Data!G523)</f>
        <v/>
      </c>
      <c r="L523" s="20">
        <f>IF($A523="","",Master_Data!G524)</f>
        <v/>
      </c>
      <c r="M523" s="20">
        <f>IF(AND(ISNUMBER(K523),ISNUMBER(L523)),L523-K523,"")</f>
        <v/>
      </c>
      <c r="N523" s="19">
        <f>IF(G523="","",IF(AND(ISNUMBER(K523),ISNUMBER(L523)),IF(OR(F523="GOC",F523="OWC",F523="GWC",F523="OWC_TRANSITION",F523="GOC_TRANSITION"),IF(L523&gt;=K523,"Supports","Conflicts"),"N/A"),"No Sw"))</f>
        <v/>
      </c>
      <c r="O523" s="20">
        <f>IF(G523="","",Settings!$B$6*IF(OR(F523="GOC",F523="OWC",F523="GWC"),1,0.7)+Settings!$B$7*IF(N523="Supports",1,IF(N523="Conflicts",0,0.5))+Settings!$B$8*IF(AND(Master_Data!R523&lt;&gt;"",Master_Data!S523&lt;&gt;"",Master_Data!R524&lt;&gt;"",Master_Data!S524&lt;&gt;""),1,0.5))</f>
        <v/>
      </c>
      <c r="P523" s="19">
        <f>IF(G523="","",IF(N523="Conflicts","SW_CONFLICT",IF(OR(F523="GOC",F523="OWC",F523="GWC"),"DIRECT_FLUID_TRANSITION","TRANSITION_INTERVAL")))</f>
        <v/>
      </c>
      <c r="Q523" s="19">
        <f>IF(G523="","",IF(N523="Conflicts","Investigate contact interpretation / saturation behaviour",IF(OR(F523="OWC",F523="GOC",F523="GWC"),"Candidate contact — validate with logs, pressure and dynamic evidence","Transition zone — do not force to a sharp contact")))</f>
        <v/>
      </c>
    </row>
    <row r="524">
      <c r="A524" s="19">
        <f>IF(AND(Master_Data!A524&lt;&gt;"",Master_Data!A524=Master_Data!A525),Master_Data!A524,"")</f>
        <v/>
      </c>
      <c r="B524" s="19">
        <f>IF($A524="","",Master_Data!B524)</f>
        <v/>
      </c>
      <c r="C524" s="19">
        <f>IF($A524="","",Master_Data!B525)</f>
        <v/>
      </c>
      <c r="D524" s="19">
        <f>IF($A524="","",Master_Data!Q524)</f>
        <v/>
      </c>
      <c r="E524" s="19">
        <f>IF($A524="","",Master_Data!Q525)</f>
        <v/>
      </c>
      <c r="F524" s="19">
        <f>IF($A524="","",IF(AND(D524="GAS",E524="OIL"),"GOC",IF(AND(D524="OIL",E524="WATER"),"OWC",IF(AND(D524="GAS",E524="WATER"),"GWC",IF(AND(D524="OIL",E524="OIL_WATER"),"OWC_TRANSITION",IF(AND(D524="OIL_WATER",E524="WATER"),"OWC_TRANSITION",IF(AND(D524="GAS",E524="GAS_WATER"),"GOC_TRANSITION",IF(AND(D524="GAS_WATER",E524="OIL"),"GOC_TRANSITION",IF(OR(D524="OIL_WATER",D524="GAS_WATER"),"TRANSITION_INTERVAL","")))))))))</f>
        <v/>
      </c>
      <c r="G524" s="20">
        <f>IF(OR(F524="",Master_Data!R524="",Master_Data!S524=""),"",IF(RIGHT(F524,10)="TRANSITION",AVERAGE(Master_Data!R524:Master_Data!S524),AVERAGE(Master_Data!S524,Master_Data!R525)))</f>
        <v/>
      </c>
      <c r="H524" s="20">
        <f>IF(G524="","",MAX(Settings!$B$4,Settings!$B$5*AVERAGE(IF(Master_Data!O524&lt;&gt;"",Master_Data!O524,Master_Data!H524),IF(Master_Data!O525&lt;&gt;"",Master_Data!O525,Master_Data!H525))))</f>
        <v/>
      </c>
      <c r="I524" s="20">
        <f>IF(G524="","",G524-H524)</f>
        <v/>
      </c>
      <c r="J524" s="20">
        <f>IF(G524="","",G524+H524)</f>
        <v/>
      </c>
      <c r="K524" s="20">
        <f>IF($A524="","",Master_Data!G524)</f>
        <v/>
      </c>
      <c r="L524" s="20">
        <f>IF($A524="","",Master_Data!G525)</f>
        <v/>
      </c>
      <c r="M524" s="20">
        <f>IF(AND(ISNUMBER(K524),ISNUMBER(L524)),L524-K524,"")</f>
        <v/>
      </c>
      <c r="N524" s="19">
        <f>IF(G524="","",IF(AND(ISNUMBER(K524),ISNUMBER(L524)),IF(OR(F524="GOC",F524="OWC",F524="GWC",F524="OWC_TRANSITION",F524="GOC_TRANSITION"),IF(L524&gt;=K524,"Supports","Conflicts"),"N/A"),"No Sw"))</f>
        <v/>
      </c>
      <c r="O524" s="20">
        <f>IF(G524="","",Settings!$B$6*IF(OR(F524="GOC",F524="OWC",F524="GWC"),1,0.7)+Settings!$B$7*IF(N524="Supports",1,IF(N524="Conflicts",0,0.5))+Settings!$B$8*IF(AND(Master_Data!R524&lt;&gt;"",Master_Data!S524&lt;&gt;"",Master_Data!R525&lt;&gt;"",Master_Data!S525&lt;&gt;""),1,0.5))</f>
        <v/>
      </c>
      <c r="P524" s="19">
        <f>IF(G524="","",IF(N524="Conflicts","SW_CONFLICT",IF(OR(F524="GOC",F524="OWC",F524="GWC"),"DIRECT_FLUID_TRANSITION","TRANSITION_INTERVAL")))</f>
        <v/>
      </c>
      <c r="Q524" s="19">
        <f>IF(G524="","",IF(N524="Conflicts","Investigate contact interpretation / saturation behaviour",IF(OR(F524="OWC",F524="GOC",F524="GWC"),"Candidate contact — validate with logs, pressure and dynamic evidence","Transition zone — do not force to a sharp contact")))</f>
        <v/>
      </c>
    </row>
    <row r="525">
      <c r="A525" s="19">
        <f>IF(AND(Master_Data!A525&lt;&gt;"",Master_Data!A525=Master_Data!A526),Master_Data!A525,"")</f>
        <v/>
      </c>
      <c r="B525" s="19">
        <f>IF($A525="","",Master_Data!B525)</f>
        <v/>
      </c>
      <c r="C525" s="19">
        <f>IF($A525="","",Master_Data!B526)</f>
        <v/>
      </c>
      <c r="D525" s="19">
        <f>IF($A525="","",Master_Data!Q525)</f>
        <v/>
      </c>
      <c r="E525" s="19">
        <f>IF($A525="","",Master_Data!Q526)</f>
        <v/>
      </c>
      <c r="F525" s="19">
        <f>IF($A525="","",IF(AND(D525="GAS",E525="OIL"),"GOC",IF(AND(D525="OIL",E525="WATER"),"OWC",IF(AND(D525="GAS",E525="WATER"),"GWC",IF(AND(D525="OIL",E525="OIL_WATER"),"OWC_TRANSITION",IF(AND(D525="OIL_WATER",E525="WATER"),"OWC_TRANSITION",IF(AND(D525="GAS",E525="GAS_WATER"),"GOC_TRANSITION",IF(AND(D525="GAS_WATER",E525="OIL"),"GOC_TRANSITION",IF(OR(D525="OIL_WATER",D525="GAS_WATER"),"TRANSITION_INTERVAL","")))))))))</f>
        <v/>
      </c>
      <c r="G525" s="20">
        <f>IF(OR(F525="",Master_Data!R525="",Master_Data!S525=""),"",IF(RIGHT(F525,10)="TRANSITION",AVERAGE(Master_Data!R525:Master_Data!S525),AVERAGE(Master_Data!S525,Master_Data!R526)))</f>
        <v/>
      </c>
      <c r="H525" s="20">
        <f>IF(G525="","",MAX(Settings!$B$4,Settings!$B$5*AVERAGE(IF(Master_Data!O525&lt;&gt;"",Master_Data!O525,Master_Data!H525),IF(Master_Data!O526&lt;&gt;"",Master_Data!O526,Master_Data!H526))))</f>
        <v/>
      </c>
      <c r="I525" s="20">
        <f>IF(G525="","",G525-H525)</f>
        <v/>
      </c>
      <c r="J525" s="20">
        <f>IF(G525="","",G525+H525)</f>
        <v/>
      </c>
      <c r="K525" s="20">
        <f>IF($A525="","",Master_Data!G525)</f>
        <v/>
      </c>
      <c r="L525" s="20">
        <f>IF($A525="","",Master_Data!G526)</f>
        <v/>
      </c>
      <c r="M525" s="20">
        <f>IF(AND(ISNUMBER(K525),ISNUMBER(L525)),L525-K525,"")</f>
        <v/>
      </c>
      <c r="N525" s="19">
        <f>IF(G525="","",IF(AND(ISNUMBER(K525),ISNUMBER(L525)),IF(OR(F525="GOC",F525="OWC",F525="GWC",F525="OWC_TRANSITION",F525="GOC_TRANSITION"),IF(L525&gt;=K525,"Supports","Conflicts"),"N/A"),"No Sw"))</f>
        <v/>
      </c>
      <c r="O525" s="20">
        <f>IF(G525="","",Settings!$B$6*IF(OR(F525="GOC",F525="OWC",F525="GWC"),1,0.7)+Settings!$B$7*IF(N525="Supports",1,IF(N525="Conflicts",0,0.5))+Settings!$B$8*IF(AND(Master_Data!R525&lt;&gt;"",Master_Data!S525&lt;&gt;"",Master_Data!R526&lt;&gt;"",Master_Data!S526&lt;&gt;""),1,0.5))</f>
        <v/>
      </c>
      <c r="P525" s="19">
        <f>IF(G525="","",IF(N525="Conflicts","SW_CONFLICT",IF(OR(F525="GOC",F525="OWC",F525="GWC"),"DIRECT_FLUID_TRANSITION","TRANSITION_INTERVAL")))</f>
        <v/>
      </c>
      <c r="Q525" s="19">
        <f>IF(G525="","",IF(N525="Conflicts","Investigate contact interpretation / saturation behaviour",IF(OR(F525="OWC",F525="GOC",F525="GWC"),"Candidate contact — validate with logs, pressure and dynamic evidence","Transition zone — do not force to a sharp contact")))</f>
        <v/>
      </c>
    </row>
    <row r="526">
      <c r="A526" s="19">
        <f>IF(AND(Master_Data!A526&lt;&gt;"",Master_Data!A526=Master_Data!A527),Master_Data!A526,"")</f>
        <v/>
      </c>
      <c r="B526" s="19">
        <f>IF($A526="","",Master_Data!B526)</f>
        <v/>
      </c>
      <c r="C526" s="19">
        <f>IF($A526="","",Master_Data!B527)</f>
        <v/>
      </c>
      <c r="D526" s="19">
        <f>IF($A526="","",Master_Data!Q526)</f>
        <v/>
      </c>
      <c r="E526" s="19">
        <f>IF($A526="","",Master_Data!Q527)</f>
        <v/>
      </c>
      <c r="F526" s="19">
        <f>IF($A526="","",IF(AND(D526="GAS",E526="OIL"),"GOC",IF(AND(D526="OIL",E526="WATER"),"OWC",IF(AND(D526="GAS",E526="WATER"),"GWC",IF(AND(D526="OIL",E526="OIL_WATER"),"OWC_TRANSITION",IF(AND(D526="OIL_WATER",E526="WATER"),"OWC_TRANSITION",IF(AND(D526="GAS",E526="GAS_WATER"),"GOC_TRANSITION",IF(AND(D526="GAS_WATER",E526="OIL"),"GOC_TRANSITION",IF(OR(D526="OIL_WATER",D526="GAS_WATER"),"TRANSITION_INTERVAL","")))))))))</f>
        <v/>
      </c>
      <c r="G526" s="20">
        <f>IF(OR(F526="",Master_Data!R526="",Master_Data!S526=""),"",IF(RIGHT(F526,10)="TRANSITION",AVERAGE(Master_Data!R526:Master_Data!S526),AVERAGE(Master_Data!S526,Master_Data!R527)))</f>
        <v/>
      </c>
      <c r="H526" s="20">
        <f>IF(G526="","",MAX(Settings!$B$4,Settings!$B$5*AVERAGE(IF(Master_Data!O526&lt;&gt;"",Master_Data!O526,Master_Data!H526),IF(Master_Data!O527&lt;&gt;"",Master_Data!O527,Master_Data!H527))))</f>
        <v/>
      </c>
      <c r="I526" s="20">
        <f>IF(G526="","",G526-H526)</f>
        <v/>
      </c>
      <c r="J526" s="20">
        <f>IF(G526="","",G526+H526)</f>
        <v/>
      </c>
      <c r="K526" s="20">
        <f>IF($A526="","",Master_Data!G526)</f>
        <v/>
      </c>
      <c r="L526" s="20">
        <f>IF($A526="","",Master_Data!G527)</f>
        <v/>
      </c>
      <c r="M526" s="20">
        <f>IF(AND(ISNUMBER(K526),ISNUMBER(L526)),L526-K526,"")</f>
        <v/>
      </c>
      <c r="N526" s="19">
        <f>IF(G526="","",IF(AND(ISNUMBER(K526),ISNUMBER(L526)),IF(OR(F526="GOC",F526="OWC",F526="GWC",F526="OWC_TRANSITION",F526="GOC_TRANSITION"),IF(L526&gt;=K526,"Supports","Conflicts"),"N/A"),"No Sw"))</f>
        <v/>
      </c>
      <c r="O526" s="20">
        <f>IF(G526="","",Settings!$B$6*IF(OR(F526="GOC",F526="OWC",F526="GWC"),1,0.7)+Settings!$B$7*IF(N526="Supports",1,IF(N526="Conflicts",0,0.5))+Settings!$B$8*IF(AND(Master_Data!R526&lt;&gt;"",Master_Data!S526&lt;&gt;"",Master_Data!R527&lt;&gt;"",Master_Data!S527&lt;&gt;""),1,0.5))</f>
        <v/>
      </c>
      <c r="P526" s="19">
        <f>IF(G526="","",IF(N526="Conflicts","SW_CONFLICT",IF(OR(F526="GOC",F526="OWC",F526="GWC"),"DIRECT_FLUID_TRANSITION","TRANSITION_INTERVAL")))</f>
        <v/>
      </c>
      <c r="Q526" s="19">
        <f>IF(G526="","",IF(N526="Conflicts","Investigate contact interpretation / saturation behaviour",IF(OR(F526="OWC",F526="GOC",F526="GWC"),"Candidate contact — validate with logs, pressure and dynamic evidence","Transition zone — do not force to a sharp contact")))</f>
        <v/>
      </c>
    </row>
    <row r="527">
      <c r="A527" s="19">
        <f>IF(AND(Master_Data!A527&lt;&gt;"",Master_Data!A527=Master_Data!A528),Master_Data!A527,"")</f>
        <v/>
      </c>
      <c r="B527" s="19">
        <f>IF($A527="","",Master_Data!B527)</f>
        <v/>
      </c>
      <c r="C527" s="19">
        <f>IF($A527="","",Master_Data!B528)</f>
        <v/>
      </c>
      <c r="D527" s="19">
        <f>IF($A527="","",Master_Data!Q527)</f>
        <v/>
      </c>
      <c r="E527" s="19">
        <f>IF($A527="","",Master_Data!Q528)</f>
        <v/>
      </c>
      <c r="F527" s="19">
        <f>IF($A527="","",IF(AND(D527="GAS",E527="OIL"),"GOC",IF(AND(D527="OIL",E527="WATER"),"OWC",IF(AND(D527="GAS",E527="WATER"),"GWC",IF(AND(D527="OIL",E527="OIL_WATER"),"OWC_TRANSITION",IF(AND(D527="OIL_WATER",E527="WATER"),"OWC_TRANSITION",IF(AND(D527="GAS",E527="GAS_WATER"),"GOC_TRANSITION",IF(AND(D527="GAS_WATER",E527="OIL"),"GOC_TRANSITION",IF(OR(D527="OIL_WATER",D527="GAS_WATER"),"TRANSITION_INTERVAL","")))))))))</f>
        <v/>
      </c>
      <c r="G527" s="20">
        <f>IF(OR(F527="",Master_Data!R527="",Master_Data!S527=""),"",IF(RIGHT(F527,10)="TRANSITION",AVERAGE(Master_Data!R527:Master_Data!S527),AVERAGE(Master_Data!S527,Master_Data!R528)))</f>
        <v/>
      </c>
      <c r="H527" s="20">
        <f>IF(G527="","",MAX(Settings!$B$4,Settings!$B$5*AVERAGE(IF(Master_Data!O527&lt;&gt;"",Master_Data!O527,Master_Data!H527),IF(Master_Data!O528&lt;&gt;"",Master_Data!O528,Master_Data!H528))))</f>
        <v/>
      </c>
      <c r="I527" s="20">
        <f>IF(G527="","",G527-H527)</f>
        <v/>
      </c>
      <c r="J527" s="20">
        <f>IF(G527="","",G527+H527)</f>
        <v/>
      </c>
      <c r="K527" s="20">
        <f>IF($A527="","",Master_Data!G527)</f>
        <v/>
      </c>
      <c r="L527" s="20">
        <f>IF($A527="","",Master_Data!G528)</f>
        <v/>
      </c>
      <c r="M527" s="20">
        <f>IF(AND(ISNUMBER(K527),ISNUMBER(L527)),L527-K527,"")</f>
        <v/>
      </c>
      <c r="N527" s="19">
        <f>IF(G527="","",IF(AND(ISNUMBER(K527),ISNUMBER(L527)),IF(OR(F527="GOC",F527="OWC",F527="GWC",F527="OWC_TRANSITION",F527="GOC_TRANSITION"),IF(L527&gt;=K527,"Supports","Conflicts"),"N/A"),"No Sw"))</f>
        <v/>
      </c>
      <c r="O527" s="20">
        <f>IF(G527="","",Settings!$B$6*IF(OR(F527="GOC",F527="OWC",F527="GWC"),1,0.7)+Settings!$B$7*IF(N527="Supports",1,IF(N527="Conflicts",0,0.5))+Settings!$B$8*IF(AND(Master_Data!R527&lt;&gt;"",Master_Data!S527&lt;&gt;"",Master_Data!R528&lt;&gt;"",Master_Data!S528&lt;&gt;""),1,0.5))</f>
        <v/>
      </c>
      <c r="P527" s="19">
        <f>IF(G527="","",IF(N527="Conflicts","SW_CONFLICT",IF(OR(F527="GOC",F527="OWC",F527="GWC"),"DIRECT_FLUID_TRANSITION","TRANSITION_INTERVAL")))</f>
        <v/>
      </c>
      <c r="Q527" s="19">
        <f>IF(G527="","",IF(N527="Conflicts","Investigate contact interpretation / saturation behaviour",IF(OR(F527="OWC",F527="GOC",F527="GWC"),"Candidate contact — validate with logs, pressure and dynamic evidence","Transition zone — do not force to a sharp contact")))</f>
        <v/>
      </c>
    </row>
    <row r="528">
      <c r="A528" s="19">
        <f>IF(AND(Master_Data!A528&lt;&gt;"",Master_Data!A528=Master_Data!A529),Master_Data!A528,"")</f>
        <v/>
      </c>
      <c r="B528" s="19">
        <f>IF($A528="","",Master_Data!B528)</f>
        <v/>
      </c>
      <c r="C528" s="19">
        <f>IF($A528="","",Master_Data!B529)</f>
        <v/>
      </c>
      <c r="D528" s="19">
        <f>IF($A528="","",Master_Data!Q528)</f>
        <v/>
      </c>
      <c r="E528" s="19">
        <f>IF($A528="","",Master_Data!Q529)</f>
        <v/>
      </c>
      <c r="F528" s="19">
        <f>IF($A528="","",IF(AND(D528="GAS",E528="OIL"),"GOC",IF(AND(D528="OIL",E528="WATER"),"OWC",IF(AND(D528="GAS",E528="WATER"),"GWC",IF(AND(D528="OIL",E528="OIL_WATER"),"OWC_TRANSITION",IF(AND(D528="OIL_WATER",E528="WATER"),"OWC_TRANSITION",IF(AND(D528="GAS",E528="GAS_WATER"),"GOC_TRANSITION",IF(AND(D528="GAS_WATER",E528="OIL"),"GOC_TRANSITION",IF(OR(D528="OIL_WATER",D528="GAS_WATER"),"TRANSITION_INTERVAL","")))))))))</f>
        <v/>
      </c>
      <c r="G528" s="20">
        <f>IF(OR(F528="",Master_Data!R528="",Master_Data!S528=""),"",IF(RIGHT(F528,10)="TRANSITION",AVERAGE(Master_Data!R528:Master_Data!S528),AVERAGE(Master_Data!S528,Master_Data!R529)))</f>
        <v/>
      </c>
      <c r="H528" s="20">
        <f>IF(G528="","",MAX(Settings!$B$4,Settings!$B$5*AVERAGE(IF(Master_Data!O528&lt;&gt;"",Master_Data!O528,Master_Data!H528),IF(Master_Data!O529&lt;&gt;"",Master_Data!O529,Master_Data!H529))))</f>
        <v/>
      </c>
      <c r="I528" s="20">
        <f>IF(G528="","",G528-H528)</f>
        <v/>
      </c>
      <c r="J528" s="20">
        <f>IF(G528="","",G528+H528)</f>
        <v/>
      </c>
      <c r="K528" s="20">
        <f>IF($A528="","",Master_Data!G528)</f>
        <v/>
      </c>
      <c r="L528" s="20">
        <f>IF($A528="","",Master_Data!G529)</f>
        <v/>
      </c>
      <c r="M528" s="20">
        <f>IF(AND(ISNUMBER(K528),ISNUMBER(L528)),L528-K528,"")</f>
        <v/>
      </c>
      <c r="N528" s="19">
        <f>IF(G528="","",IF(AND(ISNUMBER(K528),ISNUMBER(L528)),IF(OR(F528="GOC",F528="OWC",F528="GWC",F528="OWC_TRANSITION",F528="GOC_TRANSITION"),IF(L528&gt;=K528,"Supports","Conflicts"),"N/A"),"No Sw"))</f>
        <v/>
      </c>
      <c r="O528" s="20">
        <f>IF(G528="","",Settings!$B$6*IF(OR(F528="GOC",F528="OWC",F528="GWC"),1,0.7)+Settings!$B$7*IF(N528="Supports",1,IF(N528="Conflicts",0,0.5))+Settings!$B$8*IF(AND(Master_Data!R528&lt;&gt;"",Master_Data!S528&lt;&gt;"",Master_Data!R529&lt;&gt;"",Master_Data!S529&lt;&gt;""),1,0.5))</f>
        <v/>
      </c>
      <c r="P528" s="19">
        <f>IF(G528="","",IF(N528="Conflicts","SW_CONFLICT",IF(OR(F528="GOC",F528="OWC",F528="GWC"),"DIRECT_FLUID_TRANSITION","TRANSITION_INTERVAL")))</f>
        <v/>
      </c>
      <c r="Q528" s="19">
        <f>IF(G528="","",IF(N528="Conflicts","Investigate contact interpretation / saturation behaviour",IF(OR(F528="OWC",F528="GOC",F528="GWC"),"Candidate contact — validate with logs, pressure and dynamic evidence","Transition zone — do not force to a sharp contact")))</f>
        <v/>
      </c>
    </row>
    <row r="529">
      <c r="A529" s="19">
        <f>IF(AND(Master_Data!A529&lt;&gt;"",Master_Data!A529=Master_Data!A530),Master_Data!A529,"")</f>
        <v/>
      </c>
      <c r="B529" s="19">
        <f>IF($A529="","",Master_Data!B529)</f>
        <v/>
      </c>
      <c r="C529" s="19">
        <f>IF($A529="","",Master_Data!B530)</f>
        <v/>
      </c>
      <c r="D529" s="19">
        <f>IF($A529="","",Master_Data!Q529)</f>
        <v/>
      </c>
      <c r="E529" s="19">
        <f>IF($A529="","",Master_Data!Q530)</f>
        <v/>
      </c>
      <c r="F529" s="19">
        <f>IF($A529="","",IF(AND(D529="GAS",E529="OIL"),"GOC",IF(AND(D529="OIL",E529="WATER"),"OWC",IF(AND(D529="GAS",E529="WATER"),"GWC",IF(AND(D529="OIL",E529="OIL_WATER"),"OWC_TRANSITION",IF(AND(D529="OIL_WATER",E529="WATER"),"OWC_TRANSITION",IF(AND(D529="GAS",E529="GAS_WATER"),"GOC_TRANSITION",IF(AND(D529="GAS_WATER",E529="OIL"),"GOC_TRANSITION",IF(OR(D529="OIL_WATER",D529="GAS_WATER"),"TRANSITION_INTERVAL","")))))))))</f>
        <v/>
      </c>
      <c r="G529" s="20">
        <f>IF(OR(F529="",Master_Data!R529="",Master_Data!S529=""),"",IF(RIGHT(F529,10)="TRANSITION",AVERAGE(Master_Data!R529:Master_Data!S529),AVERAGE(Master_Data!S529,Master_Data!R530)))</f>
        <v/>
      </c>
      <c r="H529" s="20">
        <f>IF(G529="","",MAX(Settings!$B$4,Settings!$B$5*AVERAGE(IF(Master_Data!O529&lt;&gt;"",Master_Data!O529,Master_Data!H529),IF(Master_Data!O530&lt;&gt;"",Master_Data!O530,Master_Data!H530))))</f>
        <v/>
      </c>
      <c r="I529" s="20">
        <f>IF(G529="","",G529-H529)</f>
        <v/>
      </c>
      <c r="J529" s="20">
        <f>IF(G529="","",G529+H529)</f>
        <v/>
      </c>
      <c r="K529" s="20">
        <f>IF($A529="","",Master_Data!G529)</f>
        <v/>
      </c>
      <c r="L529" s="20">
        <f>IF($A529="","",Master_Data!G530)</f>
        <v/>
      </c>
      <c r="M529" s="20">
        <f>IF(AND(ISNUMBER(K529),ISNUMBER(L529)),L529-K529,"")</f>
        <v/>
      </c>
      <c r="N529" s="19">
        <f>IF(G529="","",IF(AND(ISNUMBER(K529),ISNUMBER(L529)),IF(OR(F529="GOC",F529="OWC",F529="GWC",F529="OWC_TRANSITION",F529="GOC_TRANSITION"),IF(L529&gt;=K529,"Supports","Conflicts"),"N/A"),"No Sw"))</f>
        <v/>
      </c>
      <c r="O529" s="20">
        <f>IF(G529="","",Settings!$B$6*IF(OR(F529="GOC",F529="OWC",F529="GWC"),1,0.7)+Settings!$B$7*IF(N529="Supports",1,IF(N529="Conflicts",0,0.5))+Settings!$B$8*IF(AND(Master_Data!R529&lt;&gt;"",Master_Data!S529&lt;&gt;"",Master_Data!R530&lt;&gt;"",Master_Data!S530&lt;&gt;""),1,0.5))</f>
        <v/>
      </c>
      <c r="P529" s="19">
        <f>IF(G529="","",IF(N529="Conflicts","SW_CONFLICT",IF(OR(F529="GOC",F529="OWC",F529="GWC"),"DIRECT_FLUID_TRANSITION","TRANSITION_INTERVAL")))</f>
        <v/>
      </c>
      <c r="Q529" s="19">
        <f>IF(G529="","",IF(N529="Conflicts","Investigate contact interpretation / saturation behaviour",IF(OR(F529="OWC",F529="GOC",F529="GWC"),"Candidate contact — validate with logs, pressure and dynamic evidence","Transition zone — do not force to a sharp contact")))</f>
        <v/>
      </c>
    </row>
    <row r="530">
      <c r="A530" s="19">
        <f>IF(AND(Master_Data!A530&lt;&gt;"",Master_Data!A530=Master_Data!A531),Master_Data!A530,"")</f>
        <v/>
      </c>
      <c r="B530" s="19">
        <f>IF($A530="","",Master_Data!B530)</f>
        <v/>
      </c>
      <c r="C530" s="19">
        <f>IF($A530="","",Master_Data!B531)</f>
        <v/>
      </c>
      <c r="D530" s="19">
        <f>IF($A530="","",Master_Data!Q530)</f>
        <v/>
      </c>
      <c r="E530" s="19">
        <f>IF($A530="","",Master_Data!Q531)</f>
        <v/>
      </c>
      <c r="F530" s="19">
        <f>IF($A530="","",IF(AND(D530="GAS",E530="OIL"),"GOC",IF(AND(D530="OIL",E530="WATER"),"OWC",IF(AND(D530="GAS",E530="WATER"),"GWC",IF(AND(D530="OIL",E530="OIL_WATER"),"OWC_TRANSITION",IF(AND(D530="OIL_WATER",E530="WATER"),"OWC_TRANSITION",IF(AND(D530="GAS",E530="GAS_WATER"),"GOC_TRANSITION",IF(AND(D530="GAS_WATER",E530="OIL"),"GOC_TRANSITION",IF(OR(D530="OIL_WATER",D530="GAS_WATER"),"TRANSITION_INTERVAL","")))))))))</f>
        <v/>
      </c>
      <c r="G530" s="20">
        <f>IF(OR(F530="",Master_Data!R530="",Master_Data!S530=""),"",IF(RIGHT(F530,10)="TRANSITION",AVERAGE(Master_Data!R530:Master_Data!S530),AVERAGE(Master_Data!S530,Master_Data!R531)))</f>
        <v/>
      </c>
      <c r="H530" s="20">
        <f>IF(G530="","",MAX(Settings!$B$4,Settings!$B$5*AVERAGE(IF(Master_Data!O530&lt;&gt;"",Master_Data!O530,Master_Data!H530),IF(Master_Data!O531&lt;&gt;"",Master_Data!O531,Master_Data!H531))))</f>
        <v/>
      </c>
      <c r="I530" s="20">
        <f>IF(G530="","",G530-H530)</f>
        <v/>
      </c>
      <c r="J530" s="20">
        <f>IF(G530="","",G530+H530)</f>
        <v/>
      </c>
      <c r="K530" s="20">
        <f>IF($A530="","",Master_Data!G530)</f>
        <v/>
      </c>
      <c r="L530" s="20">
        <f>IF($A530="","",Master_Data!G531)</f>
        <v/>
      </c>
      <c r="M530" s="20">
        <f>IF(AND(ISNUMBER(K530),ISNUMBER(L530)),L530-K530,"")</f>
        <v/>
      </c>
      <c r="N530" s="19">
        <f>IF(G530="","",IF(AND(ISNUMBER(K530),ISNUMBER(L530)),IF(OR(F530="GOC",F530="OWC",F530="GWC",F530="OWC_TRANSITION",F530="GOC_TRANSITION"),IF(L530&gt;=K530,"Supports","Conflicts"),"N/A"),"No Sw"))</f>
        <v/>
      </c>
      <c r="O530" s="20">
        <f>IF(G530="","",Settings!$B$6*IF(OR(F530="GOC",F530="OWC",F530="GWC"),1,0.7)+Settings!$B$7*IF(N530="Supports",1,IF(N530="Conflicts",0,0.5))+Settings!$B$8*IF(AND(Master_Data!R530&lt;&gt;"",Master_Data!S530&lt;&gt;"",Master_Data!R531&lt;&gt;"",Master_Data!S531&lt;&gt;""),1,0.5))</f>
        <v/>
      </c>
      <c r="P530" s="19">
        <f>IF(G530="","",IF(N530="Conflicts","SW_CONFLICT",IF(OR(F530="GOC",F530="OWC",F530="GWC"),"DIRECT_FLUID_TRANSITION","TRANSITION_INTERVAL")))</f>
        <v/>
      </c>
      <c r="Q530" s="19">
        <f>IF(G530="","",IF(N530="Conflicts","Investigate contact interpretation / saturation behaviour",IF(OR(F530="OWC",F530="GOC",F530="GWC"),"Candidate contact — validate with logs, pressure and dynamic evidence","Transition zone — do not force to a sharp contact")))</f>
        <v/>
      </c>
    </row>
    <row r="531">
      <c r="A531" s="19">
        <f>IF(AND(Master_Data!A531&lt;&gt;"",Master_Data!A531=Master_Data!A532),Master_Data!A531,"")</f>
        <v/>
      </c>
      <c r="B531" s="19">
        <f>IF($A531="","",Master_Data!B531)</f>
        <v/>
      </c>
      <c r="C531" s="19">
        <f>IF($A531="","",Master_Data!B532)</f>
        <v/>
      </c>
      <c r="D531" s="19">
        <f>IF($A531="","",Master_Data!Q531)</f>
        <v/>
      </c>
      <c r="E531" s="19">
        <f>IF($A531="","",Master_Data!Q532)</f>
        <v/>
      </c>
      <c r="F531" s="19">
        <f>IF($A531="","",IF(AND(D531="GAS",E531="OIL"),"GOC",IF(AND(D531="OIL",E531="WATER"),"OWC",IF(AND(D531="GAS",E531="WATER"),"GWC",IF(AND(D531="OIL",E531="OIL_WATER"),"OWC_TRANSITION",IF(AND(D531="OIL_WATER",E531="WATER"),"OWC_TRANSITION",IF(AND(D531="GAS",E531="GAS_WATER"),"GOC_TRANSITION",IF(AND(D531="GAS_WATER",E531="OIL"),"GOC_TRANSITION",IF(OR(D531="OIL_WATER",D531="GAS_WATER"),"TRANSITION_INTERVAL","")))))))))</f>
        <v/>
      </c>
      <c r="G531" s="20">
        <f>IF(OR(F531="",Master_Data!R531="",Master_Data!S531=""),"",IF(RIGHT(F531,10)="TRANSITION",AVERAGE(Master_Data!R531:Master_Data!S531),AVERAGE(Master_Data!S531,Master_Data!R532)))</f>
        <v/>
      </c>
      <c r="H531" s="20">
        <f>IF(G531="","",MAX(Settings!$B$4,Settings!$B$5*AVERAGE(IF(Master_Data!O531&lt;&gt;"",Master_Data!O531,Master_Data!H531),IF(Master_Data!O532&lt;&gt;"",Master_Data!O532,Master_Data!H532))))</f>
        <v/>
      </c>
      <c r="I531" s="20">
        <f>IF(G531="","",G531-H531)</f>
        <v/>
      </c>
      <c r="J531" s="20">
        <f>IF(G531="","",G531+H531)</f>
        <v/>
      </c>
      <c r="K531" s="20">
        <f>IF($A531="","",Master_Data!G531)</f>
        <v/>
      </c>
      <c r="L531" s="20">
        <f>IF($A531="","",Master_Data!G532)</f>
        <v/>
      </c>
      <c r="M531" s="20">
        <f>IF(AND(ISNUMBER(K531),ISNUMBER(L531)),L531-K531,"")</f>
        <v/>
      </c>
      <c r="N531" s="19">
        <f>IF(G531="","",IF(AND(ISNUMBER(K531),ISNUMBER(L531)),IF(OR(F531="GOC",F531="OWC",F531="GWC",F531="OWC_TRANSITION",F531="GOC_TRANSITION"),IF(L531&gt;=K531,"Supports","Conflicts"),"N/A"),"No Sw"))</f>
        <v/>
      </c>
      <c r="O531" s="20">
        <f>IF(G531="","",Settings!$B$6*IF(OR(F531="GOC",F531="OWC",F531="GWC"),1,0.7)+Settings!$B$7*IF(N531="Supports",1,IF(N531="Conflicts",0,0.5))+Settings!$B$8*IF(AND(Master_Data!R531&lt;&gt;"",Master_Data!S531&lt;&gt;"",Master_Data!R532&lt;&gt;"",Master_Data!S532&lt;&gt;""),1,0.5))</f>
        <v/>
      </c>
      <c r="P531" s="19">
        <f>IF(G531="","",IF(N531="Conflicts","SW_CONFLICT",IF(OR(F531="GOC",F531="OWC",F531="GWC"),"DIRECT_FLUID_TRANSITION","TRANSITION_INTERVAL")))</f>
        <v/>
      </c>
      <c r="Q531" s="19">
        <f>IF(G531="","",IF(N531="Conflicts","Investigate contact interpretation / saturation behaviour",IF(OR(F531="OWC",F531="GOC",F531="GWC"),"Candidate contact — validate with logs, pressure and dynamic evidence","Transition zone — do not force to a sharp contact")))</f>
        <v/>
      </c>
    </row>
    <row r="532">
      <c r="A532" s="19">
        <f>IF(AND(Master_Data!A532&lt;&gt;"",Master_Data!A532=Master_Data!A533),Master_Data!A532,"")</f>
        <v/>
      </c>
      <c r="B532" s="19">
        <f>IF($A532="","",Master_Data!B532)</f>
        <v/>
      </c>
      <c r="C532" s="19">
        <f>IF($A532="","",Master_Data!B533)</f>
        <v/>
      </c>
      <c r="D532" s="19">
        <f>IF($A532="","",Master_Data!Q532)</f>
        <v/>
      </c>
      <c r="E532" s="19">
        <f>IF($A532="","",Master_Data!Q533)</f>
        <v/>
      </c>
      <c r="F532" s="19">
        <f>IF($A532="","",IF(AND(D532="GAS",E532="OIL"),"GOC",IF(AND(D532="OIL",E532="WATER"),"OWC",IF(AND(D532="GAS",E532="WATER"),"GWC",IF(AND(D532="OIL",E532="OIL_WATER"),"OWC_TRANSITION",IF(AND(D532="OIL_WATER",E532="WATER"),"OWC_TRANSITION",IF(AND(D532="GAS",E532="GAS_WATER"),"GOC_TRANSITION",IF(AND(D532="GAS_WATER",E532="OIL"),"GOC_TRANSITION",IF(OR(D532="OIL_WATER",D532="GAS_WATER"),"TRANSITION_INTERVAL","")))))))))</f>
        <v/>
      </c>
      <c r="G532" s="20">
        <f>IF(OR(F532="",Master_Data!R532="",Master_Data!S532=""),"",IF(RIGHT(F532,10)="TRANSITION",AVERAGE(Master_Data!R532:Master_Data!S532),AVERAGE(Master_Data!S532,Master_Data!R533)))</f>
        <v/>
      </c>
      <c r="H532" s="20">
        <f>IF(G532="","",MAX(Settings!$B$4,Settings!$B$5*AVERAGE(IF(Master_Data!O532&lt;&gt;"",Master_Data!O532,Master_Data!H532),IF(Master_Data!O533&lt;&gt;"",Master_Data!O533,Master_Data!H533))))</f>
        <v/>
      </c>
      <c r="I532" s="20">
        <f>IF(G532="","",G532-H532)</f>
        <v/>
      </c>
      <c r="J532" s="20">
        <f>IF(G532="","",G532+H532)</f>
        <v/>
      </c>
      <c r="K532" s="20">
        <f>IF($A532="","",Master_Data!G532)</f>
        <v/>
      </c>
      <c r="L532" s="20">
        <f>IF($A532="","",Master_Data!G533)</f>
        <v/>
      </c>
      <c r="M532" s="20">
        <f>IF(AND(ISNUMBER(K532),ISNUMBER(L532)),L532-K532,"")</f>
        <v/>
      </c>
      <c r="N532" s="19">
        <f>IF(G532="","",IF(AND(ISNUMBER(K532),ISNUMBER(L532)),IF(OR(F532="GOC",F532="OWC",F532="GWC",F532="OWC_TRANSITION",F532="GOC_TRANSITION"),IF(L532&gt;=K532,"Supports","Conflicts"),"N/A"),"No Sw"))</f>
        <v/>
      </c>
      <c r="O532" s="20">
        <f>IF(G532="","",Settings!$B$6*IF(OR(F532="GOC",F532="OWC",F532="GWC"),1,0.7)+Settings!$B$7*IF(N532="Supports",1,IF(N532="Conflicts",0,0.5))+Settings!$B$8*IF(AND(Master_Data!R532&lt;&gt;"",Master_Data!S532&lt;&gt;"",Master_Data!R533&lt;&gt;"",Master_Data!S533&lt;&gt;""),1,0.5))</f>
        <v/>
      </c>
      <c r="P532" s="19">
        <f>IF(G532="","",IF(N532="Conflicts","SW_CONFLICT",IF(OR(F532="GOC",F532="OWC",F532="GWC"),"DIRECT_FLUID_TRANSITION","TRANSITION_INTERVAL")))</f>
        <v/>
      </c>
      <c r="Q532" s="19">
        <f>IF(G532="","",IF(N532="Conflicts","Investigate contact interpretation / saturation behaviour",IF(OR(F532="OWC",F532="GOC",F532="GWC"),"Candidate contact — validate with logs, pressure and dynamic evidence","Transition zone — do not force to a sharp contact")))</f>
        <v/>
      </c>
    </row>
    <row r="533">
      <c r="A533" s="19">
        <f>IF(AND(Master_Data!A533&lt;&gt;"",Master_Data!A533=Master_Data!A534),Master_Data!A533,"")</f>
        <v/>
      </c>
      <c r="B533" s="19">
        <f>IF($A533="","",Master_Data!B533)</f>
        <v/>
      </c>
      <c r="C533" s="19">
        <f>IF($A533="","",Master_Data!B534)</f>
        <v/>
      </c>
      <c r="D533" s="19">
        <f>IF($A533="","",Master_Data!Q533)</f>
        <v/>
      </c>
      <c r="E533" s="19">
        <f>IF($A533="","",Master_Data!Q534)</f>
        <v/>
      </c>
      <c r="F533" s="19">
        <f>IF($A533="","",IF(AND(D533="GAS",E533="OIL"),"GOC",IF(AND(D533="OIL",E533="WATER"),"OWC",IF(AND(D533="GAS",E533="WATER"),"GWC",IF(AND(D533="OIL",E533="OIL_WATER"),"OWC_TRANSITION",IF(AND(D533="OIL_WATER",E533="WATER"),"OWC_TRANSITION",IF(AND(D533="GAS",E533="GAS_WATER"),"GOC_TRANSITION",IF(AND(D533="GAS_WATER",E533="OIL"),"GOC_TRANSITION",IF(OR(D533="OIL_WATER",D533="GAS_WATER"),"TRANSITION_INTERVAL","")))))))))</f>
        <v/>
      </c>
      <c r="G533" s="20">
        <f>IF(OR(F533="",Master_Data!R533="",Master_Data!S533=""),"",IF(RIGHT(F533,10)="TRANSITION",AVERAGE(Master_Data!R533:Master_Data!S533),AVERAGE(Master_Data!S533,Master_Data!R534)))</f>
        <v/>
      </c>
      <c r="H533" s="20">
        <f>IF(G533="","",MAX(Settings!$B$4,Settings!$B$5*AVERAGE(IF(Master_Data!O533&lt;&gt;"",Master_Data!O533,Master_Data!H533),IF(Master_Data!O534&lt;&gt;"",Master_Data!O534,Master_Data!H534))))</f>
        <v/>
      </c>
      <c r="I533" s="20">
        <f>IF(G533="","",G533-H533)</f>
        <v/>
      </c>
      <c r="J533" s="20">
        <f>IF(G533="","",G533+H533)</f>
        <v/>
      </c>
      <c r="K533" s="20">
        <f>IF($A533="","",Master_Data!G533)</f>
        <v/>
      </c>
      <c r="L533" s="20">
        <f>IF($A533="","",Master_Data!G534)</f>
        <v/>
      </c>
      <c r="M533" s="20">
        <f>IF(AND(ISNUMBER(K533),ISNUMBER(L533)),L533-K533,"")</f>
        <v/>
      </c>
      <c r="N533" s="19">
        <f>IF(G533="","",IF(AND(ISNUMBER(K533),ISNUMBER(L533)),IF(OR(F533="GOC",F533="OWC",F533="GWC",F533="OWC_TRANSITION",F533="GOC_TRANSITION"),IF(L533&gt;=K533,"Supports","Conflicts"),"N/A"),"No Sw"))</f>
        <v/>
      </c>
      <c r="O533" s="20">
        <f>IF(G533="","",Settings!$B$6*IF(OR(F533="GOC",F533="OWC",F533="GWC"),1,0.7)+Settings!$B$7*IF(N533="Supports",1,IF(N533="Conflicts",0,0.5))+Settings!$B$8*IF(AND(Master_Data!R533&lt;&gt;"",Master_Data!S533&lt;&gt;"",Master_Data!R534&lt;&gt;"",Master_Data!S534&lt;&gt;""),1,0.5))</f>
        <v/>
      </c>
      <c r="P533" s="19">
        <f>IF(G533="","",IF(N533="Conflicts","SW_CONFLICT",IF(OR(F533="GOC",F533="OWC",F533="GWC"),"DIRECT_FLUID_TRANSITION","TRANSITION_INTERVAL")))</f>
        <v/>
      </c>
      <c r="Q533" s="19">
        <f>IF(G533="","",IF(N533="Conflicts","Investigate contact interpretation / saturation behaviour",IF(OR(F533="OWC",F533="GOC",F533="GWC"),"Candidate contact — validate with logs, pressure and dynamic evidence","Transition zone — do not force to a sharp contact")))</f>
        <v/>
      </c>
    </row>
    <row r="534">
      <c r="A534" s="19">
        <f>IF(AND(Master_Data!A534&lt;&gt;"",Master_Data!A534=Master_Data!A535),Master_Data!A534,"")</f>
        <v/>
      </c>
      <c r="B534" s="19">
        <f>IF($A534="","",Master_Data!B534)</f>
        <v/>
      </c>
      <c r="C534" s="19">
        <f>IF($A534="","",Master_Data!B535)</f>
        <v/>
      </c>
      <c r="D534" s="19">
        <f>IF($A534="","",Master_Data!Q534)</f>
        <v/>
      </c>
      <c r="E534" s="19">
        <f>IF($A534="","",Master_Data!Q535)</f>
        <v/>
      </c>
      <c r="F534" s="19">
        <f>IF($A534="","",IF(AND(D534="GAS",E534="OIL"),"GOC",IF(AND(D534="OIL",E534="WATER"),"OWC",IF(AND(D534="GAS",E534="WATER"),"GWC",IF(AND(D534="OIL",E534="OIL_WATER"),"OWC_TRANSITION",IF(AND(D534="OIL_WATER",E534="WATER"),"OWC_TRANSITION",IF(AND(D534="GAS",E534="GAS_WATER"),"GOC_TRANSITION",IF(AND(D534="GAS_WATER",E534="OIL"),"GOC_TRANSITION",IF(OR(D534="OIL_WATER",D534="GAS_WATER"),"TRANSITION_INTERVAL","")))))))))</f>
        <v/>
      </c>
      <c r="G534" s="20">
        <f>IF(OR(F534="",Master_Data!R534="",Master_Data!S534=""),"",IF(RIGHT(F534,10)="TRANSITION",AVERAGE(Master_Data!R534:Master_Data!S534),AVERAGE(Master_Data!S534,Master_Data!R535)))</f>
        <v/>
      </c>
      <c r="H534" s="20">
        <f>IF(G534="","",MAX(Settings!$B$4,Settings!$B$5*AVERAGE(IF(Master_Data!O534&lt;&gt;"",Master_Data!O534,Master_Data!H534),IF(Master_Data!O535&lt;&gt;"",Master_Data!O535,Master_Data!H535))))</f>
        <v/>
      </c>
      <c r="I534" s="20">
        <f>IF(G534="","",G534-H534)</f>
        <v/>
      </c>
      <c r="J534" s="20">
        <f>IF(G534="","",G534+H534)</f>
        <v/>
      </c>
      <c r="K534" s="20">
        <f>IF($A534="","",Master_Data!G534)</f>
        <v/>
      </c>
      <c r="L534" s="20">
        <f>IF($A534="","",Master_Data!G535)</f>
        <v/>
      </c>
      <c r="M534" s="20">
        <f>IF(AND(ISNUMBER(K534),ISNUMBER(L534)),L534-K534,"")</f>
        <v/>
      </c>
      <c r="N534" s="19">
        <f>IF(G534="","",IF(AND(ISNUMBER(K534),ISNUMBER(L534)),IF(OR(F534="GOC",F534="OWC",F534="GWC",F534="OWC_TRANSITION",F534="GOC_TRANSITION"),IF(L534&gt;=K534,"Supports","Conflicts"),"N/A"),"No Sw"))</f>
        <v/>
      </c>
      <c r="O534" s="20">
        <f>IF(G534="","",Settings!$B$6*IF(OR(F534="GOC",F534="OWC",F534="GWC"),1,0.7)+Settings!$B$7*IF(N534="Supports",1,IF(N534="Conflicts",0,0.5))+Settings!$B$8*IF(AND(Master_Data!R534&lt;&gt;"",Master_Data!S534&lt;&gt;"",Master_Data!R535&lt;&gt;"",Master_Data!S535&lt;&gt;""),1,0.5))</f>
        <v/>
      </c>
      <c r="P534" s="19">
        <f>IF(G534="","",IF(N534="Conflicts","SW_CONFLICT",IF(OR(F534="GOC",F534="OWC",F534="GWC"),"DIRECT_FLUID_TRANSITION","TRANSITION_INTERVAL")))</f>
        <v/>
      </c>
      <c r="Q534" s="19">
        <f>IF(G534="","",IF(N534="Conflicts","Investigate contact interpretation / saturation behaviour",IF(OR(F534="OWC",F534="GOC",F534="GWC"),"Candidate contact — validate with logs, pressure and dynamic evidence","Transition zone — do not force to a sharp contact")))</f>
        <v/>
      </c>
    </row>
    <row r="535">
      <c r="A535" s="19">
        <f>IF(AND(Master_Data!A535&lt;&gt;"",Master_Data!A535=Master_Data!A536),Master_Data!A535,"")</f>
        <v/>
      </c>
      <c r="B535" s="19">
        <f>IF($A535="","",Master_Data!B535)</f>
        <v/>
      </c>
      <c r="C535" s="19">
        <f>IF($A535="","",Master_Data!B536)</f>
        <v/>
      </c>
      <c r="D535" s="19">
        <f>IF($A535="","",Master_Data!Q535)</f>
        <v/>
      </c>
      <c r="E535" s="19">
        <f>IF($A535="","",Master_Data!Q536)</f>
        <v/>
      </c>
      <c r="F535" s="19">
        <f>IF($A535="","",IF(AND(D535="GAS",E535="OIL"),"GOC",IF(AND(D535="OIL",E535="WATER"),"OWC",IF(AND(D535="GAS",E535="WATER"),"GWC",IF(AND(D535="OIL",E535="OIL_WATER"),"OWC_TRANSITION",IF(AND(D535="OIL_WATER",E535="WATER"),"OWC_TRANSITION",IF(AND(D535="GAS",E535="GAS_WATER"),"GOC_TRANSITION",IF(AND(D535="GAS_WATER",E535="OIL"),"GOC_TRANSITION",IF(OR(D535="OIL_WATER",D535="GAS_WATER"),"TRANSITION_INTERVAL","")))))))))</f>
        <v/>
      </c>
      <c r="G535" s="20">
        <f>IF(OR(F535="",Master_Data!R535="",Master_Data!S535=""),"",IF(RIGHT(F535,10)="TRANSITION",AVERAGE(Master_Data!R535:Master_Data!S535),AVERAGE(Master_Data!S535,Master_Data!R536)))</f>
        <v/>
      </c>
      <c r="H535" s="20">
        <f>IF(G535="","",MAX(Settings!$B$4,Settings!$B$5*AVERAGE(IF(Master_Data!O535&lt;&gt;"",Master_Data!O535,Master_Data!H535),IF(Master_Data!O536&lt;&gt;"",Master_Data!O536,Master_Data!H536))))</f>
        <v/>
      </c>
      <c r="I535" s="20">
        <f>IF(G535="","",G535-H535)</f>
        <v/>
      </c>
      <c r="J535" s="20">
        <f>IF(G535="","",G535+H535)</f>
        <v/>
      </c>
      <c r="K535" s="20">
        <f>IF($A535="","",Master_Data!G535)</f>
        <v/>
      </c>
      <c r="L535" s="20">
        <f>IF($A535="","",Master_Data!G536)</f>
        <v/>
      </c>
      <c r="M535" s="20">
        <f>IF(AND(ISNUMBER(K535),ISNUMBER(L535)),L535-K535,"")</f>
        <v/>
      </c>
      <c r="N535" s="19">
        <f>IF(G535="","",IF(AND(ISNUMBER(K535),ISNUMBER(L535)),IF(OR(F535="GOC",F535="OWC",F535="GWC",F535="OWC_TRANSITION",F535="GOC_TRANSITION"),IF(L535&gt;=K535,"Supports","Conflicts"),"N/A"),"No Sw"))</f>
        <v/>
      </c>
      <c r="O535" s="20">
        <f>IF(G535="","",Settings!$B$6*IF(OR(F535="GOC",F535="OWC",F535="GWC"),1,0.7)+Settings!$B$7*IF(N535="Supports",1,IF(N535="Conflicts",0,0.5))+Settings!$B$8*IF(AND(Master_Data!R535&lt;&gt;"",Master_Data!S535&lt;&gt;"",Master_Data!R536&lt;&gt;"",Master_Data!S536&lt;&gt;""),1,0.5))</f>
        <v/>
      </c>
      <c r="P535" s="19">
        <f>IF(G535="","",IF(N535="Conflicts","SW_CONFLICT",IF(OR(F535="GOC",F535="OWC",F535="GWC"),"DIRECT_FLUID_TRANSITION","TRANSITION_INTERVAL")))</f>
        <v/>
      </c>
      <c r="Q535" s="19">
        <f>IF(G535="","",IF(N535="Conflicts","Investigate contact interpretation / saturation behaviour",IF(OR(F535="OWC",F535="GOC",F535="GWC"),"Candidate contact — validate with logs, pressure and dynamic evidence","Transition zone — do not force to a sharp contact")))</f>
        <v/>
      </c>
    </row>
    <row r="536">
      <c r="A536" s="19">
        <f>IF(AND(Master_Data!A536&lt;&gt;"",Master_Data!A536=Master_Data!A537),Master_Data!A536,"")</f>
        <v/>
      </c>
      <c r="B536" s="19">
        <f>IF($A536="","",Master_Data!B536)</f>
        <v/>
      </c>
      <c r="C536" s="19">
        <f>IF($A536="","",Master_Data!B537)</f>
        <v/>
      </c>
      <c r="D536" s="19">
        <f>IF($A536="","",Master_Data!Q536)</f>
        <v/>
      </c>
      <c r="E536" s="19">
        <f>IF($A536="","",Master_Data!Q537)</f>
        <v/>
      </c>
      <c r="F536" s="19">
        <f>IF($A536="","",IF(AND(D536="GAS",E536="OIL"),"GOC",IF(AND(D536="OIL",E536="WATER"),"OWC",IF(AND(D536="GAS",E536="WATER"),"GWC",IF(AND(D536="OIL",E536="OIL_WATER"),"OWC_TRANSITION",IF(AND(D536="OIL_WATER",E536="WATER"),"OWC_TRANSITION",IF(AND(D536="GAS",E536="GAS_WATER"),"GOC_TRANSITION",IF(AND(D536="GAS_WATER",E536="OIL"),"GOC_TRANSITION",IF(OR(D536="OIL_WATER",D536="GAS_WATER"),"TRANSITION_INTERVAL","")))))))))</f>
        <v/>
      </c>
      <c r="G536" s="20">
        <f>IF(OR(F536="",Master_Data!R536="",Master_Data!S536=""),"",IF(RIGHT(F536,10)="TRANSITION",AVERAGE(Master_Data!R536:Master_Data!S536),AVERAGE(Master_Data!S536,Master_Data!R537)))</f>
        <v/>
      </c>
      <c r="H536" s="20">
        <f>IF(G536="","",MAX(Settings!$B$4,Settings!$B$5*AVERAGE(IF(Master_Data!O536&lt;&gt;"",Master_Data!O536,Master_Data!H536),IF(Master_Data!O537&lt;&gt;"",Master_Data!O537,Master_Data!H537))))</f>
        <v/>
      </c>
      <c r="I536" s="20">
        <f>IF(G536="","",G536-H536)</f>
        <v/>
      </c>
      <c r="J536" s="20">
        <f>IF(G536="","",G536+H536)</f>
        <v/>
      </c>
      <c r="K536" s="20">
        <f>IF($A536="","",Master_Data!G536)</f>
        <v/>
      </c>
      <c r="L536" s="20">
        <f>IF($A536="","",Master_Data!G537)</f>
        <v/>
      </c>
      <c r="M536" s="20">
        <f>IF(AND(ISNUMBER(K536),ISNUMBER(L536)),L536-K536,"")</f>
        <v/>
      </c>
      <c r="N536" s="19">
        <f>IF(G536="","",IF(AND(ISNUMBER(K536),ISNUMBER(L536)),IF(OR(F536="GOC",F536="OWC",F536="GWC",F536="OWC_TRANSITION",F536="GOC_TRANSITION"),IF(L536&gt;=K536,"Supports","Conflicts"),"N/A"),"No Sw"))</f>
        <v/>
      </c>
      <c r="O536" s="20">
        <f>IF(G536="","",Settings!$B$6*IF(OR(F536="GOC",F536="OWC",F536="GWC"),1,0.7)+Settings!$B$7*IF(N536="Supports",1,IF(N536="Conflicts",0,0.5))+Settings!$B$8*IF(AND(Master_Data!R536&lt;&gt;"",Master_Data!S536&lt;&gt;"",Master_Data!R537&lt;&gt;"",Master_Data!S537&lt;&gt;""),1,0.5))</f>
        <v/>
      </c>
      <c r="P536" s="19">
        <f>IF(G536="","",IF(N536="Conflicts","SW_CONFLICT",IF(OR(F536="GOC",F536="OWC",F536="GWC"),"DIRECT_FLUID_TRANSITION","TRANSITION_INTERVAL")))</f>
        <v/>
      </c>
      <c r="Q536" s="19">
        <f>IF(G536="","",IF(N536="Conflicts","Investigate contact interpretation / saturation behaviour",IF(OR(F536="OWC",F536="GOC",F536="GWC"),"Candidate contact — validate with logs, pressure and dynamic evidence","Transition zone — do not force to a sharp contact")))</f>
        <v/>
      </c>
    </row>
    <row r="537">
      <c r="A537" s="19">
        <f>IF(AND(Master_Data!A537&lt;&gt;"",Master_Data!A537=Master_Data!A538),Master_Data!A537,"")</f>
        <v/>
      </c>
      <c r="B537" s="19">
        <f>IF($A537="","",Master_Data!B537)</f>
        <v/>
      </c>
      <c r="C537" s="19">
        <f>IF($A537="","",Master_Data!B538)</f>
        <v/>
      </c>
      <c r="D537" s="19">
        <f>IF($A537="","",Master_Data!Q537)</f>
        <v/>
      </c>
      <c r="E537" s="19">
        <f>IF($A537="","",Master_Data!Q538)</f>
        <v/>
      </c>
      <c r="F537" s="19">
        <f>IF($A537="","",IF(AND(D537="GAS",E537="OIL"),"GOC",IF(AND(D537="OIL",E537="WATER"),"OWC",IF(AND(D537="GAS",E537="WATER"),"GWC",IF(AND(D537="OIL",E537="OIL_WATER"),"OWC_TRANSITION",IF(AND(D537="OIL_WATER",E537="WATER"),"OWC_TRANSITION",IF(AND(D537="GAS",E537="GAS_WATER"),"GOC_TRANSITION",IF(AND(D537="GAS_WATER",E537="OIL"),"GOC_TRANSITION",IF(OR(D537="OIL_WATER",D537="GAS_WATER"),"TRANSITION_INTERVAL","")))))))))</f>
        <v/>
      </c>
      <c r="G537" s="20">
        <f>IF(OR(F537="",Master_Data!R537="",Master_Data!S537=""),"",IF(RIGHT(F537,10)="TRANSITION",AVERAGE(Master_Data!R537:Master_Data!S537),AVERAGE(Master_Data!S537,Master_Data!R538)))</f>
        <v/>
      </c>
      <c r="H537" s="20">
        <f>IF(G537="","",MAX(Settings!$B$4,Settings!$B$5*AVERAGE(IF(Master_Data!O537&lt;&gt;"",Master_Data!O537,Master_Data!H537),IF(Master_Data!O538&lt;&gt;"",Master_Data!O538,Master_Data!H538))))</f>
        <v/>
      </c>
      <c r="I537" s="20">
        <f>IF(G537="","",G537-H537)</f>
        <v/>
      </c>
      <c r="J537" s="20">
        <f>IF(G537="","",G537+H537)</f>
        <v/>
      </c>
      <c r="K537" s="20">
        <f>IF($A537="","",Master_Data!G537)</f>
        <v/>
      </c>
      <c r="L537" s="20">
        <f>IF($A537="","",Master_Data!G538)</f>
        <v/>
      </c>
      <c r="M537" s="20">
        <f>IF(AND(ISNUMBER(K537),ISNUMBER(L537)),L537-K537,"")</f>
        <v/>
      </c>
      <c r="N537" s="19">
        <f>IF(G537="","",IF(AND(ISNUMBER(K537),ISNUMBER(L537)),IF(OR(F537="GOC",F537="OWC",F537="GWC",F537="OWC_TRANSITION",F537="GOC_TRANSITION"),IF(L537&gt;=K537,"Supports","Conflicts"),"N/A"),"No Sw"))</f>
        <v/>
      </c>
      <c r="O537" s="20">
        <f>IF(G537="","",Settings!$B$6*IF(OR(F537="GOC",F537="OWC",F537="GWC"),1,0.7)+Settings!$B$7*IF(N537="Supports",1,IF(N537="Conflicts",0,0.5))+Settings!$B$8*IF(AND(Master_Data!R537&lt;&gt;"",Master_Data!S537&lt;&gt;"",Master_Data!R538&lt;&gt;"",Master_Data!S538&lt;&gt;""),1,0.5))</f>
        <v/>
      </c>
      <c r="P537" s="19">
        <f>IF(G537="","",IF(N537="Conflicts","SW_CONFLICT",IF(OR(F537="GOC",F537="OWC",F537="GWC"),"DIRECT_FLUID_TRANSITION","TRANSITION_INTERVAL")))</f>
        <v/>
      </c>
      <c r="Q537" s="19">
        <f>IF(G537="","",IF(N537="Conflicts","Investigate contact interpretation / saturation behaviour",IF(OR(F537="OWC",F537="GOC",F537="GWC"),"Candidate contact — validate with logs, pressure and dynamic evidence","Transition zone — do not force to a sharp contact")))</f>
        <v/>
      </c>
    </row>
    <row r="538">
      <c r="A538" s="19">
        <f>IF(AND(Master_Data!A538&lt;&gt;"",Master_Data!A538=Master_Data!A539),Master_Data!A538,"")</f>
        <v/>
      </c>
      <c r="B538" s="19">
        <f>IF($A538="","",Master_Data!B538)</f>
        <v/>
      </c>
      <c r="C538" s="19">
        <f>IF($A538="","",Master_Data!B539)</f>
        <v/>
      </c>
      <c r="D538" s="19">
        <f>IF($A538="","",Master_Data!Q538)</f>
        <v/>
      </c>
      <c r="E538" s="19">
        <f>IF($A538="","",Master_Data!Q539)</f>
        <v/>
      </c>
      <c r="F538" s="19">
        <f>IF($A538="","",IF(AND(D538="GAS",E538="OIL"),"GOC",IF(AND(D538="OIL",E538="WATER"),"OWC",IF(AND(D538="GAS",E538="WATER"),"GWC",IF(AND(D538="OIL",E538="OIL_WATER"),"OWC_TRANSITION",IF(AND(D538="OIL_WATER",E538="WATER"),"OWC_TRANSITION",IF(AND(D538="GAS",E538="GAS_WATER"),"GOC_TRANSITION",IF(AND(D538="GAS_WATER",E538="OIL"),"GOC_TRANSITION",IF(OR(D538="OIL_WATER",D538="GAS_WATER"),"TRANSITION_INTERVAL","")))))))))</f>
        <v/>
      </c>
      <c r="G538" s="20">
        <f>IF(OR(F538="",Master_Data!R538="",Master_Data!S538=""),"",IF(RIGHT(F538,10)="TRANSITION",AVERAGE(Master_Data!R538:Master_Data!S538),AVERAGE(Master_Data!S538,Master_Data!R539)))</f>
        <v/>
      </c>
      <c r="H538" s="20">
        <f>IF(G538="","",MAX(Settings!$B$4,Settings!$B$5*AVERAGE(IF(Master_Data!O538&lt;&gt;"",Master_Data!O538,Master_Data!H538),IF(Master_Data!O539&lt;&gt;"",Master_Data!O539,Master_Data!H539))))</f>
        <v/>
      </c>
      <c r="I538" s="20">
        <f>IF(G538="","",G538-H538)</f>
        <v/>
      </c>
      <c r="J538" s="20">
        <f>IF(G538="","",G538+H538)</f>
        <v/>
      </c>
      <c r="K538" s="20">
        <f>IF($A538="","",Master_Data!G538)</f>
        <v/>
      </c>
      <c r="L538" s="20">
        <f>IF($A538="","",Master_Data!G539)</f>
        <v/>
      </c>
      <c r="M538" s="20">
        <f>IF(AND(ISNUMBER(K538),ISNUMBER(L538)),L538-K538,"")</f>
        <v/>
      </c>
      <c r="N538" s="19">
        <f>IF(G538="","",IF(AND(ISNUMBER(K538),ISNUMBER(L538)),IF(OR(F538="GOC",F538="OWC",F538="GWC",F538="OWC_TRANSITION",F538="GOC_TRANSITION"),IF(L538&gt;=K538,"Supports","Conflicts"),"N/A"),"No Sw"))</f>
        <v/>
      </c>
      <c r="O538" s="20">
        <f>IF(G538="","",Settings!$B$6*IF(OR(F538="GOC",F538="OWC",F538="GWC"),1,0.7)+Settings!$B$7*IF(N538="Supports",1,IF(N538="Conflicts",0,0.5))+Settings!$B$8*IF(AND(Master_Data!R538&lt;&gt;"",Master_Data!S538&lt;&gt;"",Master_Data!R539&lt;&gt;"",Master_Data!S539&lt;&gt;""),1,0.5))</f>
        <v/>
      </c>
      <c r="P538" s="19">
        <f>IF(G538="","",IF(N538="Conflicts","SW_CONFLICT",IF(OR(F538="GOC",F538="OWC",F538="GWC"),"DIRECT_FLUID_TRANSITION","TRANSITION_INTERVAL")))</f>
        <v/>
      </c>
      <c r="Q538" s="19">
        <f>IF(G538="","",IF(N538="Conflicts","Investigate contact interpretation / saturation behaviour",IF(OR(F538="OWC",F538="GOC",F538="GWC"),"Candidate contact — validate with logs, pressure and dynamic evidence","Transition zone — do not force to a sharp contact")))</f>
        <v/>
      </c>
    </row>
    <row r="539">
      <c r="A539" s="19">
        <f>IF(AND(Master_Data!A539&lt;&gt;"",Master_Data!A539=Master_Data!A540),Master_Data!A539,"")</f>
        <v/>
      </c>
      <c r="B539" s="19">
        <f>IF($A539="","",Master_Data!B539)</f>
        <v/>
      </c>
      <c r="C539" s="19">
        <f>IF($A539="","",Master_Data!B540)</f>
        <v/>
      </c>
      <c r="D539" s="19">
        <f>IF($A539="","",Master_Data!Q539)</f>
        <v/>
      </c>
      <c r="E539" s="19">
        <f>IF($A539="","",Master_Data!Q540)</f>
        <v/>
      </c>
      <c r="F539" s="19">
        <f>IF($A539="","",IF(AND(D539="GAS",E539="OIL"),"GOC",IF(AND(D539="OIL",E539="WATER"),"OWC",IF(AND(D539="GAS",E539="WATER"),"GWC",IF(AND(D539="OIL",E539="OIL_WATER"),"OWC_TRANSITION",IF(AND(D539="OIL_WATER",E539="WATER"),"OWC_TRANSITION",IF(AND(D539="GAS",E539="GAS_WATER"),"GOC_TRANSITION",IF(AND(D539="GAS_WATER",E539="OIL"),"GOC_TRANSITION",IF(OR(D539="OIL_WATER",D539="GAS_WATER"),"TRANSITION_INTERVAL","")))))))))</f>
        <v/>
      </c>
      <c r="G539" s="20">
        <f>IF(OR(F539="",Master_Data!R539="",Master_Data!S539=""),"",IF(RIGHT(F539,10)="TRANSITION",AVERAGE(Master_Data!R539:Master_Data!S539),AVERAGE(Master_Data!S539,Master_Data!R540)))</f>
        <v/>
      </c>
      <c r="H539" s="20">
        <f>IF(G539="","",MAX(Settings!$B$4,Settings!$B$5*AVERAGE(IF(Master_Data!O539&lt;&gt;"",Master_Data!O539,Master_Data!H539),IF(Master_Data!O540&lt;&gt;"",Master_Data!O540,Master_Data!H540))))</f>
        <v/>
      </c>
      <c r="I539" s="20">
        <f>IF(G539="","",G539-H539)</f>
        <v/>
      </c>
      <c r="J539" s="20">
        <f>IF(G539="","",G539+H539)</f>
        <v/>
      </c>
      <c r="K539" s="20">
        <f>IF($A539="","",Master_Data!G539)</f>
        <v/>
      </c>
      <c r="L539" s="20">
        <f>IF($A539="","",Master_Data!G540)</f>
        <v/>
      </c>
      <c r="M539" s="20">
        <f>IF(AND(ISNUMBER(K539),ISNUMBER(L539)),L539-K539,"")</f>
        <v/>
      </c>
      <c r="N539" s="19">
        <f>IF(G539="","",IF(AND(ISNUMBER(K539),ISNUMBER(L539)),IF(OR(F539="GOC",F539="OWC",F539="GWC",F539="OWC_TRANSITION",F539="GOC_TRANSITION"),IF(L539&gt;=K539,"Supports","Conflicts"),"N/A"),"No Sw"))</f>
        <v/>
      </c>
      <c r="O539" s="20">
        <f>IF(G539="","",Settings!$B$6*IF(OR(F539="GOC",F539="OWC",F539="GWC"),1,0.7)+Settings!$B$7*IF(N539="Supports",1,IF(N539="Conflicts",0,0.5))+Settings!$B$8*IF(AND(Master_Data!R539&lt;&gt;"",Master_Data!S539&lt;&gt;"",Master_Data!R540&lt;&gt;"",Master_Data!S540&lt;&gt;""),1,0.5))</f>
        <v/>
      </c>
      <c r="P539" s="19">
        <f>IF(G539="","",IF(N539="Conflicts","SW_CONFLICT",IF(OR(F539="GOC",F539="OWC",F539="GWC"),"DIRECT_FLUID_TRANSITION","TRANSITION_INTERVAL")))</f>
        <v/>
      </c>
      <c r="Q539" s="19">
        <f>IF(G539="","",IF(N539="Conflicts","Investigate contact interpretation / saturation behaviour",IF(OR(F539="OWC",F539="GOC",F539="GWC"),"Candidate contact — validate with logs, pressure and dynamic evidence","Transition zone — do not force to a sharp contact")))</f>
        <v/>
      </c>
    </row>
    <row r="540">
      <c r="A540" s="19">
        <f>IF(AND(Master_Data!A540&lt;&gt;"",Master_Data!A540=Master_Data!A541),Master_Data!A540,"")</f>
        <v/>
      </c>
      <c r="B540" s="19">
        <f>IF($A540="","",Master_Data!B540)</f>
        <v/>
      </c>
      <c r="C540" s="19">
        <f>IF($A540="","",Master_Data!B541)</f>
        <v/>
      </c>
      <c r="D540" s="19">
        <f>IF($A540="","",Master_Data!Q540)</f>
        <v/>
      </c>
      <c r="E540" s="19">
        <f>IF($A540="","",Master_Data!Q541)</f>
        <v/>
      </c>
      <c r="F540" s="19">
        <f>IF($A540="","",IF(AND(D540="GAS",E540="OIL"),"GOC",IF(AND(D540="OIL",E540="WATER"),"OWC",IF(AND(D540="GAS",E540="WATER"),"GWC",IF(AND(D540="OIL",E540="OIL_WATER"),"OWC_TRANSITION",IF(AND(D540="OIL_WATER",E540="WATER"),"OWC_TRANSITION",IF(AND(D540="GAS",E540="GAS_WATER"),"GOC_TRANSITION",IF(AND(D540="GAS_WATER",E540="OIL"),"GOC_TRANSITION",IF(OR(D540="OIL_WATER",D540="GAS_WATER"),"TRANSITION_INTERVAL","")))))))))</f>
        <v/>
      </c>
      <c r="G540" s="20">
        <f>IF(OR(F540="",Master_Data!R540="",Master_Data!S540=""),"",IF(RIGHT(F540,10)="TRANSITION",AVERAGE(Master_Data!R540:Master_Data!S540),AVERAGE(Master_Data!S540,Master_Data!R541)))</f>
        <v/>
      </c>
      <c r="H540" s="20">
        <f>IF(G540="","",MAX(Settings!$B$4,Settings!$B$5*AVERAGE(IF(Master_Data!O540&lt;&gt;"",Master_Data!O540,Master_Data!H540),IF(Master_Data!O541&lt;&gt;"",Master_Data!O541,Master_Data!H541))))</f>
        <v/>
      </c>
      <c r="I540" s="20">
        <f>IF(G540="","",G540-H540)</f>
        <v/>
      </c>
      <c r="J540" s="20">
        <f>IF(G540="","",G540+H540)</f>
        <v/>
      </c>
      <c r="K540" s="20">
        <f>IF($A540="","",Master_Data!G540)</f>
        <v/>
      </c>
      <c r="L540" s="20">
        <f>IF($A540="","",Master_Data!G541)</f>
        <v/>
      </c>
      <c r="M540" s="20">
        <f>IF(AND(ISNUMBER(K540),ISNUMBER(L540)),L540-K540,"")</f>
        <v/>
      </c>
      <c r="N540" s="19">
        <f>IF(G540="","",IF(AND(ISNUMBER(K540),ISNUMBER(L540)),IF(OR(F540="GOC",F540="OWC",F540="GWC",F540="OWC_TRANSITION",F540="GOC_TRANSITION"),IF(L540&gt;=K540,"Supports","Conflicts"),"N/A"),"No Sw"))</f>
        <v/>
      </c>
      <c r="O540" s="20">
        <f>IF(G540="","",Settings!$B$6*IF(OR(F540="GOC",F540="OWC",F540="GWC"),1,0.7)+Settings!$B$7*IF(N540="Supports",1,IF(N540="Conflicts",0,0.5))+Settings!$B$8*IF(AND(Master_Data!R540&lt;&gt;"",Master_Data!S540&lt;&gt;"",Master_Data!R541&lt;&gt;"",Master_Data!S541&lt;&gt;""),1,0.5))</f>
        <v/>
      </c>
      <c r="P540" s="19">
        <f>IF(G540="","",IF(N540="Conflicts","SW_CONFLICT",IF(OR(F540="GOC",F540="OWC",F540="GWC"),"DIRECT_FLUID_TRANSITION","TRANSITION_INTERVAL")))</f>
        <v/>
      </c>
      <c r="Q540" s="19">
        <f>IF(G540="","",IF(N540="Conflicts","Investigate contact interpretation / saturation behaviour",IF(OR(F540="OWC",F540="GOC",F540="GWC"),"Candidate contact — validate with logs, pressure and dynamic evidence","Transition zone — do not force to a sharp contact")))</f>
        <v/>
      </c>
    </row>
    <row r="541">
      <c r="A541" s="19">
        <f>IF(AND(Master_Data!A541&lt;&gt;"",Master_Data!A541=Master_Data!A542),Master_Data!A541,"")</f>
        <v/>
      </c>
      <c r="B541" s="19">
        <f>IF($A541="","",Master_Data!B541)</f>
        <v/>
      </c>
      <c r="C541" s="19">
        <f>IF($A541="","",Master_Data!B542)</f>
        <v/>
      </c>
      <c r="D541" s="19">
        <f>IF($A541="","",Master_Data!Q541)</f>
        <v/>
      </c>
      <c r="E541" s="19">
        <f>IF($A541="","",Master_Data!Q542)</f>
        <v/>
      </c>
      <c r="F541" s="19">
        <f>IF($A541="","",IF(AND(D541="GAS",E541="OIL"),"GOC",IF(AND(D541="OIL",E541="WATER"),"OWC",IF(AND(D541="GAS",E541="WATER"),"GWC",IF(AND(D541="OIL",E541="OIL_WATER"),"OWC_TRANSITION",IF(AND(D541="OIL_WATER",E541="WATER"),"OWC_TRANSITION",IF(AND(D541="GAS",E541="GAS_WATER"),"GOC_TRANSITION",IF(AND(D541="GAS_WATER",E541="OIL"),"GOC_TRANSITION",IF(OR(D541="OIL_WATER",D541="GAS_WATER"),"TRANSITION_INTERVAL","")))))))))</f>
        <v/>
      </c>
      <c r="G541" s="20">
        <f>IF(OR(F541="",Master_Data!R541="",Master_Data!S541=""),"",IF(RIGHT(F541,10)="TRANSITION",AVERAGE(Master_Data!R541:Master_Data!S541),AVERAGE(Master_Data!S541,Master_Data!R542)))</f>
        <v/>
      </c>
      <c r="H541" s="20">
        <f>IF(G541="","",MAX(Settings!$B$4,Settings!$B$5*AVERAGE(IF(Master_Data!O541&lt;&gt;"",Master_Data!O541,Master_Data!H541),IF(Master_Data!O542&lt;&gt;"",Master_Data!O542,Master_Data!H542))))</f>
        <v/>
      </c>
      <c r="I541" s="20">
        <f>IF(G541="","",G541-H541)</f>
        <v/>
      </c>
      <c r="J541" s="20">
        <f>IF(G541="","",G541+H541)</f>
        <v/>
      </c>
      <c r="K541" s="20">
        <f>IF($A541="","",Master_Data!G541)</f>
        <v/>
      </c>
      <c r="L541" s="20">
        <f>IF($A541="","",Master_Data!G542)</f>
        <v/>
      </c>
      <c r="M541" s="20">
        <f>IF(AND(ISNUMBER(K541),ISNUMBER(L541)),L541-K541,"")</f>
        <v/>
      </c>
      <c r="N541" s="19">
        <f>IF(G541="","",IF(AND(ISNUMBER(K541),ISNUMBER(L541)),IF(OR(F541="GOC",F541="OWC",F541="GWC",F541="OWC_TRANSITION",F541="GOC_TRANSITION"),IF(L541&gt;=K541,"Supports","Conflicts"),"N/A"),"No Sw"))</f>
        <v/>
      </c>
      <c r="O541" s="20">
        <f>IF(G541="","",Settings!$B$6*IF(OR(F541="GOC",F541="OWC",F541="GWC"),1,0.7)+Settings!$B$7*IF(N541="Supports",1,IF(N541="Conflicts",0,0.5))+Settings!$B$8*IF(AND(Master_Data!R541&lt;&gt;"",Master_Data!S541&lt;&gt;"",Master_Data!R542&lt;&gt;"",Master_Data!S542&lt;&gt;""),1,0.5))</f>
        <v/>
      </c>
      <c r="P541" s="19">
        <f>IF(G541="","",IF(N541="Conflicts","SW_CONFLICT",IF(OR(F541="GOC",F541="OWC",F541="GWC"),"DIRECT_FLUID_TRANSITION","TRANSITION_INTERVAL")))</f>
        <v/>
      </c>
      <c r="Q541" s="19">
        <f>IF(G541="","",IF(N541="Conflicts","Investigate contact interpretation / saturation behaviour",IF(OR(F541="OWC",F541="GOC",F541="GWC"),"Candidate contact — validate with logs, pressure and dynamic evidence","Transition zone — do not force to a sharp contact")))</f>
        <v/>
      </c>
    </row>
    <row r="542">
      <c r="A542" s="19">
        <f>IF(AND(Master_Data!A542&lt;&gt;"",Master_Data!A542=Master_Data!A543),Master_Data!A542,"")</f>
        <v/>
      </c>
      <c r="B542" s="19">
        <f>IF($A542="","",Master_Data!B542)</f>
        <v/>
      </c>
      <c r="C542" s="19">
        <f>IF($A542="","",Master_Data!B543)</f>
        <v/>
      </c>
      <c r="D542" s="19">
        <f>IF($A542="","",Master_Data!Q542)</f>
        <v/>
      </c>
      <c r="E542" s="19">
        <f>IF($A542="","",Master_Data!Q543)</f>
        <v/>
      </c>
      <c r="F542" s="19">
        <f>IF($A542="","",IF(AND(D542="GAS",E542="OIL"),"GOC",IF(AND(D542="OIL",E542="WATER"),"OWC",IF(AND(D542="GAS",E542="WATER"),"GWC",IF(AND(D542="OIL",E542="OIL_WATER"),"OWC_TRANSITION",IF(AND(D542="OIL_WATER",E542="WATER"),"OWC_TRANSITION",IF(AND(D542="GAS",E542="GAS_WATER"),"GOC_TRANSITION",IF(AND(D542="GAS_WATER",E542="OIL"),"GOC_TRANSITION",IF(OR(D542="OIL_WATER",D542="GAS_WATER"),"TRANSITION_INTERVAL","")))))))))</f>
        <v/>
      </c>
      <c r="G542" s="20">
        <f>IF(OR(F542="",Master_Data!R542="",Master_Data!S542=""),"",IF(RIGHT(F542,10)="TRANSITION",AVERAGE(Master_Data!R542:Master_Data!S542),AVERAGE(Master_Data!S542,Master_Data!R543)))</f>
        <v/>
      </c>
      <c r="H542" s="20">
        <f>IF(G542="","",MAX(Settings!$B$4,Settings!$B$5*AVERAGE(IF(Master_Data!O542&lt;&gt;"",Master_Data!O542,Master_Data!H542),IF(Master_Data!O543&lt;&gt;"",Master_Data!O543,Master_Data!H543))))</f>
        <v/>
      </c>
      <c r="I542" s="20">
        <f>IF(G542="","",G542-H542)</f>
        <v/>
      </c>
      <c r="J542" s="20">
        <f>IF(G542="","",G542+H542)</f>
        <v/>
      </c>
      <c r="K542" s="20">
        <f>IF($A542="","",Master_Data!G542)</f>
        <v/>
      </c>
      <c r="L542" s="20">
        <f>IF($A542="","",Master_Data!G543)</f>
        <v/>
      </c>
      <c r="M542" s="20">
        <f>IF(AND(ISNUMBER(K542),ISNUMBER(L542)),L542-K542,"")</f>
        <v/>
      </c>
      <c r="N542" s="19">
        <f>IF(G542="","",IF(AND(ISNUMBER(K542),ISNUMBER(L542)),IF(OR(F542="GOC",F542="OWC",F542="GWC",F542="OWC_TRANSITION",F542="GOC_TRANSITION"),IF(L542&gt;=K542,"Supports","Conflicts"),"N/A"),"No Sw"))</f>
        <v/>
      </c>
      <c r="O542" s="20">
        <f>IF(G542="","",Settings!$B$6*IF(OR(F542="GOC",F542="OWC",F542="GWC"),1,0.7)+Settings!$B$7*IF(N542="Supports",1,IF(N542="Conflicts",0,0.5))+Settings!$B$8*IF(AND(Master_Data!R542&lt;&gt;"",Master_Data!S542&lt;&gt;"",Master_Data!R543&lt;&gt;"",Master_Data!S543&lt;&gt;""),1,0.5))</f>
        <v/>
      </c>
      <c r="P542" s="19">
        <f>IF(G542="","",IF(N542="Conflicts","SW_CONFLICT",IF(OR(F542="GOC",F542="OWC",F542="GWC"),"DIRECT_FLUID_TRANSITION","TRANSITION_INTERVAL")))</f>
        <v/>
      </c>
      <c r="Q542" s="19">
        <f>IF(G542="","",IF(N542="Conflicts","Investigate contact interpretation / saturation behaviour",IF(OR(F542="OWC",F542="GOC",F542="GWC"),"Candidate contact — validate with logs, pressure and dynamic evidence","Transition zone — do not force to a sharp contact")))</f>
        <v/>
      </c>
    </row>
    <row r="543">
      <c r="A543" s="19">
        <f>IF(AND(Master_Data!A543&lt;&gt;"",Master_Data!A543=Master_Data!A544),Master_Data!A543,"")</f>
        <v/>
      </c>
      <c r="B543" s="19">
        <f>IF($A543="","",Master_Data!B543)</f>
        <v/>
      </c>
      <c r="C543" s="19">
        <f>IF($A543="","",Master_Data!B544)</f>
        <v/>
      </c>
      <c r="D543" s="19">
        <f>IF($A543="","",Master_Data!Q543)</f>
        <v/>
      </c>
      <c r="E543" s="19">
        <f>IF($A543="","",Master_Data!Q544)</f>
        <v/>
      </c>
      <c r="F543" s="19">
        <f>IF($A543="","",IF(AND(D543="GAS",E543="OIL"),"GOC",IF(AND(D543="OIL",E543="WATER"),"OWC",IF(AND(D543="GAS",E543="WATER"),"GWC",IF(AND(D543="OIL",E543="OIL_WATER"),"OWC_TRANSITION",IF(AND(D543="OIL_WATER",E543="WATER"),"OWC_TRANSITION",IF(AND(D543="GAS",E543="GAS_WATER"),"GOC_TRANSITION",IF(AND(D543="GAS_WATER",E543="OIL"),"GOC_TRANSITION",IF(OR(D543="OIL_WATER",D543="GAS_WATER"),"TRANSITION_INTERVAL","")))))))))</f>
        <v/>
      </c>
      <c r="G543" s="20">
        <f>IF(OR(F543="",Master_Data!R543="",Master_Data!S543=""),"",IF(RIGHT(F543,10)="TRANSITION",AVERAGE(Master_Data!R543:Master_Data!S543),AVERAGE(Master_Data!S543,Master_Data!R544)))</f>
        <v/>
      </c>
      <c r="H543" s="20">
        <f>IF(G543="","",MAX(Settings!$B$4,Settings!$B$5*AVERAGE(IF(Master_Data!O543&lt;&gt;"",Master_Data!O543,Master_Data!H543),IF(Master_Data!O544&lt;&gt;"",Master_Data!O544,Master_Data!H544))))</f>
        <v/>
      </c>
      <c r="I543" s="20">
        <f>IF(G543="","",G543-H543)</f>
        <v/>
      </c>
      <c r="J543" s="20">
        <f>IF(G543="","",G543+H543)</f>
        <v/>
      </c>
      <c r="K543" s="20">
        <f>IF($A543="","",Master_Data!G543)</f>
        <v/>
      </c>
      <c r="L543" s="20">
        <f>IF($A543="","",Master_Data!G544)</f>
        <v/>
      </c>
      <c r="M543" s="20">
        <f>IF(AND(ISNUMBER(K543),ISNUMBER(L543)),L543-K543,"")</f>
        <v/>
      </c>
      <c r="N543" s="19">
        <f>IF(G543="","",IF(AND(ISNUMBER(K543),ISNUMBER(L543)),IF(OR(F543="GOC",F543="OWC",F543="GWC",F543="OWC_TRANSITION",F543="GOC_TRANSITION"),IF(L543&gt;=K543,"Supports","Conflicts"),"N/A"),"No Sw"))</f>
        <v/>
      </c>
      <c r="O543" s="20">
        <f>IF(G543="","",Settings!$B$6*IF(OR(F543="GOC",F543="OWC",F543="GWC"),1,0.7)+Settings!$B$7*IF(N543="Supports",1,IF(N543="Conflicts",0,0.5))+Settings!$B$8*IF(AND(Master_Data!R543&lt;&gt;"",Master_Data!S543&lt;&gt;"",Master_Data!R544&lt;&gt;"",Master_Data!S544&lt;&gt;""),1,0.5))</f>
        <v/>
      </c>
      <c r="P543" s="19">
        <f>IF(G543="","",IF(N543="Conflicts","SW_CONFLICT",IF(OR(F543="GOC",F543="OWC",F543="GWC"),"DIRECT_FLUID_TRANSITION","TRANSITION_INTERVAL")))</f>
        <v/>
      </c>
      <c r="Q543" s="19">
        <f>IF(G543="","",IF(N543="Conflicts","Investigate contact interpretation / saturation behaviour",IF(OR(F543="OWC",F543="GOC",F543="GWC"),"Candidate contact — validate with logs, pressure and dynamic evidence","Transition zone — do not force to a sharp contact")))</f>
        <v/>
      </c>
    </row>
    <row r="544">
      <c r="A544" s="19">
        <f>IF(AND(Master_Data!A544&lt;&gt;"",Master_Data!A544=Master_Data!A545),Master_Data!A544,"")</f>
        <v/>
      </c>
      <c r="B544" s="19">
        <f>IF($A544="","",Master_Data!B544)</f>
        <v/>
      </c>
      <c r="C544" s="19">
        <f>IF($A544="","",Master_Data!B545)</f>
        <v/>
      </c>
      <c r="D544" s="19">
        <f>IF($A544="","",Master_Data!Q544)</f>
        <v/>
      </c>
      <c r="E544" s="19">
        <f>IF($A544="","",Master_Data!Q545)</f>
        <v/>
      </c>
      <c r="F544" s="19">
        <f>IF($A544="","",IF(AND(D544="GAS",E544="OIL"),"GOC",IF(AND(D544="OIL",E544="WATER"),"OWC",IF(AND(D544="GAS",E544="WATER"),"GWC",IF(AND(D544="OIL",E544="OIL_WATER"),"OWC_TRANSITION",IF(AND(D544="OIL_WATER",E544="WATER"),"OWC_TRANSITION",IF(AND(D544="GAS",E544="GAS_WATER"),"GOC_TRANSITION",IF(AND(D544="GAS_WATER",E544="OIL"),"GOC_TRANSITION",IF(OR(D544="OIL_WATER",D544="GAS_WATER"),"TRANSITION_INTERVAL","")))))))))</f>
        <v/>
      </c>
      <c r="G544" s="20">
        <f>IF(OR(F544="",Master_Data!R544="",Master_Data!S544=""),"",IF(RIGHT(F544,10)="TRANSITION",AVERAGE(Master_Data!R544:Master_Data!S544),AVERAGE(Master_Data!S544,Master_Data!R545)))</f>
        <v/>
      </c>
      <c r="H544" s="20">
        <f>IF(G544="","",MAX(Settings!$B$4,Settings!$B$5*AVERAGE(IF(Master_Data!O544&lt;&gt;"",Master_Data!O544,Master_Data!H544),IF(Master_Data!O545&lt;&gt;"",Master_Data!O545,Master_Data!H545))))</f>
        <v/>
      </c>
      <c r="I544" s="20">
        <f>IF(G544="","",G544-H544)</f>
        <v/>
      </c>
      <c r="J544" s="20">
        <f>IF(G544="","",G544+H544)</f>
        <v/>
      </c>
      <c r="K544" s="20">
        <f>IF($A544="","",Master_Data!G544)</f>
        <v/>
      </c>
      <c r="L544" s="20">
        <f>IF($A544="","",Master_Data!G545)</f>
        <v/>
      </c>
      <c r="M544" s="20">
        <f>IF(AND(ISNUMBER(K544),ISNUMBER(L544)),L544-K544,"")</f>
        <v/>
      </c>
      <c r="N544" s="19">
        <f>IF(G544="","",IF(AND(ISNUMBER(K544),ISNUMBER(L544)),IF(OR(F544="GOC",F544="OWC",F544="GWC",F544="OWC_TRANSITION",F544="GOC_TRANSITION"),IF(L544&gt;=K544,"Supports","Conflicts"),"N/A"),"No Sw"))</f>
        <v/>
      </c>
      <c r="O544" s="20">
        <f>IF(G544="","",Settings!$B$6*IF(OR(F544="GOC",F544="OWC",F544="GWC"),1,0.7)+Settings!$B$7*IF(N544="Supports",1,IF(N544="Conflicts",0,0.5))+Settings!$B$8*IF(AND(Master_Data!R544&lt;&gt;"",Master_Data!S544&lt;&gt;"",Master_Data!R545&lt;&gt;"",Master_Data!S545&lt;&gt;""),1,0.5))</f>
        <v/>
      </c>
      <c r="P544" s="19">
        <f>IF(G544="","",IF(N544="Conflicts","SW_CONFLICT",IF(OR(F544="GOC",F544="OWC",F544="GWC"),"DIRECT_FLUID_TRANSITION","TRANSITION_INTERVAL")))</f>
        <v/>
      </c>
      <c r="Q544" s="19">
        <f>IF(G544="","",IF(N544="Conflicts","Investigate contact interpretation / saturation behaviour",IF(OR(F544="OWC",F544="GOC",F544="GWC"),"Candidate contact — validate with logs, pressure and dynamic evidence","Transition zone — do not force to a sharp contact")))</f>
        <v/>
      </c>
    </row>
    <row r="545">
      <c r="A545" s="19">
        <f>IF(AND(Master_Data!A545&lt;&gt;"",Master_Data!A545=Master_Data!A546),Master_Data!A545,"")</f>
        <v/>
      </c>
      <c r="B545" s="19">
        <f>IF($A545="","",Master_Data!B545)</f>
        <v/>
      </c>
      <c r="C545" s="19">
        <f>IF($A545="","",Master_Data!B546)</f>
        <v/>
      </c>
      <c r="D545" s="19">
        <f>IF($A545="","",Master_Data!Q545)</f>
        <v/>
      </c>
      <c r="E545" s="19">
        <f>IF($A545="","",Master_Data!Q546)</f>
        <v/>
      </c>
      <c r="F545" s="19">
        <f>IF($A545="","",IF(AND(D545="GAS",E545="OIL"),"GOC",IF(AND(D545="OIL",E545="WATER"),"OWC",IF(AND(D545="GAS",E545="WATER"),"GWC",IF(AND(D545="OIL",E545="OIL_WATER"),"OWC_TRANSITION",IF(AND(D545="OIL_WATER",E545="WATER"),"OWC_TRANSITION",IF(AND(D545="GAS",E545="GAS_WATER"),"GOC_TRANSITION",IF(AND(D545="GAS_WATER",E545="OIL"),"GOC_TRANSITION",IF(OR(D545="OIL_WATER",D545="GAS_WATER"),"TRANSITION_INTERVAL","")))))))))</f>
        <v/>
      </c>
      <c r="G545" s="20">
        <f>IF(OR(F545="",Master_Data!R545="",Master_Data!S545=""),"",IF(RIGHT(F545,10)="TRANSITION",AVERAGE(Master_Data!R545:Master_Data!S545),AVERAGE(Master_Data!S545,Master_Data!R546)))</f>
        <v/>
      </c>
      <c r="H545" s="20">
        <f>IF(G545="","",MAX(Settings!$B$4,Settings!$B$5*AVERAGE(IF(Master_Data!O545&lt;&gt;"",Master_Data!O545,Master_Data!H545),IF(Master_Data!O546&lt;&gt;"",Master_Data!O546,Master_Data!H546))))</f>
        <v/>
      </c>
      <c r="I545" s="20">
        <f>IF(G545="","",G545-H545)</f>
        <v/>
      </c>
      <c r="J545" s="20">
        <f>IF(G545="","",G545+H545)</f>
        <v/>
      </c>
      <c r="K545" s="20">
        <f>IF($A545="","",Master_Data!G545)</f>
        <v/>
      </c>
      <c r="L545" s="20">
        <f>IF($A545="","",Master_Data!G546)</f>
        <v/>
      </c>
      <c r="M545" s="20">
        <f>IF(AND(ISNUMBER(K545),ISNUMBER(L545)),L545-K545,"")</f>
        <v/>
      </c>
      <c r="N545" s="19">
        <f>IF(G545="","",IF(AND(ISNUMBER(K545),ISNUMBER(L545)),IF(OR(F545="GOC",F545="OWC",F545="GWC",F545="OWC_TRANSITION",F545="GOC_TRANSITION"),IF(L545&gt;=K545,"Supports","Conflicts"),"N/A"),"No Sw"))</f>
        <v/>
      </c>
      <c r="O545" s="20">
        <f>IF(G545="","",Settings!$B$6*IF(OR(F545="GOC",F545="OWC",F545="GWC"),1,0.7)+Settings!$B$7*IF(N545="Supports",1,IF(N545="Conflicts",0,0.5))+Settings!$B$8*IF(AND(Master_Data!R545&lt;&gt;"",Master_Data!S545&lt;&gt;"",Master_Data!R546&lt;&gt;"",Master_Data!S546&lt;&gt;""),1,0.5))</f>
        <v/>
      </c>
      <c r="P545" s="19">
        <f>IF(G545="","",IF(N545="Conflicts","SW_CONFLICT",IF(OR(F545="GOC",F545="OWC",F545="GWC"),"DIRECT_FLUID_TRANSITION","TRANSITION_INTERVAL")))</f>
        <v/>
      </c>
      <c r="Q545" s="19">
        <f>IF(G545="","",IF(N545="Conflicts","Investigate contact interpretation / saturation behaviour",IF(OR(F545="OWC",F545="GOC",F545="GWC"),"Candidate contact — validate with logs, pressure and dynamic evidence","Transition zone — do not force to a sharp contact")))</f>
        <v/>
      </c>
    </row>
    <row r="546">
      <c r="A546" s="19">
        <f>IF(AND(Master_Data!A546&lt;&gt;"",Master_Data!A546=Master_Data!A547),Master_Data!A546,"")</f>
        <v/>
      </c>
      <c r="B546" s="19">
        <f>IF($A546="","",Master_Data!B546)</f>
        <v/>
      </c>
      <c r="C546" s="19">
        <f>IF($A546="","",Master_Data!B547)</f>
        <v/>
      </c>
      <c r="D546" s="19">
        <f>IF($A546="","",Master_Data!Q546)</f>
        <v/>
      </c>
      <c r="E546" s="19">
        <f>IF($A546="","",Master_Data!Q547)</f>
        <v/>
      </c>
      <c r="F546" s="19">
        <f>IF($A546="","",IF(AND(D546="GAS",E546="OIL"),"GOC",IF(AND(D546="OIL",E546="WATER"),"OWC",IF(AND(D546="GAS",E546="WATER"),"GWC",IF(AND(D546="OIL",E546="OIL_WATER"),"OWC_TRANSITION",IF(AND(D546="OIL_WATER",E546="WATER"),"OWC_TRANSITION",IF(AND(D546="GAS",E546="GAS_WATER"),"GOC_TRANSITION",IF(AND(D546="GAS_WATER",E546="OIL"),"GOC_TRANSITION",IF(OR(D546="OIL_WATER",D546="GAS_WATER"),"TRANSITION_INTERVAL","")))))))))</f>
        <v/>
      </c>
      <c r="G546" s="20">
        <f>IF(OR(F546="",Master_Data!R546="",Master_Data!S546=""),"",IF(RIGHT(F546,10)="TRANSITION",AVERAGE(Master_Data!R546:Master_Data!S546),AVERAGE(Master_Data!S546,Master_Data!R547)))</f>
        <v/>
      </c>
      <c r="H546" s="20">
        <f>IF(G546="","",MAX(Settings!$B$4,Settings!$B$5*AVERAGE(IF(Master_Data!O546&lt;&gt;"",Master_Data!O546,Master_Data!H546),IF(Master_Data!O547&lt;&gt;"",Master_Data!O547,Master_Data!H547))))</f>
        <v/>
      </c>
      <c r="I546" s="20">
        <f>IF(G546="","",G546-H546)</f>
        <v/>
      </c>
      <c r="J546" s="20">
        <f>IF(G546="","",G546+H546)</f>
        <v/>
      </c>
      <c r="K546" s="20">
        <f>IF($A546="","",Master_Data!G546)</f>
        <v/>
      </c>
      <c r="L546" s="20">
        <f>IF($A546="","",Master_Data!G547)</f>
        <v/>
      </c>
      <c r="M546" s="20">
        <f>IF(AND(ISNUMBER(K546),ISNUMBER(L546)),L546-K546,"")</f>
        <v/>
      </c>
      <c r="N546" s="19">
        <f>IF(G546="","",IF(AND(ISNUMBER(K546),ISNUMBER(L546)),IF(OR(F546="GOC",F546="OWC",F546="GWC",F546="OWC_TRANSITION",F546="GOC_TRANSITION"),IF(L546&gt;=K546,"Supports","Conflicts"),"N/A"),"No Sw"))</f>
        <v/>
      </c>
      <c r="O546" s="20">
        <f>IF(G546="","",Settings!$B$6*IF(OR(F546="GOC",F546="OWC",F546="GWC"),1,0.7)+Settings!$B$7*IF(N546="Supports",1,IF(N546="Conflicts",0,0.5))+Settings!$B$8*IF(AND(Master_Data!R546&lt;&gt;"",Master_Data!S546&lt;&gt;"",Master_Data!R547&lt;&gt;"",Master_Data!S547&lt;&gt;""),1,0.5))</f>
        <v/>
      </c>
      <c r="P546" s="19">
        <f>IF(G546="","",IF(N546="Conflicts","SW_CONFLICT",IF(OR(F546="GOC",F546="OWC",F546="GWC"),"DIRECT_FLUID_TRANSITION","TRANSITION_INTERVAL")))</f>
        <v/>
      </c>
      <c r="Q546" s="19">
        <f>IF(G546="","",IF(N546="Conflicts","Investigate contact interpretation / saturation behaviour",IF(OR(F546="OWC",F546="GOC",F546="GWC"),"Candidate contact — validate with logs, pressure and dynamic evidence","Transition zone — do not force to a sharp contact")))</f>
        <v/>
      </c>
    </row>
    <row r="547">
      <c r="A547" s="19">
        <f>IF(AND(Master_Data!A547&lt;&gt;"",Master_Data!A547=Master_Data!A548),Master_Data!A547,"")</f>
        <v/>
      </c>
      <c r="B547" s="19">
        <f>IF($A547="","",Master_Data!B547)</f>
        <v/>
      </c>
      <c r="C547" s="19">
        <f>IF($A547="","",Master_Data!B548)</f>
        <v/>
      </c>
      <c r="D547" s="19">
        <f>IF($A547="","",Master_Data!Q547)</f>
        <v/>
      </c>
      <c r="E547" s="19">
        <f>IF($A547="","",Master_Data!Q548)</f>
        <v/>
      </c>
      <c r="F547" s="19">
        <f>IF($A547="","",IF(AND(D547="GAS",E547="OIL"),"GOC",IF(AND(D547="OIL",E547="WATER"),"OWC",IF(AND(D547="GAS",E547="WATER"),"GWC",IF(AND(D547="OIL",E547="OIL_WATER"),"OWC_TRANSITION",IF(AND(D547="OIL_WATER",E547="WATER"),"OWC_TRANSITION",IF(AND(D547="GAS",E547="GAS_WATER"),"GOC_TRANSITION",IF(AND(D547="GAS_WATER",E547="OIL"),"GOC_TRANSITION",IF(OR(D547="OIL_WATER",D547="GAS_WATER"),"TRANSITION_INTERVAL","")))))))))</f>
        <v/>
      </c>
      <c r="G547" s="20">
        <f>IF(OR(F547="",Master_Data!R547="",Master_Data!S547=""),"",IF(RIGHT(F547,10)="TRANSITION",AVERAGE(Master_Data!R547:Master_Data!S547),AVERAGE(Master_Data!S547,Master_Data!R548)))</f>
        <v/>
      </c>
      <c r="H547" s="20">
        <f>IF(G547="","",MAX(Settings!$B$4,Settings!$B$5*AVERAGE(IF(Master_Data!O547&lt;&gt;"",Master_Data!O547,Master_Data!H547),IF(Master_Data!O548&lt;&gt;"",Master_Data!O548,Master_Data!H548))))</f>
        <v/>
      </c>
      <c r="I547" s="20">
        <f>IF(G547="","",G547-H547)</f>
        <v/>
      </c>
      <c r="J547" s="20">
        <f>IF(G547="","",G547+H547)</f>
        <v/>
      </c>
      <c r="K547" s="20">
        <f>IF($A547="","",Master_Data!G547)</f>
        <v/>
      </c>
      <c r="L547" s="20">
        <f>IF($A547="","",Master_Data!G548)</f>
        <v/>
      </c>
      <c r="M547" s="20">
        <f>IF(AND(ISNUMBER(K547),ISNUMBER(L547)),L547-K547,"")</f>
        <v/>
      </c>
      <c r="N547" s="19">
        <f>IF(G547="","",IF(AND(ISNUMBER(K547),ISNUMBER(L547)),IF(OR(F547="GOC",F547="OWC",F547="GWC",F547="OWC_TRANSITION",F547="GOC_TRANSITION"),IF(L547&gt;=K547,"Supports","Conflicts"),"N/A"),"No Sw"))</f>
        <v/>
      </c>
      <c r="O547" s="20">
        <f>IF(G547="","",Settings!$B$6*IF(OR(F547="GOC",F547="OWC",F547="GWC"),1,0.7)+Settings!$B$7*IF(N547="Supports",1,IF(N547="Conflicts",0,0.5))+Settings!$B$8*IF(AND(Master_Data!R547&lt;&gt;"",Master_Data!S547&lt;&gt;"",Master_Data!R548&lt;&gt;"",Master_Data!S548&lt;&gt;""),1,0.5))</f>
        <v/>
      </c>
      <c r="P547" s="19">
        <f>IF(G547="","",IF(N547="Conflicts","SW_CONFLICT",IF(OR(F547="GOC",F547="OWC",F547="GWC"),"DIRECT_FLUID_TRANSITION","TRANSITION_INTERVAL")))</f>
        <v/>
      </c>
      <c r="Q547" s="19">
        <f>IF(G547="","",IF(N547="Conflicts","Investigate contact interpretation / saturation behaviour",IF(OR(F547="OWC",F547="GOC",F547="GWC"),"Candidate contact — validate with logs, pressure and dynamic evidence","Transition zone — do not force to a sharp contact")))</f>
        <v/>
      </c>
    </row>
    <row r="548">
      <c r="A548" s="19">
        <f>IF(AND(Master_Data!A548&lt;&gt;"",Master_Data!A548=Master_Data!A549),Master_Data!A548,"")</f>
        <v/>
      </c>
      <c r="B548" s="19">
        <f>IF($A548="","",Master_Data!B548)</f>
        <v/>
      </c>
      <c r="C548" s="19">
        <f>IF($A548="","",Master_Data!B549)</f>
        <v/>
      </c>
      <c r="D548" s="19">
        <f>IF($A548="","",Master_Data!Q548)</f>
        <v/>
      </c>
      <c r="E548" s="19">
        <f>IF($A548="","",Master_Data!Q549)</f>
        <v/>
      </c>
      <c r="F548" s="19">
        <f>IF($A548="","",IF(AND(D548="GAS",E548="OIL"),"GOC",IF(AND(D548="OIL",E548="WATER"),"OWC",IF(AND(D548="GAS",E548="WATER"),"GWC",IF(AND(D548="OIL",E548="OIL_WATER"),"OWC_TRANSITION",IF(AND(D548="OIL_WATER",E548="WATER"),"OWC_TRANSITION",IF(AND(D548="GAS",E548="GAS_WATER"),"GOC_TRANSITION",IF(AND(D548="GAS_WATER",E548="OIL"),"GOC_TRANSITION",IF(OR(D548="OIL_WATER",D548="GAS_WATER"),"TRANSITION_INTERVAL","")))))))))</f>
        <v/>
      </c>
      <c r="G548" s="20">
        <f>IF(OR(F548="",Master_Data!R548="",Master_Data!S548=""),"",IF(RIGHT(F548,10)="TRANSITION",AVERAGE(Master_Data!R548:Master_Data!S548),AVERAGE(Master_Data!S548,Master_Data!R549)))</f>
        <v/>
      </c>
      <c r="H548" s="20">
        <f>IF(G548="","",MAX(Settings!$B$4,Settings!$B$5*AVERAGE(IF(Master_Data!O548&lt;&gt;"",Master_Data!O548,Master_Data!H548),IF(Master_Data!O549&lt;&gt;"",Master_Data!O549,Master_Data!H549))))</f>
        <v/>
      </c>
      <c r="I548" s="20">
        <f>IF(G548="","",G548-H548)</f>
        <v/>
      </c>
      <c r="J548" s="20">
        <f>IF(G548="","",G548+H548)</f>
        <v/>
      </c>
      <c r="K548" s="20">
        <f>IF($A548="","",Master_Data!G548)</f>
        <v/>
      </c>
      <c r="L548" s="20">
        <f>IF($A548="","",Master_Data!G549)</f>
        <v/>
      </c>
      <c r="M548" s="20">
        <f>IF(AND(ISNUMBER(K548),ISNUMBER(L548)),L548-K548,"")</f>
        <v/>
      </c>
      <c r="N548" s="19">
        <f>IF(G548="","",IF(AND(ISNUMBER(K548),ISNUMBER(L548)),IF(OR(F548="GOC",F548="OWC",F548="GWC",F548="OWC_TRANSITION",F548="GOC_TRANSITION"),IF(L548&gt;=K548,"Supports","Conflicts"),"N/A"),"No Sw"))</f>
        <v/>
      </c>
      <c r="O548" s="20">
        <f>IF(G548="","",Settings!$B$6*IF(OR(F548="GOC",F548="OWC",F548="GWC"),1,0.7)+Settings!$B$7*IF(N548="Supports",1,IF(N548="Conflicts",0,0.5))+Settings!$B$8*IF(AND(Master_Data!R548&lt;&gt;"",Master_Data!S548&lt;&gt;"",Master_Data!R549&lt;&gt;"",Master_Data!S549&lt;&gt;""),1,0.5))</f>
        <v/>
      </c>
      <c r="P548" s="19">
        <f>IF(G548="","",IF(N548="Conflicts","SW_CONFLICT",IF(OR(F548="GOC",F548="OWC",F548="GWC"),"DIRECT_FLUID_TRANSITION","TRANSITION_INTERVAL")))</f>
        <v/>
      </c>
      <c r="Q548" s="19">
        <f>IF(G548="","",IF(N548="Conflicts","Investigate contact interpretation / saturation behaviour",IF(OR(F548="OWC",F548="GOC",F548="GWC"),"Candidate contact — validate with logs, pressure and dynamic evidence","Transition zone — do not force to a sharp contact")))</f>
        <v/>
      </c>
    </row>
    <row r="549">
      <c r="A549" s="19">
        <f>IF(AND(Master_Data!A549&lt;&gt;"",Master_Data!A549=Master_Data!A550),Master_Data!A549,"")</f>
        <v/>
      </c>
      <c r="B549" s="19">
        <f>IF($A549="","",Master_Data!B549)</f>
        <v/>
      </c>
      <c r="C549" s="19">
        <f>IF($A549="","",Master_Data!B550)</f>
        <v/>
      </c>
      <c r="D549" s="19">
        <f>IF($A549="","",Master_Data!Q549)</f>
        <v/>
      </c>
      <c r="E549" s="19">
        <f>IF($A549="","",Master_Data!Q550)</f>
        <v/>
      </c>
      <c r="F549" s="19">
        <f>IF($A549="","",IF(AND(D549="GAS",E549="OIL"),"GOC",IF(AND(D549="OIL",E549="WATER"),"OWC",IF(AND(D549="GAS",E549="WATER"),"GWC",IF(AND(D549="OIL",E549="OIL_WATER"),"OWC_TRANSITION",IF(AND(D549="OIL_WATER",E549="WATER"),"OWC_TRANSITION",IF(AND(D549="GAS",E549="GAS_WATER"),"GOC_TRANSITION",IF(AND(D549="GAS_WATER",E549="OIL"),"GOC_TRANSITION",IF(OR(D549="OIL_WATER",D549="GAS_WATER"),"TRANSITION_INTERVAL","")))))))))</f>
        <v/>
      </c>
      <c r="G549" s="20">
        <f>IF(OR(F549="",Master_Data!R549="",Master_Data!S549=""),"",IF(RIGHT(F549,10)="TRANSITION",AVERAGE(Master_Data!R549:Master_Data!S549),AVERAGE(Master_Data!S549,Master_Data!R550)))</f>
        <v/>
      </c>
      <c r="H549" s="20">
        <f>IF(G549="","",MAX(Settings!$B$4,Settings!$B$5*AVERAGE(IF(Master_Data!O549&lt;&gt;"",Master_Data!O549,Master_Data!H549),IF(Master_Data!O550&lt;&gt;"",Master_Data!O550,Master_Data!H550))))</f>
        <v/>
      </c>
      <c r="I549" s="20">
        <f>IF(G549="","",G549-H549)</f>
        <v/>
      </c>
      <c r="J549" s="20">
        <f>IF(G549="","",G549+H549)</f>
        <v/>
      </c>
      <c r="K549" s="20">
        <f>IF($A549="","",Master_Data!G549)</f>
        <v/>
      </c>
      <c r="L549" s="20">
        <f>IF($A549="","",Master_Data!G550)</f>
        <v/>
      </c>
      <c r="M549" s="20">
        <f>IF(AND(ISNUMBER(K549),ISNUMBER(L549)),L549-K549,"")</f>
        <v/>
      </c>
      <c r="N549" s="19">
        <f>IF(G549="","",IF(AND(ISNUMBER(K549),ISNUMBER(L549)),IF(OR(F549="GOC",F549="OWC",F549="GWC",F549="OWC_TRANSITION",F549="GOC_TRANSITION"),IF(L549&gt;=K549,"Supports","Conflicts"),"N/A"),"No Sw"))</f>
        <v/>
      </c>
      <c r="O549" s="20">
        <f>IF(G549="","",Settings!$B$6*IF(OR(F549="GOC",F549="OWC",F549="GWC"),1,0.7)+Settings!$B$7*IF(N549="Supports",1,IF(N549="Conflicts",0,0.5))+Settings!$B$8*IF(AND(Master_Data!R549&lt;&gt;"",Master_Data!S549&lt;&gt;"",Master_Data!R550&lt;&gt;"",Master_Data!S550&lt;&gt;""),1,0.5))</f>
        <v/>
      </c>
      <c r="P549" s="19">
        <f>IF(G549="","",IF(N549="Conflicts","SW_CONFLICT",IF(OR(F549="GOC",F549="OWC",F549="GWC"),"DIRECT_FLUID_TRANSITION","TRANSITION_INTERVAL")))</f>
        <v/>
      </c>
      <c r="Q549" s="19">
        <f>IF(G549="","",IF(N549="Conflicts","Investigate contact interpretation / saturation behaviour",IF(OR(F549="OWC",F549="GOC",F549="GWC"),"Candidate contact — validate with logs, pressure and dynamic evidence","Transition zone — do not force to a sharp contact")))</f>
        <v/>
      </c>
    </row>
    <row r="550">
      <c r="A550" s="19">
        <f>IF(AND(Master_Data!A550&lt;&gt;"",Master_Data!A550=Master_Data!A551),Master_Data!A550,"")</f>
        <v/>
      </c>
      <c r="B550" s="19">
        <f>IF($A550="","",Master_Data!B550)</f>
        <v/>
      </c>
      <c r="C550" s="19">
        <f>IF($A550="","",Master_Data!B551)</f>
        <v/>
      </c>
      <c r="D550" s="19">
        <f>IF($A550="","",Master_Data!Q550)</f>
        <v/>
      </c>
      <c r="E550" s="19">
        <f>IF($A550="","",Master_Data!Q551)</f>
        <v/>
      </c>
      <c r="F550" s="19">
        <f>IF($A550="","",IF(AND(D550="GAS",E550="OIL"),"GOC",IF(AND(D550="OIL",E550="WATER"),"OWC",IF(AND(D550="GAS",E550="WATER"),"GWC",IF(AND(D550="OIL",E550="OIL_WATER"),"OWC_TRANSITION",IF(AND(D550="OIL_WATER",E550="WATER"),"OWC_TRANSITION",IF(AND(D550="GAS",E550="GAS_WATER"),"GOC_TRANSITION",IF(AND(D550="GAS_WATER",E550="OIL"),"GOC_TRANSITION",IF(OR(D550="OIL_WATER",D550="GAS_WATER"),"TRANSITION_INTERVAL","")))))))))</f>
        <v/>
      </c>
      <c r="G550" s="20">
        <f>IF(OR(F550="",Master_Data!R550="",Master_Data!S550=""),"",IF(RIGHT(F550,10)="TRANSITION",AVERAGE(Master_Data!R550:Master_Data!S550),AVERAGE(Master_Data!S550,Master_Data!R551)))</f>
        <v/>
      </c>
      <c r="H550" s="20">
        <f>IF(G550="","",MAX(Settings!$B$4,Settings!$B$5*AVERAGE(IF(Master_Data!O550&lt;&gt;"",Master_Data!O550,Master_Data!H550),IF(Master_Data!O551&lt;&gt;"",Master_Data!O551,Master_Data!H551))))</f>
        <v/>
      </c>
      <c r="I550" s="20">
        <f>IF(G550="","",G550-H550)</f>
        <v/>
      </c>
      <c r="J550" s="20">
        <f>IF(G550="","",G550+H550)</f>
        <v/>
      </c>
      <c r="K550" s="20">
        <f>IF($A550="","",Master_Data!G550)</f>
        <v/>
      </c>
      <c r="L550" s="20">
        <f>IF($A550="","",Master_Data!G551)</f>
        <v/>
      </c>
      <c r="M550" s="20">
        <f>IF(AND(ISNUMBER(K550),ISNUMBER(L550)),L550-K550,"")</f>
        <v/>
      </c>
      <c r="N550" s="19">
        <f>IF(G550="","",IF(AND(ISNUMBER(K550),ISNUMBER(L550)),IF(OR(F550="GOC",F550="OWC",F550="GWC",F550="OWC_TRANSITION",F550="GOC_TRANSITION"),IF(L550&gt;=K550,"Supports","Conflicts"),"N/A"),"No Sw"))</f>
        <v/>
      </c>
      <c r="O550" s="20">
        <f>IF(G550="","",Settings!$B$6*IF(OR(F550="GOC",F550="OWC",F550="GWC"),1,0.7)+Settings!$B$7*IF(N550="Supports",1,IF(N550="Conflicts",0,0.5))+Settings!$B$8*IF(AND(Master_Data!R550&lt;&gt;"",Master_Data!S550&lt;&gt;"",Master_Data!R551&lt;&gt;"",Master_Data!S551&lt;&gt;""),1,0.5))</f>
        <v/>
      </c>
      <c r="P550" s="19">
        <f>IF(G550="","",IF(N550="Conflicts","SW_CONFLICT",IF(OR(F550="GOC",F550="OWC",F550="GWC"),"DIRECT_FLUID_TRANSITION","TRANSITION_INTERVAL")))</f>
        <v/>
      </c>
      <c r="Q550" s="19">
        <f>IF(G550="","",IF(N550="Conflicts","Investigate contact interpretation / saturation behaviour",IF(OR(F550="OWC",F550="GOC",F550="GWC"),"Candidate contact — validate with logs, pressure and dynamic evidence","Transition zone — do not force to a sharp contact")))</f>
        <v/>
      </c>
    </row>
    <row r="551">
      <c r="A551" s="19">
        <f>IF(AND(Master_Data!A551&lt;&gt;"",Master_Data!A551=Master_Data!A552),Master_Data!A551,"")</f>
        <v/>
      </c>
      <c r="B551" s="19">
        <f>IF($A551="","",Master_Data!B551)</f>
        <v/>
      </c>
      <c r="C551" s="19">
        <f>IF($A551="","",Master_Data!B552)</f>
        <v/>
      </c>
      <c r="D551" s="19">
        <f>IF($A551="","",Master_Data!Q551)</f>
        <v/>
      </c>
      <c r="E551" s="19">
        <f>IF($A551="","",Master_Data!Q552)</f>
        <v/>
      </c>
      <c r="F551" s="19">
        <f>IF($A551="","",IF(AND(D551="GAS",E551="OIL"),"GOC",IF(AND(D551="OIL",E551="WATER"),"OWC",IF(AND(D551="GAS",E551="WATER"),"GWC",IF(AND(D551="OIL",E551="OIL_WATER"),"OWC_TRANSITION",IF(AND(D551="OIL_WATER",E551="WATER"),"OWC_TRANSITION",IF(AND(D551="GAS",E551="GAS_WATER"),"GOC_TRANSITION",IF(AND(D551="GAS_WATER",E551="OIL"),"GOC_TRANSITION",IF(OR(D551="OIL_WATER",D551="GAS_WATER"),"TRANSITION_INTERVAL","")))))))))</f>
        <v/>
      </c>
      <c r="G551" s="20">
        <f>IF(OR(F551="",Master_Data!R551="",Master_Data!S551=""),"",IF(RIGHT(F551,10)="TRANSITION",AVERAGE(Master_Data!R551:Master_Data!S551),AVERAGE(Master_Data!S551,Master_Data!R552)))</f>
        <v/>
      </c>
      <c r="H551" s="20">
        <f>IF(G551="","",MAX(Settings!$B$4,Settings!$B$5*AVERAGE(IF(Master_Data!O551&lt;&gt;"",Master_Data!O551,Master_Data!H551),IF(Master_Data!O552&lt;&gt;"",Master_Data!O552,Master_Data!H552))))</f>
        <v/>
      </c>
      <c r="I551" s="20">
        <f>IF(G551="","",G551-H551)</f>
        <v/>
      </c>
      <c r="J551" s="20">
        <f>IF(G551="","",G551+H551)</f>
        <v/>
      </c>
      <c r="K551" s="20">
        <f>IF($A551="","",Master_Data!G551)</f>
        <v/>
      </c>
      <c r="L551" s="20">
        <f>IF($A551="","",Master_Data!G552)</f>
        <v/>
      </c>
      <c r="M551" s="20">
        <f>IF(AND(ISNUMBER(K551),ISNUMBER(L551)),L551-K551,"")</f>
        <v/>
      </c>
      <c r="N551" s="19">
        <f>IF(G551="","",IF(AND(ISNUMBER(K551),ISNUMBER(L551)),IF(OR(F551="GOC",F551="OWC",F551="GWC",F551="OWC_TRANSITION",F551="GOC_TRANSITION"),IF(L551&gt;=K551,"Supports","Conflicts"),"N/A"),"No Sw"))</f>
        <v/>
      </c>
      <c r="O551" s="20">
        <f>IF(G551="","",Settings!$B$6*IF(OR(F551="GOC",F551="OWC",F551="GWC"),1,0.7)+Settings!$B$7*IF(N551="Supports",1,IF(N551="Conflicts",0,0.5))+Settings!$B$8*IF(AND(Master_Data!R551&lt;&gt;"",Master_Data!S551&lt;&gt;"",Master_Data!R552&lt;&gt;"",Master_Data!S552&lt;&gt;""),1,0.5))</f>
        <v/>
      </c>
      <c r="P551" s="19">
        <f>IF(G551="","",IF(N551="Conflicts","SW_CONFLICT",IF(OR(F551="GOC",F551="OWC",F551="GWC"),"DIRECT_FLUID_TRANSITION","TRANSITION_INTERVAL")))</f>
        <v/>
      </c>
      <c r="Q551" s="19">
        <f>IF(G551="","",IF(N551="Conflicts","Investigate contact interpretation / saturation behaviour",IF(OR(F551="OWC",F551="GOC",F551="GWC"),"Candidate contact — validate with logs, pressure and dynamic evidence","Transition zone — do not force to a sharp contact")))</f>
        <v/>
      </c>
    </row>
    <row r="552">
      <c r="A552" s="19">
        <f>IF(AND(Master_Data!A552&lt;&gt;"",Master_Data!A552=Master_Data!A553),Master_Data!A552,"")</f>
        <v/>
      </c>
      <c r="B552" s="19">
        <f>IF($A552="","",Master_Data!B552)</f>
        <v/>
      </c>
      <c r="C552" s="19">
        <f>IF($A552="","",Master_Data!B553)</f>
        <v/>
      </c>
      <c r="D552" s="19">
        <f>IF($A552="","",Master_Data!Q552)</f>
        <v/>
      </c>
      <c r="E552" s="19">
        <f>IF($A552="","",Master_Data!Q553)</f>
        <v/>
      </c>
      <c r="F552" s="19">
        <f>IF($A552="","",IF(AND(D552="GAS",E552="OIL"),"GOC",IF(AND(D552="OIL",E552="WATER"),"OWC",IF(AND(D552="GAS",E552="WATER"),"GWC",IF(AND(D552="OIL",E552="OIL_WATER"),"OWC_TRANSITION",IF(AND(D552="OIL_WATER",E552="WATER"),"OWC_TRANSITION",IF(AND(D552="GAS",E552="GAS_WATER"),"GOC_TRANSITION",IF(AND(D552="GAS_WATER",E552="OIL"),"GOC_TRANSITION",IF(OR(D552="OIL_WATER",D552="GAS_WATER"),"TRANSITION_INTERVAL","")))))))))</f>
        <v/>
      </c>
      <c r="G552" s="20">
        <f>IF(OR(F552="",Master_Data!R552="",Master_Data!S552=""),"",IF(RIGHT(F552,10)="TRANSITION",AVERAGE(Master_Data!R552:Master_Data!S552),AVERAGE(Master_Data!S552,Master_Data!R553)))</f>
        <v/>
      </c>
      <c r="H552" s="20">
        <f>IF(G552="","",MAX(Settings!$B$4,Settings!$B$5*AVERAGE(IF(Master_Data!O552&lt;&gt;"",Master_Data!O552,Master_Data!H552),IF(Master_Data!O553&lt;&gt;"",Master_Data!O553,Master_Data!H553))))</f>
        <v/>
      </c>
      <c r="I552" s="20">
        <f>IF(G552="","",G552-H552)</f>
        <v/>
      </c>
      <c r="J552" s="20">
        <f>IF(G552="","",G552+H552)</f>
        <v/>
      </c>
      <c r="K552" s="20">
        <f>IF($A552="","",Master_Data!G552)</f>
        <v/>
      </c>
      <c r="L552" s="20">
        <f>IF($A552="","",Master_Data!G553)</f>
        <v/>
      </c>
      <c r="M552" s="20">
        <f>IF(AND(ISNUMBER(K552),ISNUMBER(L552)),L552-K552,"")</f>
        <v/>
      </c>
      <c r="N552" s="19">
        <f>IF(G552="","",IF(AND(ISNUMBER(K552),ISNUMBER(L552)),IF(OR(F552="GOC",F552="OWC",F552="GWC",F552="OWC_TRANSITION",F552="GOC_TRANSITION"),IF(L552&gt;=K552,"Supports","Conflicts"),"N/A"),"No Sw"))</f>
        <v/>
      </c>
      <c r="O552" s="20">
        <f>IF(G552="","",Settings!$B$6*IF(OR(F552="GOC",F552="OWC",F552="GWC"),1,0.7)+Settings!$B$7*IF(N552="Supports",1,IF(N552="Conflicts",0,0.5))+Settings!$B$8*IF(AND(Master_Data!R552&lt;&gt;"",Master_Data!S552&lt;&gt;"",Master_Data!R553&lt;&gt;"",Master_Data!S553&lt;&gt;""),1,0.5))</f>
        <v/>
      </c>
      <c r="P552" s="19">
        <f>IF(G552="","",IF(N552="Conflicts","SW_CONFLICT",IF(OR(F552="GOC",F552="OWC",F552="GWC"),"DIRECT_FLUID_TRANSITION","TRANSITION_INTERVAL")))</f>
        <v/>
      </c>
      <c r="Q552" s="19">
        <f>IF(G552="","",IF(N552="Conflicts","Investigate contact interpretation / saturation behaviour",IF(OR(F552="OWC",F552="GOC",F552="GWC"),"Candidate contact — validate with logs, pressure and dynamic evidence","Transition zone — do not force to a sharp contact")))</f>
        <v/>
      </c>
    </row>
    <row r="553">
      <c r="A553" s="19">
        <f>IF(AND(Master_Data!A553&lt;&gt;"",Master_Data!A553=Master_Data!A554),Master_Data!A553,"")</f>
        <v/>
      </c>
      <c r="B553" s="19">
        <f>IF($A553="","",Master_Data!B553)</f>
        <v/>
      </c>
      <c r="C553" s="19">
        <f>IF($A553="","",Master_Data!B554)</f>
        <v/>
      </c>
      <c r="D553" s="19">
        <f>IF($A553="","",Master_Data!Q553)</f>
        <v/>
      </c>
      <c r="E553" s="19">
        <f>IF($A553="","",Master_Data!Q554)</f>
        <v/>
      </c>
      <c r="F553" s="19">
        <f>IF($A553="","",IF(AND(D553="GAS",E553="OIL"),"GOC",IF(AND(D553="OIL",E553="WATER"),"OWC",IF(AND(D553="GAS",E553="WATER"),"GWC",IF(AND(D553="OIL",E553="OIL_WATER"),"OWC_TRANSITION",IF(AND(D553="OIL_WATER",E553="WATER"),"OWC_TRANSITION",IF(AND(D553="GAS",E553="GAS_WATER"),"GOC_TRANSITION",IF(AND(D553="GAS_WATER",E553="OIL"),"GOC_TRANSITION",IF(OR(D553="OIL_WATER",D553="GAS_WATER"),"TRANSITION_INTERVAL","")))))))))</f>
        <v/>
      </c>
      <c r="G553" s="20">
        <f>IF(OR(F553="",Master_Data!R553="",Master_Data!S553=""),"",IF(RIGHT(F553,10)="TRANSITION",AVERAGE(Master_Data!R553:Master_Data!S553),AVERAGE(Master_Data!S553,Master_Data!R554)))</f>
        <v/>
      </c>
      <c r="H553" s="20">
        <f>IF(G553="","",MAX(Settings!$B$4,Settings!$B$5*AVERAGE(IF(Master_Data!O553&lt;&gt;"",Master_Data!O553,Master_Data!H553),IF(Master_Data!O554&lt;&gt;"",Master_Data!O554,Master_Data!H554))))</f>
        <v/>
      </c>
      <c r="I553" s="20">
        <f>IF(G553="","",G553-H553)</f>
        <v/>
      </c>
      <c r="J553" s="20">
        <f>IF(G553="","",G553+H553)</f>
        <v/>
      </c>
      <c r="K553" s="20">
        <f>IF($A553="","",Master_Data!G553)</f>
        <v/>
      </c>
      <c r="L553" s="20">
        <f>IF($A553="","",Master_Data!G554)</f>
        <v/>
      </c>
      <c r="M553" s="20">
        <f>IF(AND(ISNUMBER(K553),ISNUMBER(L553)),L553-K553,"")</f>
        <v/>
      </c>
      <c r="N553" s="19">
        <f>IF(G553="","",IF(AND(ISNUMBER(K553),ISNUMBER(L553)),IF(OR(F553="GOC",F553="OWC",F553="GWC",F553="OWC_TRANSITION",F553="GOC_TRANSITION"),IF(L553&gt;=K553,"Supports","Conflicts"),"N/A"),"No Sw"))</f>
        <v/>
      </c>
      <c r="O553" s="20">
        <f>IF(G553="","",Settings!$B$6*IF(OR(F553="GOC",F553="OWC",F553="GWC"),1,0.7)+Settings!$B$7*IF(N553="Supports",1,IF(N553="Conflicts",0,0.5))+Settings!$B$8*IF(AND(Master_Data!R553&lt;&gt;"",Master_Data!S553&lt;&gt;"",Master_Data!R554&lt;&gt;"",Master_Data!S554&lt;&gt;""),1,0.5))</f>
        <v/>
      </c>
      <c r="P553" s="19">
        <f>IF(G553="","",IF(N553="Conflicts","SW_CONFLICT",IF(OR(F553="GOC",F553="OWC",F553="GWC"),"DIRECT_FLUID_TRANSITION","TRANSITION_INTERVAL")))</f>
        <v/>
      </c>
      <c r="Q553" s="19">
        <f>IF(G553="","",IF(N553="Conflicts","Investigate contact interpretation / saturation behaviour",IF(OR(F553="OWC",F553="GOC",F553="GWC"),"Candidate contact — validate with logs, pressure and dynamic evidence","Transition zone — do not force to a sharp contact")))</f>
        <v/>
      </c>
    </row>
    <row r="554">
      <c r="A554" s="19">
        <f>IF(AND(Master_Data!A554&lt;&gt;"",Master_Data!A554=Master_Data!A555),Master_Data!A554,"")</f>
        <v/>
      </c>
      <c r="B554" s="19">
        <f>IF($A554="","",Master_Data!B554)</f>
        <v/>
      </c>
      <c r="C554" s="19">
        <f>IF($A554="","",Master_Data!B555)</f>
        <v/>
      </c>
      <c r="D554" s="19">
        <f>IF($A554="","",Master_Data!Q554)</f>
        <v/>
      </c>
      <c r="E554" s="19">
        <f>IF($A554="","",Master_Data!Q555)</f>
        <v/>
      </c>
      <c r="F554" s="19">
        <f>IF($A554="","",IF(AND(D554="GAS",E554="OIL"),"GOC",IF(AND(D554="OIL",E554="WATER"),"OWC",IF(AND(D554="GAS",E554="WATER"),"GWC",IF(AND(D554="OIL",E554="OIL_WATER"),"OWC_TRANSITION",IF(AND(D554="OIL_WATER",E554="WATER"),"OWC_TRANSITION",IF(AND(D554="GAS",E554="GAS_WATER"),"GOC_TRANSITION",IF(AND(D554="GAS_WATER",E554="OIL"),"GOC_TRANSITION",IF(OR(D554="OIL_WATER",D554="GAS_WATER"),"TRANSITION_INTERVAL","")))))))))</f>
        <v/>
      </c>
      <c r="G554" s="20">
        <f>IF(OR(F554="",Master_Data!R554="",Master_Data!S554=""),"",IF(RIGHT(F554,10)="TRANSITION",AVERAGE(Master_Data!R554:Master_Data!S554),AVERAGE(Master_Data!S554,Master_Data!R555)))</f>
        <v/>
      </c>
      <c r="H554" s="20">
        <f>IF(G554="","",MAX(Settings!$B$4,Settings!$B$5*AVERAGE(IF(Master_Data!O554&lt;&gt;"",Master_Data!O554,Master_Data!H554),IF(Master_Data!O555&lt;&gt;"",Master_Data!O555,Master_Data!H555))))</f>
        <v/>
      </c>
      <c r="I554" s="20">
        <f>IF(G554="","",G554-H554)</f>
        <v/>
      </c>
      <c r="J554" s="20">
        <f>IF(G554="","",G554+H554)</f>
        <v/>
      </c>
      <c r="K554" s="20">
        <f>IF($A554="","",Master_Data!G554)</f>
        <v/>
      </c>
      <c r="L554" s="20">
        <f>IF($A554="","",Master_Data!G555)</f>
        <v/>
      </c>
      <c r="M554" s="20">
        <f>IF(AND(ISNUMBER(K554),ISNUMBER(L554)),L554-K554,"")</f>
        <v/>
      </c>
      <c r="N554" s="19">
        <f>IF(G554="","",IF(AND(ISNUMBER(K554),ISNUMBER(L554)),IF(OR(F554="GOC",F554="OWC",F554="GWC",F554="OWC_TRANSITION",F554="GOC_TRANSITION"),IF(L554&gt;=K554,"Supports","Conflicts"),"N/A"),"No Sw"))</f>
        <v/>
      </c>
      <c r="O554" s="20">
        <f>IF(G554="","",Settings!$B$6*IF(OR(F554="GOC",F554="OWC",F554="GWC"),1,0.7)+Settings!$B$7*IF(N554="Supports",1,IF(N554="Conflicts",0,0.5))+Settings!$B$8*IF(AND(Master_Data!R554&lt;&gt;"",Master_Data!S554&lt;&gt;"",Master_Data!R555&lt;&gt;"",Master_Data!S555&lt;&gt;""),1,0.5))</f>
        <v/>
      </c>
      <c r="P554" s="19">
        <f>IF(G554="","",IF(N554="Conflicts","SW_CONFLICT",IF(OR(F554="GOC",F554="OWC",F554="GWC"),"DIRECT_FLUID_TRANSITION","TRANSITION_INTERVAL")))</f>
        <v/>
      </c>
      <c r="Q554" s="19">
        <f>IF(G554="","",IF(N554="Conflicts","Investigate contact interpretation / saturation behaviour",IF(OR(F554="OWC",F554="GOC",F554="GWC"),"Candidate contact — validate with logs, pressure and dynamic evidence","Transition zone — do not force to a sharp contact")))</f>
        <v/>
      </c>
    </row>
    <row r="555">
      <c r="A555" s="19">
        <f>IF(AND(Master_Data!A555&lt;&gt;"",Master_Data!A555=Master_Data!A556),Master_Data!A555,"")</f>
        <v/>
      </c>
      <c r="B555" s="19">
        <f>IF($A555="","",Master_Data!B555)</f>
        <v/>
      </c>
      <c r="C555" s="19">
        <f>IF($A555="","",Master_Data!B556)</f>
        <v/>
      </c>
      <c r="D555" s="19">
        <f>IF($A555="","",Master_Data!Q555)</f>
        <v/>
      </c>
      <c r="E555" s="19">
        <f>IF($A555="","",Master_Data!Q556)</f>
        <v/>
      </c>
      <c r="F555" s="19">
        <f>IF($A555="","",IF(AND(D555="GAS",E555="OIL"),"GOC",IF(AND(D555="OIL",E555="WATER"),"OWC",IF(AND(D555="GAS",E555="WATER"),"GWC",IF(AND(D555="OIL",E555="OIL_WATER"),"OWC_TRANSITION",IF(AND(D555="OIL_WATER",E555="WATER"),"OWC_TRANSITION",IF(AND(D555="GAS",E555="GAS_WATER"),"GOC_TRANSITION",IF(AND(D555="GAS_WATER",E555="OIL"),"GOC_TRANSITION",IF(OR(D555="OIL_WATER",D555="GAS_WATER"),"TRANSITION_INTERVAL","")))))))))</f>
        <v/>
      </c>
      <c r="G555" s="20">
        <f>IF(OR(F555="",Master_Data!R555="",Master_Data!S555=""),"",IF(RIGHT(F555,10)="TRANSITION",AVERAGE(Master_Data!R555:Master_Data!S555),AVERAGE(Master_Data!S555,Master_Data!R556)))</f>
        <v/>
      </c>
      <c r="H555" s="20">
        <f>IF(G555="","",MAX(Settings!$B$4,Settings!$B$5*AVERAGE(IF(Master_Data!O555&lt;&gt;"",Master_Data!O555,Master_Data!H555),IF(Master_Data!O556&lt;&gt;"",Master_Data!O556,Master_Data!H556))))</f>
        <v/>
      </c>
      <c r="I555" s="20">
        <f>IF(G555="","",G555-H555)</f>
        <v/>
      </c>
      <c r="J555" s="20">
        <f>IF(G555="","",G555+H555)</f>
        <v/>
      </c>
      <c r="K555" s="20">
        <f>IF($A555="","",Master_Data!G555)</f>
        <v/>
      </c>
      <c r="L555" s="20">
        <f>IF($A555="","",Master_Data!G556)</f>
        <v/>
      </c>
      <c r="M555" s="20">
        <f>IF(AND(ISNUMBER(K555),ISNUMBER(L555)),L555-K555,"")</f>
        <v/>
      </c>
      <c r="N555" s="19">
        <f>IF(G555="","",IF(AND(ISNUMBER(K555),ISNUMBER(L555)),IF(OR(F555="GOC",F555="OWC",F555="GWC",F555="OWC_TRANSITION",F555="GOC_TRANSITION"),IF(L555&gt;=K555,"Supports","Conflicts"),"N/A"),"No Sw"))</f>
        <v/>
      </c>
      <c r="O555" s="20">
        <f>IF(G555="","",Settings!$B$6*IF(OR(F555="GOC",F555="OWC",F555="GWC"),1,0.7)+Settings!$B$7*IF(N555="Supports",1,IF(N555="Conflicts",0,0.5))+Settings!$B$8*IF(AND(Master_Data!R555&lt;&gt;"",Master_Data!S555&lt;&gt;"",Master_Data!R556&lt;&gt;"",Master_Data!S556&lt;&gt;""),1,0.5))</f>
        <v/>
      </c>
      <c r="P555" s="19">
        <f>IF(G555="","",IF(N555="Conflicts","SW_CONFLICT",IF(OR(F555="GOC",F555="OWC",F555="GWC"),"DIRECT_FLUID_TRANSITION","TRANSITION_INTERVAL")))</f>
        <v/>
      </c>
      <c r="Q555" s="19">
        <f>IF(G555="","",IF(N555="Conflicts","Investigate contact interpretation / saturation behaviour",IF(OR(F555="OWC",F555="GOC",F555="GWC"),"Candidate contact — validate with logs, pressure and dynamic evidence","Transition zone — do not force to a sharp contact")))</f>
        <v/>
      </c>
    </row>
    <row r="556">
      <c r="A556" s="19">
        <f>IF(AND(Master_Data!A556&lt;&gt;"",Master_Data!A556=Master_Data!A557),Master_Data!A556,"")</f>
        <v/>
      </c>
      <c r="B556" s="19">
        <f>IF($A556="","",Master_Data!B556)</f>
        <v/>
      </c>
      <c r="C556" s="19">
        <f>IF($A556="","",Master_Data!B557)</f>
        <v/>
      </c>
      <c r="D556" s="19">
        <f>IF($A556="","",Master_Data!Q556)</f>
        <v/>
      </c>
      <c r="E556" s="19">
        <f>IF($A556="","",Master_Data!Q557)</f>
        <v/>
      </c>
      <c r="F556" s="19">
        <f>IF($A556="","",IF(AND(D556="GAS",E556="OIL"),"GOC",IF(AND(D556="OIL",E556="WATER"),"OWC",IF(AND(D556="GAS",E556="WATER"),"GWC",IF(AND(D556="OIL",E556="OIL_WATER"),"OWC_TRANSITION",IF(AND(D556="OIL_WATER",E556="WATER"),"OWC_TRANSITION",IF(AND(D556="GAS",E556="GAS_WATER"),"GOC_TRANSITION",IF(AND(D556="GAS_WATER",E556="OIL"),"GOC_TRANSITION",IF(OR(D556="OIL_WATER",D556="GAS_WATER"),"TRANSITION_INTERVAL","")))))))))</f>
        <v/>
      </c>
      <c r="G556" s="20">
        <f>IF(OR(F556="",Master_Data!R556="",Master_Data!S556=""),"",IF(RIGHT(F556,10)="TRANSITION",AVERAGE(Master_Data!R556:Master_Data!S556),AVERAGE(Master_Data!S556,Master_Data!R557)))</f>
        <v/>
      </c>
      <c r="H556" s="20">
        <f>IF(G556="","",MAX(Settings!$B$4,Settings!$B$5*AVERAGE(IF(Master_Data!O556&lt;&gt;"",Master_Data!O556,Master_Data!H556),IF(Master_Data!O557&lt;&gt;"",Master_Data!O557,Master_Data!H557))))</f>
        <v/>
      </c>
      <c r="I556" s="20">
        <f>IF(G556="","",G556-H556)</f>
        <v/>
      </c>
      <c r="J556" s="20">
        <f>IF(G556="","",G556+H556)</f>
        <v/>
      </c>
      <c r="K556" s="20">
        <f>IF($A556="","",Master_Data!G556)</f>
        <v/>
      </c>
      <c r="L556" s="20">
        <f>IF($A556="","",Master_Data!G557)</f>
        <v/>
      </c>
      <c r="M556" s="20">
        <f>IF(AND(ISNUMBER(K556),ISNUMBER(L556)),L556-K556,"")</f>
        <v/>
      </c>
      <c r="N556" s="19">
        <f>IF(G556="","",IF(AND(ISNUMBER(K556),ISNUMBER(L556)),IF(OR(F556="GOC",F556="OWC",F556="GWC",F556="OWC_TRANSITION",F556="GOC_TRANSITION"),IF(L556&gt;=K556,"Supports","Conflicts"),"N/A"),"No Sw"))</f>
        <v/>
      </c>
      <c r="O556" s="20">
        <f>IF(G556="","",Settings!$B$6*IF(OR(F556="GOC",F556="OWC",F556="GWC"),1,0.7)+Settings!$B$7*IF(N556="Supports",1,IF(N556="Conflicts",0,0.5))+Settings!$B$8*IF(AND(Master_Data!R556&lt;&gt;"",Master_Data!S556&lt;&gt;"",Master_Data!R557&lt;&gt;"",Master_Data!S557&lt;&gt;""),1,0.5))</f>
        <v/>
      </c>
      <c r="P556" s="19">
        <f>IF(G556="","",IF(N556="Conflicts","SW_CONFLICT",IF(OR(F556="GOC",F556="OWC",F556="GWC"),"DIRECT_FLUID_TRANSITION","TRANSITION_INTERVAL")))</f>
        <v/>
      </c>
      <c r="Q556" s="19">
        <f>IF(G556="","",IF(N556="Conflicts","Investigate contact interpretation / saturation behaviour",IF(OR(F556="OWC",F556="GOC",F556="GWC"),"Candidate contact — validate with logs, pressure and dynamic evidence","Transition zone — do not force to a sharp contact")))</f>
        <v/>
      </c>
    </row>
    <row r="557">
      <c r="A557" s="19">
        <f>IF(AND(Master_Data!A557&lt;&gt;"",Master_Data!A557=Master_Data!A558),Master_Data!A557,"")</f>
        <v/>
      </c>
      <c r="B557" s="19">
        <f>IF($A557="","",Master_Data!B557)</f>
        <v/>
      </c>
      <c r="C557" s="19">
        <f>IF($A557="","",Master_Data!B558)</f>
        <v/>
      </c>
      <c r="D557" s="19">
        <f>IF($A557="","",Master_Data!Q557)</f>
        <v/>
      </c>
      <c r="E557" s="19">
        <f>IF($A557="","",Master_Data!Q558)</f>
        <v/>
      </c>
      <c r="F557" s="19">
        <f>IF($A557="","",IF(AND(D557="GAS",E557="OIL"),"GOC",IF(AND(D557="OIL",E557="WATER"),"OWC",IF(AND(D557="GAS",E557="WATER"),"GWC",IF(AND(D557="OIL",E557="OIL_WATER"),"OWC_TRANSITION",IF(AND(D557="OIL_WATER",E557="WATER"),"OWC_TRANSITION",IF(AND(D557="GAS",E557="GAS_WATER"),"GOC_TRANSITION",IF(AND(D557="GAS_WATER",E557="OIL"),"GOC_TRANSITION",IF(OR(D557="OIL_WATER",D557="GAS_WATER"),"TRANSITION_INTERVAL","")))))))))</f>
        <v/>
      </c>
      <c r="G557" s="20">
        <f>IF(OR(F557="",Master_Data!R557="",Master_Data!S557=""),"",IF(RIGHT(F557,10)="TRANSITION",AVERAGE(Master_Data!R557:Master_Data!S557),AVERAGE(Master_Data!S557,Master_Data!R558)))</f>
        <v/>
      </c>
      <c r="H557" s="20">
        <f>IF(G557="","",MAX(Settings!$B$4,Settings!$B$5*AVERAGE(IF(Master_Data!O557&lt;&gt;"",Master_Data!O557,Master_Data!H557),IF(Master_Data!O558&lt;&gt;"",Master_Data!O558,Master_Data!H558))))</f>
        <v/>
      </c>
      <c r="I557" s="20">
        <f>IF(G557="","",G557-H557)</f>
        <v/>
      </c>
      <c r="J557" s="20">
        <f>IF(G557="","",G557+H557)</f>
        <v/>
      </c>
      <c r="K557" s="20">
        <f>IF($A557="","",Master_Data!G557)</f>
        <v/>
      </c>
      <c r="L557" s="20">
        <f>IF($A557="","",Master_Data!G558)</f>
        <v/>
      </c>
      <c r="M557" s="20">
        <f>IF(AND(ISNUMBER(K557),ISNUMBER(L557)),L557-K557,"")</f>
        <v/>
      </c>
      <c r="N557" s="19">
        <f>IF(G557="","",IF(AND(ISNUMBER(K557),ISNUMBER(L557)),IF(OR(F557="GOC",F557="OWC",F557="GWC",F557="OWC_TRANSITION",F557="GOC_TRANSITION"),IF(L557&gt;=K557,"Supports","Conflicts"),"N/A"),"No Sw"))</f>
        <v/>
      </c>
      <c r="O557" s="20">
        <f>IF(G557="","",Settings!$B$6*IF(OR(F557="GOC",F557="OWC",F557="GWC"),1,0.7)+Settings!$B$7*IF(N557="Supports",1,IF(N557="Conflicts",0,0.5))+Settings!$B$8*IF(AND(Master_Data!R557&lt;&gt;"",Master_Data!S557&lt;&gt;"",Master_Data!R558&lt;&gt;"",Master_Data!S558&lt;&gt;""),1,0.5))</f>
        <v/>
      </c>
      <c r="P557" s="19">
        <f>IF(G557="","",IF(N557="Conflicts","SW_CONFLICT",IF(OR(F557="GOC",F557="OWC",F557="GWC"),"DIRECT_FLUID_TRANSITION","TRANSITION_INTERVAL")))</f>
        <v/>
      </c>
      <c r="Q557" s="19">
        <f>IF(G557="","",IF(N557="Conflicts","Investigate contact interpretation / saturation behaviour",IF(OR(F557="OWC",F557="GOC",F557="GWC"),"Candidate contact — validate with logs, pressure and dynamic evidence","Transition zone — do not force to a sharp contact")))</f>
        <v/>
      </c>
    </row>
    <row r="558">
      <c r="A558" s="19">
        <f>IF(AND(Master_Data!A558&lt;&gt;"",Master_Data!A558=Master_Data!A559),Master_Data!A558,"")</f>
        <v/>
      </c>
      <c r="B558" s="19">
        <f>IF($A558="","",Master_Data!B558)</f>
        <v/>
      </c>
      <c r="C558" s="19">
        <f>IF($A558="","",Master_Data!B559)</f>
        <v/>
      </c>
      <c r="D558" s="19">
        <f>IF($A558="","",Master_Data!Q558)</f>
        <v/>
      </c>
      <c r="E558" s="19">
        <f>IF($A558="","",Master_Data!Q559)</f>
        <v/>
      </c>
      <c r="F558" s="19">
        <f>IF($A558="","",IF(AND(D558="GAS",E558="OIL"),"GOC",IF(AND(D558="OIL",E558="WATER"),"OWC",IF(AND(D558="GAS",E558="WATER"),"GWC",IF(AND(D558="OIL",E558="OIL_WATER"),"OWC_TRANSITION",IF(AND(D558="OIL_WATER",E558="WATER"),"OWC_TRANSITION",IF(AND(D558="GAS",E558="GAS_WATER"),"GOC_TRANSITION",IF(AND(D558="GAS_WATER",E558="OIL"),"GOC_TRANSITION",IF(OR(D558="OIL_WATER",D558="GAS_WATER"),"TRANSITION_INTERVAL","")))))))))</f>
        <v/>
      </c>
      <c r="G558" s="20">
        <f>IF(OR(F558="",Master_Data!R558="",Master_Data!S558=""),"",IF(RIGHT(F558,10)="TRANSITION",AVERAGE(Master_Data!R558:Master_Data!S558),AVERAGE(Master_Data!S558,Master_Data!R559)))</f>
        <v/>
      </c>
      <c r="H558" s="20">
        <f>IF(G558="","",MAX(Settings!$B$4,Settings!$B$5*AVERAGE(IF(Master_Data!O558&lt;&gt;"",Master_Data!O558,Master_Data!H558),IF(Master_Data!O559&lt;&gt;"",Master_Data!O559,Master_Data!H559))))</f>
        <v/>
      </c>
      <c r="I558" s="20">
        <f>IF(G558="","",G558-H558)</f>
        <v/>
      </c>
      <c r="J558" s="20">
        <f>IF(G558="","",G558+H558)</f>
        <v/>
      </c>
      <c r="K558" s="20">
        <f>IF($A558="","",Master_Data!G558)</f>
        <v/>
      </c>
      <c r="L558" s="20">
        <f>IF($A558="","",Master_Data!G559)</f>
        <v/>
      </c>
      <c r="M558" s="20">
        <f>IF(AND(ISNUMBER(K558),ISNUMBER(L558)),L558-K558,"")</f>
        <v/>
      </c>
      <c r="N558" s="19">
        <f>IF(G558="","",IF(AND(ISNUMBER(K558),ISNUMBER(L558)),IF(OR(F558="GOC",F558="OWC",F558="GWC",F558="OWC_TRANSITION",F558="GOC_TRANSITION"),IF(L558&gt;=K558,"Supports","Conflicts"),"N/A"),"No Sw"))</f>
        <v/>
      </c>
      <c r="O558" s="20">
        <f>IF(G558="","",Settings!$B$6*IF(OR(F558="GOC",F558="OWC",F558="GWC"),1,0.7)+Settings!$B$7*IF(N558="Supports",1,IF(N558="Conflicts",0,0.5))+Settings!$B$8*IF(AND(Master_Data!R558&lt;&gt;"",Master_Data!S558&lt;&gt;"",Master_Data!R559&lt;&gt;"",Master_Data!S559&lt;&gt;""),1,0.5))</f>
        <v/>
      </c>
      <c r="P558" s="19">
        <f>IF(G558="","",IF(N558="Conflicts","SW_CONFLICT",IF(OR(F558="GOC",F558="OWC",F558="GWC"),"DIRECT_FLUID_TRANSITION","TRANSITION_INTERVAL")))</f>
        <v/>
      </c>
      <c r="Q558" s="19">
        <f>IF(G558="","",IF(N558="Conflicts","Investigate contact interpretation / saturation behaviour",IF(OR(F558="OWC",F558="GOC",F558="GWC"),"Candidate contact — validate with logs, pressure and dynamic evidence","Transition zone — do not force to a sharp contact")))</f>
        <v/>
      </c>
    </row>
    <row r="559">
      <c r="A559" s="19">
        <f>IF(AND(Master_Data!A559&lt;&gt;"",Master_Data!A559=Master_Data!A560),Master_Data!A559,"")</f>
        <v/>
      </c>
      <c r="B559" s="19">
        <f>IF($A559="","",Master_Data!B559)</f>
        <v/>
      </c>
      <c r="C559" s="19">
        <f>IF($A559="","",Master_Data!B560)</f>
        <v/>
      </c>
      <c r="D559" s="19">
        <f>IF($A559="","",Master_Data!Q559)</f>
        <v/>
      </c>
      <c r="E559" s="19">
        <f>IF($A559="","",Master_Data!Q560)</f>
        <v/>
      </c>
      <c r="F559" s="19">
        <f>IF($A559="","",IF(AND(D559="GAS",E559="OIL"),"GOC",IF(AND(D559="OIL",E559="WATER"),"OWC",IF(AND(D559="GAS",E559="WATER"),"GWC",IF(AND(D559="OIL",E559="OIL_WATER"),"OWC_TRANSITION",IF(AND(D559="OIL_WATER",E559="WATER"),"OWC_TRANSITION",IF(AND(D559="GAS",E559="GAS_WATER"),"GOC_TRANSITION",IF(AND(D559="GAS_WATER",E559="OIL"),"GOC_TRANSITION",IF(OR(D559="OIL_WATER",D559="GAS_WATER"),"TRANSITION_INTERVAL","")))))))))</f>
        <v/>
      </c>
      <c r="G559" s="20">
        <f>IF(OR(F559="",Master_Data!R559="",Master_Data!S559=""),"",IF(RIGHT(F559,10)="TRANSITION",AVERAGE(Master_Data!R559:Master_Data!S559),AVERAGE(Master_Data!S559,Master_Data!R560)))</f>
        <v/>
      </c>
      <c r="H559" s="20">
        <f>IF(G559="","",MAX(Settings!$B$4,Settings!$B$5*AVERAGE(IF(Master_Data!O559&lt;&gt;"",Master_Data!O559,Master_Data!H559),IF(Master_Data!O560&lt;&gt;"",Master_Data!O560,Master_Data!H560))))</f>
        <v/>
      </c>
      <c r="I559" s="20">
        <f>IF(G559="","",G559-H559)</f>
        <v/>
      </c>
      <c r="J559" s="20">
        <f>IF(G559="","",G559+H559)</f>
        <v/>
      </c>
      <c r="K559" s="20">
        <f>IF($A559="","",Master_Data!G559)</f>
        <v/>
      </c>
      <c r="L559" s="20">
        <f>IF($A559="","",Master_Data!G560)</f>
        <v/>
      </c>
      <c r="M559" s="20">
        <f>IF(AND(ISNUMBER(K559),ISNUMBER(L559)),L559-K559,"")</f>
        <v/>
      </c>
      <c r="N559" s="19">
        <f>IF(G559="","",IF(AND(ISNUMBER(K559),ISNUMBER(L559)),IF(OR(F559="GOC",F559="OWC",F559="GWC",F559="OWC_TRANSITION",F559="GOC_TRANSITION"),IF(L559&gt;=K559,"Supports","Conflicts"),"N/A"),"No Sw"))</f>
        <v/>
      </c>
      <c r="O559" s="20">
        <f>IF(G559="","",Settings!$B$6*IF(OR(F559="GOC",F559="OWC",F559="GWC"),1,0.7)+Settings!$B$7*IF(N559="Supports",1,IF(N559="Conflicts",0,0.5))+Settings!$B$8*IF(AND(Master_Data!R559&lt;&gt;"",Master_Data!S559&lt;&gt;"",Master_Data!R560&lt;&gt;"",Master_Data!S560&lt;&gt;""),1,0.5))</f>
        <v/>
      </c>
      <c r="P559" s="19">
        <f>IF(G559="","",IF(N559="Conflicts","SW_CONFLICT",IF(OR(F559="GOC",F559="OWC",F559="GWC"),"DIRECT_FLUID_TRANSITION","TRANSITION_INTERVAL")))</f>
        <v/>
      </c>
      <c r="Q559" s="19">
        <f>IF(G559="","",IF(N559="Conflicts","Investigate contact interpretation / saturation behaviour",IF(OR(F559="OWC",F559="GOC",F559="GWC"),"Candidate contact — validate with logs, pressure and dynamic evidence","Transition zone — do not force to a sharp contact")))</f>
        <v/>
      </c>
    </row>
    <row r="560">
      <c r="A560" s="19">
        <f>IF(AND(Master_Data!A560&lt;&gt;"",Master_Data!A560=Master_Data!A561),Master_Data!A560,"")</f>
        <v/>
      </c>
      <c r="B560" s="19">
        <f>IF($A560="","",Master_Data!B560)</f>
        <v/>
      </c>
      <c r="C560" s="19">
        <f>IF($A560="","",Master_Data!B561)</f>
        <v/>
      </c>
      <c r="D560" s="19">
        <f>IF($A560="","",Master_Data!Q560)</f>
        <v/>
      </c>
      <c r="E560" s="19">
        <f>IF($A560="","",Master_Data!Q561)</f>
        <v/>
      </c>
      <c r="F560" s="19">
        <f>IF($A560="","",IF(AND(D560="GAS",E560="OIL"),"GOC",IF(AND(D560="OIL",E560="WATER"),"OWC",IF(AND(D560="GAS",E560="WATER"),"GWC",IF(AND(D560="OIL",E560="OIL_WATER"),"OWC_TRANSITION",IF(AND(D560="OIL_WATER",E560="WATER"),"OWC_TRANSITION",IF(AND(D560="GAS",E560="GAS_WATER"),"GOC_TRANSITION",IF(AND(D560="GAS_WATER",E560="OIL"),"GOC_TRANSITION",IF(OR(D560="OIL_WATER",D560="GAS_WATER"),"TRANSITION_INTERVAL","")))))))))</f>
        <v/>
      </c>
      <c r="G560" s="20">
        <f>IF(OR(F560="",Master_Data!R560="",Master_Data!S560=""),"",IF(RIGHT(F560,10)="TRANSITION",AVERAGE(Master_Data!R560:Master_Data!S560),AVERAGE(Master_Data!S560,Master_Data!R561)))</f>
        <v/>
      </c>
      <c r="H560" s="20">
        <f>IF(G560="","",MAX(Settings!$B$4,Settings!$B$5*AVERAGE(IF(Master_Data!O560&lt;&gt;"",Master_Data!O560,Master_Data!H560),IF(Master_Data!O561&lt;&gt;"",Master_Data!O561,Master_Data!H561))))</f>
        <v/>
      </c>
      <c r="I560" s="20">
        <f>IF(G560="","",G560-H560)</f>
        <v/>
      </c>
      <c r="J560" s="20">
        <f>IF(G560="","",G560+H560)</f>
        <v/>
      </c>
      <c r="K560" s="20">
        <f>IF($A560="","",Master_Data!G560)</f>
        <v/>
      </c>
      <c r="L560" s="20">
        <f>IF($A560="","",Master_Data!G561)</f>
        <v/>
      </c>
      <c r="M560" s="20">
        <f>IF(AND(ISNUMBER(K560),ISNUMBER(L560)),L560-K560,"")</f>
        <v/>
      </c>
      <c r="N560" s="19">
        <f>IF(G560="","",IF(AND(ISNUMBER(K560),ISNUMBER(L560)),IF(OR(F560="GOC",F560="OWC",F560="GWC",F560="OWC_TRANSITION",F560="GOC_TRANSITION"),IF(L560&gt;=K560,"Supports","Conflicts"),"N/A"),"No Sw"))</f>
        <v/>
      </c>
      <c r="O560" s="20">
        <f>IF(G560="","",Settings!$B$6*IF(OR(F560="GOC",F560="OWC",F560="GWC"),1,0.7)+Settings!$B$7*IF(N560="Supports",1,IF(N560="Conflicts",0,0.5))+Settings!$B$8*IF(AND(Master_Data!R560&lt;&gt;"",Master_Data!S560&lt;&gt;"",Master_Data!R561&lt;&gt;"",Master_Data!S561&lt;&gt;""),1,0.5))</f>
        <v/>
      </c>
      <c r="P560" s="19">
        <f>IF(G560="","",IF(N560="Conflicts","SW_CONFLICT",IF(OR(F560="GOC",F560="OWC",F560="GWC"),"DIRECT_FLUID_TRANSITION","TRANSITION_INTERVAL")))</f>
        <v/>
      </c>
      <c r="Q560" s="19">
        <f>IF(G560="","",IF(N560="Conflicts","Investigate contact interpretation / saturation behaviour",IF(OR(F560="OWC",F560="GOC",F560="GWC"),"Candidate contact — validate with logs, pressure and dynamic evidence","Transition zone — do not force to a sharp contact")))</f>
        <v/>
      </c>
    </row>
    <row r="561">
      <c r="A561" s="19">
        <f>IF(AND(Master_Data!A561&lt;&gt;"",Master_Data!A561=Master_Data!A562),Master_Data!A561,"")</f>
        <v/>
      </c>
      <c r="B561" s="19">
        <f>IF($A561="","",Master_Data!B561)</f>
        <v/>
      </c>
      <c r="C561" s="19">
        <f>IF($A561="","",Master_Data!B562)</f>
        <v/>
      </c>
      <c r="D561" s="19">
        <f>IF($A561="","",Master_Data!Q561)</f>
        <v/>
      </c>
      <c r="E561" s="19">
        <f>IF($A561="","",Master_Data!Q562)</f>
        <v/>
      </c>
      <c r="F561" s="19">
        <f>IF($A561="","",IF(AND(D561="GAS",E561="OIL"),"GOC",IF(AND(D561="OIL",E561="WATER"),"OWC",IF(AND(D561="GAS",E561="WATER"),"GWC",IF(AND(D561="OIL",E561="OIL_WATER"),"OWC_TRANSITION",IF(AND(D561="OIL_WATER",E561="WATER"),"OWC_TRANSITION",IF(AND(D561="GAS",E561="GAS_WATER"),"GOC_TRANSITION",IF(AND(D561="GAS_WATER",E561="OIL"),"GOC_TRANSITION",IF(OR(D561="OIL_WATER",D561="GAS_WATER"),"TRANSITION_INTERVAL","")))))))))</f>
        <v/>
      </c>
      <c r="G561" s="20">
        <f>IF(OR(F561="",Master_Data!R561="",Master_Data!S561=""),"",IF(RIGHT(F561,10)="TRANSITION",AVERAGE(Master_Data!R561:Master_Data!S561),AVERAGE(Master_Data!S561,Master_Data!R562)))</f>
        <v/>
      </c>
      <c r="H561" s="20">
        <f>IF(G561="","",MAX(Settings!$B$4,Settings!$B$5*AVERAGE(IF(Master_Data!O561&lt;&gt;"",Master_Data!O561,Master_Data!H561),IF(Master_Data!O562&lt;&gt;"",Master_Data!O562,Master_Data!H562))))</f>
        <v/>
      </c>
      <c r="I561" s="20">
        <f>IF(G561="","",G561-H561)</f>
        <v/>
      </c>
      <c r="J561" s="20">
        <f>IF(G561="","",G561+H561)</f>
        <v/>
      </c>
      <c r="K561" s="20">
        <f>IF($A561="","",Master_Data!G561)</f>
        <v/>
      </c>
      <c r="L561" s="20">
        <f>IF($A561="","",Master_Data!G562)</f>
        <v/>
      </c>
      <c r="M561" s="20">
        <f>IF(AND(ISNUMBER(K561),ISNUMBER(L561)),L561-K561,"")</f>
        <v/>
      </c>
      <c r="N561" s="19">
        <f>IF(G561="","",IF(AND(ISNUMBER(K561),ISNUMBER(L561)),IF(OR(F561="GOC",F561="OWC",F561="GWC",F561="OWC_TRANSITION",F561="GOC_TRANSITION"),IF(L561&gt;=K561,"Supports","Conflicts"),"N/A"),"No Sw"))</f>
        <v/>
      </c>
      <c r="O561" s="20">
        <f>IF(G561="","",Settings!$B$6*IF(OR(F561="GOC",F561="OWC",F561="GWC"),1,0.7)+Settings!$B$7*IF(N561="Supports",1,IF(N561="Conflicts",0,0.5))+Settings!$B$8*IF(AND(Master_Data!R561&lt;&gt;"",Master_Data!S561&lt;&gt;"",Master_Data!R562&lt;&gt;"",Master_Data!S562&lt;&gt;""),1,0.5))</f>
        <v/>
      </c>
      <c r="P561" s="19">
        <f>IF(G561="","",IF(N561="Conflicts","SW_CONFLICT",IF(OR(F561="GOC",F561="OWC",F561="GWC"),"DIRECT_FLUID_TRANSITION","TRANSITION_INTERVAL")))</f>
        <v/>
      </c>
      <c r="Q561" s="19">
        <f>IF(G561="","",IF(N561="Conflicts","Investigate contact interpretation / saturation behaviour",IF(OR(F561="OWC",F561="GOC",F561="GWC"),"Candidate contact — validate with logs, pressure and dynamic evidence","Transition zone — do not force to a sharp contact")))</f>
        <v/>
      </c>
    </row>
    <row r="562">
      <c r="A562" s="19">
        <f>IF(AND(Master_Data!A562&lt;&gt;"",Master_Data!A562=Master_Data!A563),Master_Data!A562,"")</f>
        <v/>
      </c>
      <c r="B562" s="19">
        <f>IF($A562="","",Master_Data!B562)</f>
        <v/>
      </c>
      <c r="C562" s="19">
        <f>IF($A562="","",Master_Data!B563)</f>
        <v/>
      </c>
      <c r="D562" s="19">
        <f>IF($A562="","",Master_Data!Q562)</f>
        <v/>
      </c>
      <c r="E562" s="19">
        <f>IF($A562="","",Master_Data!Q563)</f>
        <v/>
      </c>
      <c r="F562" s="19">
        <f>IF($A562="","",IF(AND(D562="GAS",E562="OIL"),"GOC",IF(AND(D562="OIL",E562="WATER"),"OWC",IF(AND(D562="GAS",E562="WATER"),"GWC",IF(AND(D562="OIL",E562="OIL_WATER"),"OWC_TRANSITION",IF(AND(D562="OIL_WATER",E562="WATER"),"OWC_TRANSITION",IF(AND(D562="GAS",E562="GAS_WATER"),"GOC_TRANSITION",IF(AND(D562="GAS_WATER",E562="OIL"),"GOC_TRANSITION",IF(OR(D562="OIL_WATER",D562="GAS_WATER"),"TRANSITION_INTERVAL","")))))))))</f>
        <v/>
      </c>
      <c r="G562" s="20">
        <f>IF(OR(F562="",Master_Data!R562="",Master_Data!S562=""),"",IF(RIGHT(F562,10)="TRANSITION",AVERAGE(Master_Data!R562:Master_Data!S562),AVERAGE(Master_Data!S562,Master_Data!R563)))</f>
        <v/>
      </c>
      <c r="H562" s="20">
        <f>IF(G562="","",MAX(Settings!$B$4,Settings!$B$5*AVERAGE(IF(Master_Data!O562&lt;&gt;"",Master_Data!O562,Master_Data!H562),IF(Master_Data!O563&lt;&gt;"",Master_Data!O563,Master_Data!H563))))</f>
        <v/>
      </c>
      <c r="I562" s="20">
        <f>IF(G562="","",G562-H562)</f>
        <v/>
      </c>
      <c r="J562" s="20">
        <f>IF(G562="","",G562+H562)</f>
        <v/>
      </c>
      <c r="K562" s="20">
        <f>IF($A562="","",Master_Data!G562)</f>
        <v/>
      </c>
      <c r="L562" s="20">
        <f>IF($A562="","",Master_Data!G563)</f>
        <v/>
      </c>
      <c r="M562" s="20">
        <f>IF(AND(ISNUMBER(K562),ISNUMBER(L562)),L562-K562,"")</f>
        <v/>
      </c>
      <c r="N562" s="19">
        <f>IF(G562="","",IF(AND(ISNUMBER(K562),ISNUMBER(L562)),IF(OR(F562="GOC",F562="OWC",F562="GWC",F562="OWC_TRANSITION",F562="GOC_TRANSITION"),IF(L562&gt;=K562,"Supports","Conflicts"),"N/A"),"No Sw"))</f>
        <v/>
      </c>
      <c r="O562" s="20">
        <f>IF(G562="","",Settings!$B$6*IF(OR(F562="GOC",F562="OWC",F562="GWC"),1,0.7)+Settings!$B$7*IF(N562="Supports",1,IF(N562="Conflicts",0,0.5))+Settings!$B$8*IF(AND(Master_Data!R562&lt;&gt;"",Master_Data!S562&lt;&gt;"",Master_Data!R563&lt;&gt;"",Master_Data!S563&lt;&gt;""),1,0.5))</f>
        <v/>
      </c>
      <c r="P562" s="19">
        <f>IF(G562="","",IF(N562="Conflicts","SW_CONFLICT",IF(OR(F562="GOC",F562="OWC",F562="GWC"),"DIRECT_FLUID_TRANSITION","TRANSITION_INTERVAL")))</f>
        <v/>
      </c>
      <c r="Q562" s="19">
        <f>IF(G562="","",IF(N562="Conflicts","Investigate contact interpretation / saturation behaviour",IF(OR(F562="OWC",F562="GOC",F562="GWC"),"Candidate contact — validate with logs, pressure and dynamic evidence","Transition zone — do not force to a sharp contact")))</f>
        <v/>
      </c>
    </row>
    <row r="563">
      <c r="A563" s="19">
        <f>IF(AND(Master_Data!A563&lt;&gt;"",Master_Data!A563=Master_Data!A564),Master_Data!A563,"")</f>
        <v/>
      </c>
      <c r="B563" s="19">
        <f>IF($A563="","",Master_Data!B563)</f>
        <v/>
      </c>
      <c r="C563" s="19">
        <f>IF($A563="","",Master_Data!B564)</f>
        <v/>
      </c>
      <c r="D563" s="19">
        <f>IF($A563="","",Master_Data!Q563)</f>
        <v/>
      </c>
      <c r="E563" s="19">
        <f>IF($A563="","",Master_Data!Q564)</f>
        <v/>
      </c>
      <c r="F563" s="19">
        <f>IF($A563="","",IF(AND(D563="GAS",E563="OIL"),"GOC",IF(AND(D563="OIL",E563="WATER"),"OWC",IF(AND(D563="GAS",E563="WATER"),"GWC",IF(AND(D563="OIL",E563="OIL_WATER"),"OWC_TRANSITION",IF(AND(D563="OIL_WATER",E563="WATER"),"OWC_TRANSITION",IF(AND(D563="GAS",E563="GAS_WATER"),"GOC_TRANSITION",IF(AND(D563="GAS_WATER",E563="OIL"),"GOC_TRANSITION",IF(OR(D563="OIL_WATER",D563="GAS_WATER"),"TRANSITION_INTERVAL","")))))))))</f>
        <v/>
      </c>
      <c r="G563" s="20">
        <f>IF(OR(F563="",Master_Data!R563="",Master_Data!S563=""),"",IF(RIGHT(F563,10)="TRANSITION",AVERAGE(Master_Data!R563:Master_Data!S563),AVERAGE(Master_Data!S563,Master_Data!R564)))</f>
        <v/>
      </c>
      <c r="H563" s="20">
        <f>IF(G563="","",MAX(Settings!$B$4,Settings!$B$5*AVERAGE(IF(Master_Data!O563&lt;&gt;"",Master_Data!O563,Master_Data!H563),IF(Master_Data!O564&lt;&gt;"",Master_Data!O564,Master_Data!H564))))</f>
        <v/>
      </c>
      <c r="I563" s="20">
        <f>IF(G563="","",G563-H563)</f>
        <v/>
      </c>
      <c r="J563" s="20">
        <f>IF(G563="","",G563+H563)</f>
        <v/>
      </c>
      <c r="K563" s="20">
        <f>IF($A563="","",Master_Data!G563)</f>
        <v/>
      </c>
      <c r="L563" s="20">
        <f>IF($A563="","",Master_Data!G564)</f>
        <v/>
      </c>
      <c r="M563" s="20">
        <f>IF(AND(ISNUMBER(K563),ISNUMBER(L563)),L563-K563,"")</f>
        <v/>
      </c>
      <c r="N563" s="19">
        <f>IF(G563="","",IF(AND(ISNUMBER(K563),ISNUMBER(L563)),IF(OR(F563="GOC",F563="OWC",F563="GWC",F563="OWC_TRANSITION",F563="GOC_TRANSITION"),IF(L563&gt;=K563,"Supports","Conflicts"),"N/A"),"No Sw"))</f>
        <v/>
      </c>
      <c r="O563" s="20">
        <f>IF(G563="","",Settings!$B$6*IF(OR(F563="GOC",F563="OWC",F563="GWC"),1,0.7)+Settings!$B$7*IF(N563="Supports",1,IF(N563="Conflicts",0,0.5))+Settings!$B$8*IF(AND(Master_Data!R563&lt;&gt;"",Master_Data!S563&lt;&gt;"",Master_Data!R564&lt;&gt;"",Master_Data!S564&lt;&gt;""),1,0.5))</f>
        <v/>
      </c>
      <c r="P563" s="19">
        <f>IF(G563="","",IF(N563="Conflicts","SW_CONFLICT",IF(OR(F563="GOC",F563="OWC",F563="GWC"),"DIRECT_FLUID_TRANSITION","TRANSITION_INTERVAL")))</f>
        <v/>
      </c>
      <c r="Q563" s="19">
        <f>IF(G563="","",IF(N563="Conflicts","Investigate contact interpretation / saturation behaviour",IF(OR(F563="OWC",F563="GOC",F563="GWC"),"Candidate contact — validate with logs, pressure and dynamic evidence","Transition zone — do not force to a sharp contact")))</f>
        <v/>
      </c>
    </row>
    <row r="564">
      <c r="A564" s="19">
        <f>IF(AND(Master_Data!A564&lt;&gt;"",Master_Data!A564=Master_Data!A565),Master_Data!A564,"")</f>
        <v/>
      </c>
      <c r="B564" s="19">
        <f>IF($A564="","",Master_Data!B564)</f>
        <v/>
      </c>
      <c r="C564" s="19">
        <f>IF($A564="","",Master_Data!B565)</f>
        <v/>
      </c>
      <c r="D564" s="19">
        <f>IF($A564="","",Master_Data!Q564)</f>
        <v/>
      </c>
      <c r="E564" s="19">
        <f>IF($A564="","",Master_Data!Q565)</f>
        <v/>
      </c>
      <c r="F564" s="19">
        <f>IF($A564="","",IF(AND(D564="GAS",E564="OIL"),"GOC",IF(AND(D564="OIL",E564="WATER"),"OWC",IF(AND(D564="GAS",E564="WATER"),"GWC",IF(AND(D564="OIL",E564="OIL_WATER"),"OWC_TRANSITION",IF(AND(D564="OIL_WATER",E564="WATER"),"OWC_TRANSITION",IF(AND(D564="GAS",E564="GAS_WATER"),"GOC_TRANSITION",IF(AND(D564="GAS_WATER",E564="OIL"),"GOC_TRANSITION",IF(OR(D564="OIL_WATER",D564="GAS_WATER"),"TRANSITION_INTERVAL","")))))))))</f>
        <v/>
      </c>
      <c r="G564" s="20">
        <f>IF(OR(F564="",Master_Data!R564="",Master_Data!S564=""),"",IF(RIGHT(F564,10)="TRANSITION",AVERAGE(Master_Data!R564:Master_Data!S564),AVERAGE(Master_Data!S564,Master_Data!R565)))</f>
        <v/>
      </c>
      <c r="H564" s="20">
        <f>IF(G564="","",MAX(Settings!$B$4,Settings!$B$5*AVERAGE(IF(Master_Data!O564&lt;&gt;"",Master_Data!O564,Master_Data!H564),IF(Master_Data!O565&lt;&gt;"",Master_Data!O565,Master_Data!H565))))</f>
        <v/>
      </c>
      <c r="I564" s="20">
        <f>IF(G564="","",G564-H564)</f>
        <v/>
      </c>
      <c r="J564" s="20">
        <f>IF(G564="","",G564+H564)</f>
        <v/>
      </c>
      <c r="K564" s="20">
        <f>IF($A564="","",Master_Data!G564)</f>
        <v/>
      </c>
      <c r="L564" s="20">
        <f>IF($A564="","",Master_Data!G565)</f>
        <v/>
      </c>
      <c r="M564" s="20">
        <f>IF(AND(ISNUMBER(K564),ISNUMBER(L564)),L564-K564,"")</f>
        <v/>
      </c>
      <c r="N564" s="19">
        <f>IF(G564="","",IF(AND(ISNUMBER(K564),ISNUMBER(L564)),IF(OR(F564="GOC",F564="OWC",F564="GWC",F564="OWC_TRANSITION",F564="GOC_TRANSITION"),IF(L564&gt;=K564,"Supports","Conflicts"),"N/A"),"No Sw"))</f>
        <v/>
      </c>
      <c r="O564" s="20">
        <f>IF(G564="","",Settings!$B$6*IF(OR(F564="GOC",F564="OWC",F564="GWC"),1,0.7)+Settings!$B$7*IF(N564="Supports",1,IF(N564="Conflicts",0,0.5))+Settings!$B$8*IF(AND(Master_Data!R564&lt;&gt;"",Master_Data!S564&lt;&gt;"",Master_Data!R565&lt;&gt;"",Master_Data!S565&lt;&gt;""),1,0.5))</f>
        <v/>
      </c>
      <c r="P564" s="19">
        <f>IF(G564="","",IF(N564="Conflicts","SW_CONFLICT",IF(OR(F564="GOC",F564="OWC",F564="GWC"),"DIRECT_FLUID_TRANSITION","TRANSITION_INTERVAL")))</f>
        <v/>
      </c>
      <c r="Q564" s="19">
        <f>IF(G564="","",IF(N564="Conflicts","Investigate contact interpretation / saturation behaviour",IF(OR(F564="OWC",F564="GOC",F564="GWC"),"Candidate contact — validate with logs, pressure and dynamic evidence","Transition zone — do not force to a sharp contact")))</f>
        <v/>
      </c>
    </row>
    <row r="565">
      <c r="A565" s="19">
        <f>IF(AND(Master_Data!A565&lt;&gt;"",Master_Data!A565=Master_Data!A566),Master_Data!A565,"")</f>
        <v/>
      </c>
      <c r="B565" s="19">
        <f>IF($A565="","",Master_Data!B565)</f>
        <v/>
      </c>
      <c r="C565" s="19">
        <f>IF($A565="","",Master_Data!B566)</f>
        <v/>
      </c>
      <c r="D565" s="19">
        <f>IF($A565="","",Master_Data!Q565)</f>
        <v/>
      </c>
      <c r="E565" s="19">
        <f>IF($A565="","",Master_Data!Q566)</f>
        <v/>
      </c>
      <c r="F565" s="19">
        <f>IF($A565="","",IF(AND(D565="GAS",E565="OIL"),"GOC",IF(AND(D565="OIL",E565="WATER"),"OWC",IF(AND(D565="GAS",E565="WATER"),"GWC",IF(AND(D565="OIL",E565="OIL_WATER"),"OWC_TRANSITION",IF(AND(D565="OIL_WATER",E565="WATER"),"OWC_TRANSITION",IF(AND(D565="GAS",E565="GAS_WATER"),"GOC_TRANSITION",IF(AND(D565="GAS_WATER",E565="OIL"),"GOC_TRANSITION",IF(OR(D565="OIL_WATER",D565="GAS_WATER"),"TRANSITION_INTERVAL","")))))))))</f>
        <v/>
      </c>
      <c r="G565" s="20">
        <f>IF(OR(F565="",Master_Data!R565="",Master_Data!S565=""),"",IF(RIGHT(F565,10)="TRANSITION",AVERAGE(Master_Data!R565:Master_Data!S565),AVERAGE(Master_Data!S565,Master_Data!R566)))</f>
        <v/>
      </c>
      <c r="H565" s="20">
        <f>IF(G565="","",MAX(Settings!$B$4,Settings!$B$5*AVERAGE(IF(Master_Data!O565&lt;&gt;"",Master_Data!O565,Master_Data!H565),IF(Master_Data!O566&lt;&gt;"",Master_Data!O566,Master_Data!H566))))</f>
        <v/>
      </c>
      <c r="I565" s="20">
        <f>IF(G565="","",G565-H565)</f>
        <v/>
      </c>
      <c r="J565" s="20">
        <f>IF(G565="","",G565+H565)</f>
        <v/>
      </c>
      <c r="K565" s="20">
        <f>IF($A565="","",Master_Data!G565)</f>
        <v/>
      </c>
      <c r="L565" s="20">
        <f>IF($A565="","",Master_Data!G566)</f>
        <v/>
      </c>
      <c r="M565" s="20">
        <f>IF(AND(ISNUMBER(K565),ISNUMBER(L565)),L565-K565,"")</f>
        <v/>
      </c>
      <c r="N565" s="19">
        <f>IF(G565="","",IF(AND(ISNUMBER(K565),ISNUMBER(L565)),IF(OR(F565="GOC",F565="OWC",F565="GWC",F565="OWC_TRANSITION",F565="GOC_TRANSITION"),IF(L565&gt;=K565,"Supports","Conflicts"),"N/A"),"No Sw"))</f>
        <v/>
      </c>
      <c r="O565" s="20">
        <f>IF(G565="","",Settings!$B$6*IF(OR(F565="GOC",F565="OWC",F565="GWC"),1,0.7)+Settings!$B$7*IF(N565="Supports",1,IF(N565="Conflicts",0,0.5))+Settings!$B$8*IF(AND(Master_Data!R565&lt;&gt;"",Master_Data!S565&lt;&gt;"",Master_Data!R566&lt;&gt;"",Master_Data!S566&lt;&gt;""),1,0.5))</f>
        <v/>
      </c>
      <c r="P565" s="19">
        <f>IF(G565="","",IF(N565="Conflicts","SW_CONFLICT",IF(OR(F565="GOC",F565="OWC",F565="GWC"),"DIRECT_FLUID_TRANSITION","TRANSITION_INTERVAL")))</f>
        <v/>
      </c>
      <c r="Q565" s="19">
        <f>IF(G565="","",IF(N565="Conflicts","Investigate contact interpretation / saturation behaviour",IF(OR(F565="OWC",F565="GOC",F565="GWC"),"Candidate contact — validate with logs, pressure and dynamic evidence","Transition zone — do not force to a sharp contact")))</f>
        <v/>
      </c>
    </row>
    <row r="566">
      <c r="A566" s="19">
        <f>IF(AND(Master_Data!A566&lt;&gt;"",Master_Data!A566=Master_Data!A567),Master_Data!A566,"")</f>
        <v/>
      </c>
      <c r="B566" s="19">
        <f>IF($A566="","",Master_Data!B566)</f>
        <v/>
      </c>
      <c r="C566" s="19">
        <f>IF($A566="","",Master_Data!B567)</f>
        <v/>
      </c>
      <c r="D566" s="19">
        <f>IF($A566="","",Master_Data!Q566)</f>
        <v/>
      </c>
      <c r="E566" s="19">
        <f>IF($A566="","",Master_Data!Q567)</f>
        <v/>
      </c>
      <c r="F566" s="19">
        <f>IF($A566="","",IF(AND(D566="GAS",E566="OIL"),"GOC",IF(AND(D566="OIL",E566="WATER"),"OWC",IF(AND(D566="GAS",E566="WATER"),"GWC",IF(AND(D566="OIL",E566="OIL_WATER"),"OWC_TRANSITION",IF(AND(D566="OIL_WATER",E566="WATER"),"OWC_TRANSITION",IF(AND(D566="GAS",E566="GAS_WATER"),"GOC_TRANSITION",IF(AND(D566="GAS_WATER",E566="OIL"),"GOC_TRANSITION",IF(OR(D566="OIL_WATER",D566="GAS_WATER"),"TRANSITION_INTERVAL","")))))))))</f>
        <v/>
      </c>
      <c r="G566" s="20">
        <f>IF(OR(F566="",Master_Data!R566="",Master_Data!S566=""),"",IF(RIGHT(F566,10)="TRANSITION",AVERAGE(Master_Data!R566:Master_Data!S566),AVERAGE(Master_Data!S566,Master_Data!R567)))</f>
        <v/>
      </c>
      <c r="H566" s="20">
        <f>IF(G566="","",MAX(Settings!$B$4,Settings!$B$5*AVERAGE(IF(Master_Data!O566&lt;&gt;"",Master_Data!O566,Master_Data!H566),IF(Master_Data!O567&lt;&gt;"",Master_Data!O567,Master_Data!H567))))</f>
        <v/>
      </c>
      <c r="I566" s="20">
        <f>IF(G566="","",G566-H566)</f>
        <v/>
      </c>
      <c r="J566" s="20">
        <f>IF(G566="","",G566+H566)</f>
        <v/>
      </c>
      <c r="K566" s="20">
        <f>IF($A566="","",Master_Data!G566)</f>
        <v/>
      </c>
      <c r="L566" s="20">
        <f>IF($A566="","",Master_Data!G567)</f>
        <v/>
      </c>
      <c r="M566" s="20">
        <f>IF(AND(ISNUMBER(K566),ISNUMBER(L566)),L566-K566,"")</f>
        <v/>
      </c>
      <c r="N566" s="19">
        <f>IF(G566="","",IF(AND(ISNUMBER(K566),ISNUMBER(L566)),IF(OR(F566="GOC",F566="OWC",F566="GWC",F566="OWC_TRANSITION",F566="GOC_TRANSITION"),IF(L566&gt;=K566,"Supports","Conflicts"),"N/A"),"No Sw"))</f>
        <v/>
      </c>
      <c r="O566" s="20">
        <f>IF(G566="","",Settings!$B$6*IF(OR(F566="GOC",F566="OWC",F566="GWC"),1,0.7)+Settings!$B$7*IF(N566="Supports",1,IF(N566="Conflicts",0,0.5))+Settings!$B$8*IF(AND(Master_Data!R566&lt;&gt;"",Master_Data!S566&lt;&gt;"",Master_Data!R567&lt;&gt;"",Master_Data!S567&lt;&gt;""),1,0.5))</f>
        <v/>
      </c>
      <c r="P566" s="19">
        <f>IF(G566="","",IF(N566="Conflicts","SW_CONFLICT",IF(OR(F566="GOC",F566="OWC",F566="GWC"),"DIRECT_FLUID_TRANSITION","TRANSITION_INTERVAL")))</f>
        <v/>
      </c>
      <c r="Q566" s="19">
        <f>IF(G566="","",IF(N566="Conflicts","Investigate contact interpretation / saturation behaviour",IF(OR(F566="OWC",F566="GOC",F566="GWC"),"Candidate contact — validate with logs, pressure and dynamic evidence","Transition zone — do not force to a sharp contact")))</f>
        <v/>
      </c>
    </row>
    <row r="567">
      <c r="A567" s="19">
        <f>IF(AND(Master_Data!A567&lt;&gt;"",Master_Data!A567=Master_Data!A568),Master_Data!A567,"")</f>
        <v/>
      </c>
      <c r="B567" s="19">
        <f>IF($A567="","",Master_Data!B567)</f>
        <v/>
      </c>
      <c r="C567" s="19">
        <f>IF($A567="","",Master_Data!B568)</f>
        <v/>
      </c>
      <c r="D567" s="19">
        <f>IF($A567="","",Master_Data!Q567)</f>
        <v/>
      </c>
      <c r="E567" s="19">
        <f>IF($A567="","",Master_Data!Q568)</f>
        <v/>
      </c>
      <c r="F567" s="19">
        <f>IF($A567="","",IF(AND(D567="GAS",E567="OIL"),"GOC",IF(AND(D567="OIL",E567="WATER"),"OWC",IF(AND(D567="GAS",E567="WATER"),"GWC",IF(AND(D567="OIL",E567="OIL_WATER"),"OWC_TRANSITION",IF(AND(D567="OIL_WATER",E567="WATER"),"OWC_TRANSITION",IF(AND(D567="GAS",E567="GAS_WATER"),"GOC_TRANSITION",IF(AND(D567="GAS_WATER",E567="OIL"),"GOC_TRANSITION",IF(OR(D567="OIL_WATER",D567="GAS_WATER"),"TRANSITION_INTERVAL","")))))))))</f>
        <v/>
      </c>
      <c r="G567" s="20">
        <f>IF(OR(F567="",Master_Data!R567="",Master_Data!S567=""),"",IF(RIGHT(F567,10)="TRANSITION",AVERAGE(Master_Data!R567:Master_Data!S567),AVERAGE(Master_Data!S567,Master_Data!R568)))</f>
        <v/>
      </c>
      <c r="H567" s="20">
        <f>IF(G567="","",MAX(Settings!$B$4,Settings!$B$5*AVERAGE(IF(Master_Data!O567&lt;&gt;"",Master_Data!O567,Master_Data!H567),IF(Master_Data!O568&lt;&gt;"",Master_Data!O568,Master_Data!H568))))</f>
        <v/>
      </c>
      <c r="I567" s="20">
        <f>IF(G567="","",G567-H567)</f>
        <v/>
      </c>
      <c r="J567" s="20">
        <f>IF(G567="","",G567+H567)</f>
        <v/>
      </c>
      <c r="K567" s="20">
        <f>IF($A567="","",Master_Data!G567)</f>
        <v/>
      </c>
      <c r="L567" s="20">
        <f>IF($A567="","",Master_Data!G568)</f>
        <v/>
      </c>
      <c r="M567" s="20">
        <f>IF(AND(ISNUMBER(K567),ISNUMBER(L567)),L567-K567,"")</f>
        <v/>
      </c>
      <c r="N567" s="19">
        <f>IF(G567="","",IF(AND(ISNUMBER(K567),ISNUMBER(L567)),IF(OR(F567="GOC",F567="OWC",F567="GWC",F567="OWC_TRANSITION",F567="GOC_TRANSITION"),IF(L567&gt;=K567,"Supports","Conflicts"),"N/A"),"No Sw"))</f>
        <v/>
      </c>
      <c r="O567" s="20">
        <f>IF(G567="","",Settings!$B$6*IF(OR(F567="GOC",F567="OWC",F567="GWC"),1,0.7)+Settings!$B$7*IF(N567="Supports",1,IF(N567="Conflicts",0,0.5))+Settings!$B$8*IF(AND(Master_Data!R567&lt;&gt;"",Master_Data!S567&lt;&gt;"",Master_Data!R568&lt;&gt;"",Master_Data!S568&lt;&gt;""),1,0.5))</f>
        <v/>
      </c>
      <c r="P567" s="19">
        <f>IF(G567="","",IF(N567="Conflicts","SW_CONFLICT",IF(OR(F567="GOC",F567="OWC",F567="GWC"),"DIRECT_FLUID_TRANSITION","TRANSITION_INTERVAL")))</f>
        <v/>
      </c>
      <c r="Q567" s="19">
        <f>IF(G567="","",IF(N567="Conflicts","Investigate contact interpretation / saturation behaviour",IF(OR(F567="OWC",F567="GOC",F567="GWC"),"Candidate contact — validate with logs, pressure and dynamic evidence","Transition zone — do not force to a sharp contact")))</f>
        <v/>
      </c>
    </row>
    <row r="568">
      <c r="A568" s="19">
        <f>IF(AND(Master_Data!A568&lt;&gt;"",Master_Data!A568=Master_Data!A569),Master_Data!A568,"")</f>
        <v/>
      </c>
      <c r="B568" s="19">
        <f>IF($A568="","",Master_Data!B568)</f>
        <v/>
      </c>
      <c r="C568" s="19">
        <f>IF($A568="","",Master_Data!B569)</f>
        <v/>
      </c>
      <c r="D568" s="19">
        <f>IF($A568="","",Master_Data!Q568)</f>
        <v/>
      </c>
      <c r="E568" s="19">
        <f>IF($A568="","",Master_Data!Q569)</f>
        <v/>
      </c>
      <c r="F568" s="19">
        <f>IF($A568="","",IF(AND(D568="GAS",E568="OIL"),"GOC",IF(AND(D568="OIL",E568="WATER"),"OWC",IF(AND(D568="GAS",E568="WATER"),"GWC",IF(AND(D568="OIL",E568="OIL_WATER"),"OWC_TRANSITION",IF(AND(D568="OIL_WATER",E568="WATER"),"OWC_TRANSITION",IF(AND(D568="GAS",E568="GAS_WATER"),"GOC_TRANSITION",IF(AND(D568="GAS_WATER",E568="OIL"),"GOC_TRANSITION",IF(OR(D568="OIL_WATER",D568="GAS_WATER"),"TRANSITION_INTERVAL","")))))))))</f>
        <v/>
      </c>
      <c r="G568" s="20">
        <f>IF(OR(F568="",Master_Data!R568="",Master_Data!S568=""),"",IF(RIGHT(F568,10)="TRANSITION",AVERAGE(Master_Data!R568:Master_Data!S568),AVERAGE(Master_Data!S568,Master_Data!R569)))</f>
        <v/>
      </c>
      <c r="H568" s="20">
        <f>IF(G568="","",MAX(Settings!$B$4,Settings!$B$5*AVERAGE(IF(Master_Data!O568&lt;&gt;"",Master_Data!O568,Master_Data!H568),IF(Master_Data!O569&lt;&gt;"",Master_Data!O569,Master_Data!H569))))</f>
        <v/>
      </c>
      <c r="I568" s="20">
        <f>IF(G568="","",G568-H568)</f>
        <v/>
      </c>
      <c r="J568" s="20">
        <f>IF(G568="","",G568+H568)</f>
        <v/>
      </c>
      <c r="K568" s="20">
        <f>IF($A568="","",Master_Data!G568)</f>
        <v/>
      </c>
      <c r="L568" s="20">
        <f>IF($A568="","",Master_Data!G569)</f>
        <v/>
      </c>
      <c r="M568" s="20">
        <f>IF(AND(ISNUMBER(K568),ISNUMBER(L568)),L568-K568,"")</f>
        <v/>
      </c>
      <c r="N568" s="19">
        <f>IF(G568="","",IF(AND(ISNUMBER(K568),ISNUMBER(L568)),IF(OR(F568="GOC",F568="OWC",F568="GWC",F568="OWC_TRANSITION",F568="GOC_TRANSITION"),IF(L568&gt;=K568,"Supports","Conflicts"),"N/A"),"No Sw"))</f>
        <v/>
      </c>
      <c r="O568" s="20">
        <f>IF(G568="","",Settings!$B$6*IF(OR(F568="GOC",F568="OWC",F568="GWC"),1,0.7)+Settings!$B$7*IF(N568="Supports",1,IF(N568="Conflicts",0,0.5))+Settings!$B$8*IF(AND(Master_Data!R568&lt;&gt;"",Master_Data!S568&lt;&gt;"",Master_Data!R569&lt;&gt;"",Master_Data!S569&lt;&gt;""),1,0.5))</f>
        <v/>
      </c>
      <c r="P568" s="19">
        <f>IF(G568="","",IF(N568="Conflicts","SW_CONFLICT",IF(OR(F568="GOC",F568="OWC",F568="GWC"),"DIRECT_FLUID_TRANSITION","TRANSITION_INTERVAL")))</f>
        <v/>
      </c>
      <c r="Q568" s="19">
        <f>IF(G568="","",IF(N568="Conflicts","Investigate contact interpretation / saturation behaviour",IF(OR(F568="OWC",F568="GOC",F568="GWC"),"Candidate contact — validate with logs, pressure and dynamic evidence","Transition zone — do not force to a sharp contact")))</f>
        <v/>
      </c>
    </row>
    <row r="569">
      <c r="A569" s="19">
        <f>IF(AND(Master_Data!A569&lt;&gt;"",Master_Data!A569=Master_Data!A570),Master_Data!A569,"")</f>
        <v/>
      </c>
      <c r="B569" s="19">
        <f>IF($A569="","",Master_Data!B569)</f>
        <v/>
      </c>
      <c r="C569" s="19">
        <f>IF($A569="","",Master_Data!B570)</f>
        <v/>
      </c>
      <c r="D569" s="19">
        <f>IF($A569="","",Master_Data!Q569)</f>
        <v/>
      </c>
      <c r="E569" s="19">
        <f>IF($A569="","",Master_Data!Q570)</f>
        <v/>
      </c>
      <c r="F569" s="19">
        <f>IF($A569="","",IF(AND(D569="GAS",E569="OIL"),"GOC",IF(AND(D569="OIL",E569="WATER"),"OWC",IF(AND(D569="GAS",E569="WATER"),"GWC",IF(AND(D569="OIL",E569="OIL_WATER"),"OWC_TRANSITION",IF(AND(D569="OIL_WATER",E569="WATER"),"OWC_TRANSITION",IF(AND(D569="GAS",E569="GAS_WATER"),"GOC_TRANSITION",IF(AND(D569="GAS_WATER",E569="OIL"),"GOC_TRANSITION",IF(OR(D569="OIL_WATER",D569="GAS_WATER"),"TRANSITION_INTERVAL","")))))))))</f>
        <v/>
      </c>
      <c r="G569" s="20">
        <f>IF(OR(F569="",Master_Data!R569="",Master_Data!S569=""),"",IF(RIGHT(F569,10)="TRANSITION",AVERAGE(Master_Data!R569:Master_Data!S569),AVERAGE(Master_Data!S569,Master_Data!R570)))</f>
        <v/>
      </c>
      <c r="H569" s="20">
        <f>IF(G569="","",MAX(Settings!$B$4,Settings!$B$5*AVERAGE(IF(Master_Data!O569&lt;&gt;"",Master_Data!O569,Master_Data!H569),IF(Master_Data!O570&lt;&gt;"",Master_Data!O570,Master_Data!H570))))</f>
        <v/>
      </c>
      <c r="I569" s="20">
        <f>IF(G569="","",G569-H569)</f>
        <v/>
      </c>
      <c r="J569" s="20">
        <f>IF(G569="","",G569+H569)</f>
        <v/>
      </c>
      <c r="K569" s="20">
        <f>IF($A569="","",Master_Data!G569)</f>
        <v/>
      </c>
      <c r="L569" s="20">
        <f>IF($A569="","",Master_Data!G570)</f>
        <v/>
      </c>
      <c r="M569" s="20">
        <f>IF(AND(ISNUMBER(K569),ISNUMBER(L569)),L569-K569,"")</f>
        <v/>
      </c>
      <c r="N569" s="19">
        <f>IF(G569="","",IF(AND(ISNUMBER(K569),ISNUMBER(L569)),IF(OR(F569="GOC",F569="OWC",F569="GWC",F569="OWC_TRANSITION",F569="GOC_TRANSITION"),IF(L569&gt;=K569,"Supports","Conflicts"),"N/A"),"No Sw"))</f>
        <v/>
      </c>
      <c r="O569" s="20">
        <f>IF(G569="","",Settings!$B$6*IF(OR(F569="GOC",F569="OWC",F569="GWC"),1,0.7)+Settings!$B$7*IF(N569="Supports",1,IF(N569="Conflicts",0,0.5))+Settings!$B$8*IF(AND(Master_Data!R569&lt;&gt;"",Master_Data!S569&lt;&gt;"",Master_Data!R570&lt;&gt;"",Master_Data!S570&lt;&gt;""),1,0.5))</f>
        <v/>
      </c>
      <c r="P569" s="19">
        <f>IF(G569="","",IF(N569="Conflicts","SW_CONFLICT",IF(OR(F569="GOC",F569="OWC",F569="GWC"),"DIRECT_FLUID_TRANSITION","TRANSITION_INTERVAL")))</f>
        <v/>
      </c>
      <c r="Q569" s="19">
        <f>IF(G569="","",IF(N569="Conflicts","Investigate contact interpretation / saturation behaviour",IF(OR(F569="OWC",F569="GOC",F569="GWC"),"Candidate contact — validate with logs, pressure and dynamic evidence","Transition zone — do not force to a sharp contact")))</f>
        <v/>
      </c>
    </row>
    <row r="570">
      <c r="A570" s="19">
        <f>IF(AND(Master_Data!A570&lt;&gt;"",Master_Data!A570=Master_Data!A571),Master_Data!A570,"")</f>
        <v/>
      </c>
      <c r="B570" s="19">
        <f>IF($A570="","",Master_Data!B570)</f>
        <v/>
      </c>
      <c r="C570" s="19">
        <f>IF($A570="","",Master_Data!B571)</f>
        <v/>
      </c>
      <c r="D570" s="19">
        <f>IF($A570="","",Master_Data!Q570)</f>
        <v/>
      </c>
      <c r="E570" s="19">
        <f>IF($A570="","",Master_Data!Q571)</f>
        <v/>
      </c>
      <c r="F570" s="19">
        <f>IF($A570="","",IF(AND(D570="GAS",E570="OIL"),"GOC",IF(AND(D570="OIL",E570="WATER"),"OWC",IF(AND(D570="GAS",E570="WATER"),"GWC",IF(AND(D570="OIL",E570="OIL_WATER"),"OWC_TRANSITION",IF(AND(D570="OIL_WATER",E570="WATER"),"OWC_TRANSITION",IF(AND(D570="GAS",E570="GAS_WATER"),"GOC_TRANSITION",IF(AND(D570="GAS_WATER",E570="OIL"),"GOC_TRANSITION",IF(OR(D570="OIL_WATER",D570="GAS_WATER"),"TRANSITION_INTERVAL","")))))))))</f>
        <v/>
      </c>
      <c r="G570" s="20">
        <f>IF(OR(F570="",Master_Data!R570="",Master_Data!S570=""),"",IF(RIGHT(F570,10)="TRANSITION",AVERAGE(Master_Data!R570:Master_Data!S570),AVERAGE(Master_Data!S570,Master_Data!R571)))</f>
        <v/>
      </c>
      <c r="H570" s="20">
        <f>IF(G570="","",MAX(Settings!$B$4,Settings!$B$5*AVERAGE(IF(Master_Data!O570&lt;&gt;"",Master_Data!O570,Master_Data!H570),IF(Master_Data!O571&lt;&gt;"",Master_Data!O571,Master_Data!H571))))</f>
        <v/>
      </c>
      <c r="I570" s="20">
        <f>IF(G570="","",G570-H570)</f>
        <v/>
      </c>
      <c r="J570" s="20">
        <f>IF(G570="","",G570+H570)</f>
        <v/>
      </c>
      <c r="K570" s="20">
        <f>IF($A570="","",Master_Data!G570)</f>
        <v/>
      </c>
      <c r="L570" s="20">
        <f>IF($A570="","",Master_Data!G571)</f>
        <v/>
      </c>
      <c r="M570" s="20">
        <f>IF(AND(ISNUMBER(K570),ISNUMBER(L570)),L570-K570,"")</f>
        <v/>
      </c>
      <c r="N570" s="19">
        <f>IF(G570="","",IF(AND(ISNUMBER(K570),ISNUMBER(L570)),IF(OR(F570="GOC",F570="OWC",F570="GWC",F570="OWC_TRANSITION",F570="GOC_TRANSITION"),IF(L570&gt;=K570,"Supports","Conflicts"),"N/A"),"No Sw"))</f>
        <v/>
      </c>
      <c r="O570" s="20">
        <f>IF(G570="","",Settings!$B$6*IF(OR(F570="GOC",F570="OWC",F570="GWC"),1,0.7)+Settings!$B$7*IF(N570="Supports",1,IF(N570="Conflicts",0,0.5))+Settings!$B$8*IF(AND(Master_Data!R570&lt;&gt;"",Master_Data!S570&lt;&gt;"",Master_Data!R571&lt;&gt;"",Master_Data!S571&lt;&gt;""),1,0.5))</f>
        <v/>
      </c>
      <c r="P570" s="19">
        <f>IF(G570="","",IF(N570="Conflicts","SW_CONFLICT",IF(OR(F570="GOC",F570="OWC",F570="GWC"),"DIRECT_FLUID_TRANSITION","TRANSITION_INTERVAL")))</f>
        <v/>
      </c>
      <c r="Q570" s="19">
        <f>IF(G570="","",IF(N570="Conflicts","Investigate contact interpretation / saturation behaviour",IF(OR(F570="OWC",F570="GOC",F570="GWC"),"Candidate contact — validate with logs, pressure and dynamic evidence","Transition zone — do not force to a sharp contact")))</f>
        <v/>
      </c>
    </row>
    <row r="571">
      <c r="A571" s="19">
        <f>IF(AND(Master_Data!A571&lt;&gt;"",Master_Data!A571=Master_Data!A572),Master_Data!A571,"")</f>
        <v/>
      </c>
      <c r="B571" s="19">
        <f>IF($A571="","",Master_Data!B571)</f>
        <v/>
      </c>
      <c r="C571" s="19">
        <f>IF($A571="","",Master_Data!B572)</f>
        <v/>
      </c>
      <c r="D571" s="19">
        <f>IF($A571="","",Master_Data!Q571)</f>
        <v/>
      </c>
      <c r="E571" s="19">
        <f>IF($A571="","",Master_Data!Q572)</f>
        <v/>
      </c>
      <c r="F571" s="19">
        <f>IF($A571="","",IF(AND(D571="GAS",E571="OIL"),"GOC",IF(AND(D571="OIL",E571="WATER"),"OWC",IF(AND(D571="GAS",E571="WATER"),"GWC",IF(AND(D571="OIL",E571="OIL_WATER"),"OWC_TRANSITION",IF(AND(D571="OIL_WATER",E571="WATER"),"OWC_TRANSITION",IF(AND(D571="GAS",E571="GAS_WATER"),"GOC_TRANSITION",IF(AND(D571="GAS_WATER",E571="OIL"),"GOC_TRANSITION",IF(OR(D571="OIL_WATER",D571="GAS_WATER"),"TRANSITION_INTERVAL","")))))))))</f>
        <v/>
      </c>
      <c r="G571" s="20">
        <f>IF(OR(F571="",Master_Data!R571="",Master_Data!S571=""),"",IF(RIGHT(F571,10)="TRANSITION",AVERAGE(Master_Data!R571:Master_Data!S571),AVERAGE(Master_Data!S571,Master_Data!R572)))</f>
        <v/>
      </c>
      <c r="H571" s="20">
        <f>IF(G571="","",MAX(Settings!$B$4,Settings!$B$5*AVERAGE(IF(Master_Data!O571&lt;&gt;"",Master_Data!O571,Master_Data!H571),IF(Master_Data!O572&lt;&gt;"",Master_Data!O572,Master_Data!H572))))</f>
        <v/>
      </c>
      <c r="I571" s="20">
        <f>IF(G571="","",G571-H571)</f>
        <v/>
      </c>
      <c r="J571" s="20">
        <f>IF(G571="","",G571+H571)</f>
        <v/>
      </c>
      <c r="K571" s="20">
        <f>IF($A571="","",Master_Data!G571)</f>
        <v/>
      </c>
      <c r="L571" s="20">
        <f>IF($A571="","",Master_Data!G572)</f>
        <v/>
      </c>
      <c r="M571" s="20">
        <f>IF(AND(ISNUMBER(K571),ISNUMBER(L571)),L571-K571,"")</f>
        <v/>
      </c>
      <c r="N571" s="19">
        <f>IF(G571="","",IF(AND(ISNUMBER(K571),ISNUMBER(L571)),IF(OR(F571="GOC",F571="OWC",F571="GWC",F571="OWC_TRANSITION",F571="GOC_TRANSITION"),IF(L571&gt;=K571,"Supports","Conflicts"),"N/A"),"No Sw"))</f>
        <v/>
      </c>
      <c r="O571" s="20">
        <f>IF(G571="","",Settings!$B$6*IF(OR(F571="GOC",F571="OWC",F571="GWC"),1,0.7)+Settings!$B$7*IF(N571="Supports",1,IF(N571="Conflicts",0,0.5))+Settings!$B$8*IF(AND(Master_Data!R571&lt;&gt;"",Master_Data!S571&lt;&gt;"",Master_Data!R572&lt;&gt;"",Master_Data!S572&lt;&gt;""),1,0.5))</f>
        <v/>
      </c>
      <c r="P571" s="19">
        <f>IF(G571="","",IF(N571="Conflicts","SW_CONFLICT",IF(OR(F571="GOC",F571="OWC",F571="GWC"),"DIRECT_FLUID_TRANSITION","TRANSITION_INTERVAL")))</f>
        <v/>
      </c>
      <c r="Q571" s="19">
        <f>IF(G571="","",IF(N571="Conflicts","Investigate contact interpretation / saturation behaviour",IF(OR(F571="OWC",F571="GOC",F571="GWC"),"Candidate contact — validate with logs, pressure and dynamic evidence","Transition zone — do not force to a sharp contact")))</f>
        <v/>
      </c>
    </row>
    <row r="572">
      <c r="A572" s="19">
        <f>IF(AND(Master_Data!A572&lt;&gt;"",Master_Data!A572=Master_Data!A573),Master_Data!A572,"")</f>
        <v/>
      </c>
      <c r="B572" s="19">
        <f>IF($A572="","",Master_Data!B572)</f>
        <v/>
      </c>
      <c r="C572" s="19">
        <f>IF($A572="","",Master_Data!B573)</f>
        <v/>
      </c>
      <c r="D572" s="19">
        <f>IF($A572="","",Master_Data!Q572)</f>
        <v/>
      </c>
      <c r="E572" s="19">
        <f>IF($A572="","",Master_Data!Q573)</f>
        <v/>
      </c>
      <c r="F572" s="19">
        <f>IF($A572="","",IF(AND(D572="GAS",E572="OIL"),"GOC",IF(AND(D572="OIL",E572="WATER"),"OWC",IF(AND(D572="GAS",E572="WATER"),"GWC",IF(AND(D572="OIL",E572="OIL_WATER"),"OWC_TRANSITION",IF(AND(D572="OIL_WATER",E572="WATER"),"OWC_TRANSITION",IF(AND(D572="GAS",E572="GAS_WATER"),"GOC_TRANSITION",IF(AND(D572="GAS_WATER",E572="OIL"),"GOC_TRANSITION",IF(OR(D572="OIL_WATER",D572="GAS_WATER"),"TRANSITION_INTERVAL","")))))))))</f>
        <v/>
      </c>
      <c r="G572" s="20">
        <f>IF(OR(F572="",Master_Data!R572="",Master_Data!S572=""),"",IF(RIGHT(F572,10)="TRANSITION",AVERAGE(Master_Data!R572:Master_Data!S572),AVERAGE(Master_Data!S572,Master_Data!R573)))</f>
        <v/>
      </c>
      <c r="H572" s="20">
        <f>IF(G572="","",MAX(Settings!$B$4,Settings!$B$5*AVERAGE(IF(Master_Data!O572&lt;&gt;"",Master_Data!O572,Master_Data!H572),IF(Master_Data!O573&lt;&gt;"",Master_Data!O573,Master_Data!H573))))</f>
        <v/>
      </c>
      <c r="I572" s="20">
        <f>IF(G572="","",G572-H572)</f>
        <v/>
      </c>
      <c r="J572" s="20">
        <f>IF(G572="","",G572+H572)</f>
        <v/>
      </c>
      <c r="K572" s="20">
        <f>IF($A572="","",Master_Data!G572)</f>
        <v/>
      </c>
      <c r="L572" s="20">
        <f>IF($A572="","",Master_Data!G573)</f>
        <v/>
      </c>
      <c r="M572" s="20">
        <f>IF(AND(ISNUMBER(K572),ISNUMBER(L572)),L572-K572,"")</f>
        <v/>
      </c>
      <c r="N572" s="19">
        <f>IF(G572="","",IF(AND(ISNUMBER(K572),ISNUMBER(L572)),IF(OR(F572="GOC",F572="OWC",F572="GWC",F572="OWC_TRANSITION",F572="GOC_TRANSITION"),IF(L572&gt;=K572,"Supports","Conflicts"),"N/A"),"No Sw"))</f>
        <v/>
      </c>
      <c r="O572" s="20">
        <f>IF(G572="","",Settings!$B$6*IF(OR(F572="GOC",F572="OWC",F572="GWC"),1,0.7)+Settings!$B$7*IF(N572="Supports",1,IF(N572="Conflicts",0,0.5))+Settings!$B$8*IF(AND(Master_Data!R572&lt;&gt;"",Master_Data!S572&lt;&gt;"",Master_Data!R573&lt;&gt;"",Master_Data!S573&lt;&gt;""),1,0.5))</f>
        <v/>
      </c>
      <c r="P572" s="19">
        <f>IF(G572="","",IF(N572="Conflicts","SW_CONFLICT",IF(OR(F572="GOC",F572="OWC",F572="GWC"),"DIRECT_FLUID_TRANSITION","TRANSITION_INTERVAL")))</f>
        <v/>
      </c>
      <c r="Q572" s="19">
        <f>IF(G572="","",IF(N572="Conflicts","Investigate contact interpretation / saturation behaviour",IF(OR(F572="OWC",F572="GOC",F572="GWC"),"Candidate contact — validate with logs, pressure and dynamic evidence","Transition zone — do not force to a sharp contact")))</f>
        <v/>
      </c>
    </row>
    <row r="573">
      <c r="A573" s="19">
        <f>IF(AND(Master_Data!A573&lt;&gt;"",Master_Data!A573=Master_Data!A574),Master_Data!A573,"")</f>
        <v/>
      </c>
      <c r="B573" s="19">
        <f>IF($A573="","",Master_Data!B573)</f>
        <v/>
      </c>
      <c r="C573" s="19">
        <f>IF($A573="","",Master_Data!B574)</f>
        <v/>
      </c>
      <c r="D573" s="19">
        <f>IF($A573="","",Master_Data!Q573)</f>
        <v/>
      </c>
      <c r="E573" s="19">
        <f>IF($A573="","",Master_Data!Q574)</f>
        <v/>
      </c>
      <c r="F573" s="19">
        <f>IF($A573="","",IF(AND(D573="GAS",E573="OIL"),"GOC",IF(AND(D573="OIL",E573="WATER"),"OWC",IF(AND(D573="GAS",E573="WATER"),"GWC",IF(AND(D573="OIL",E573="OIL_WATER"),"OWC_TRANSITION",IF(AND(D573="OIL_WATER",E573="WATER"),"OWC_TRANSITION",IF(AND(D573="GAS",E573="GAS_WATER"),"GOC_TRANSITION",IF(AND(D573="GAS_WATER",E573="OIL"),"GOC_TRANSITION",IF(OR(D573="OIL_WATER",D573="GAS_WATER"),"TRANSITION_INTERVAL","")))))))))</f>
        <v/>
      </c>
      <c r="G573" s="20">
        <f>IF(OR(F573="",Master_Data!R573="",Master_Data!S573=""),"",IF(RIGHT(F573,10)="TRANSITION",AVERAGE(Master_Data!R573:Master_Data!S573),AVERAGE(Master_Data!S573,Master_Data!R574)))</f>
        <v/>
      </c>
      <c r="H573" s="20">
        <f>IF(G573="","",MAX(Settings!$B$4,Settings!$B$5*AVERAGE(IF(Master_Data!O573&lt;&gt;"",Master_Data!O573,Master_Data!H573),IF(Master_Data!O574&lt;&gt;"",Master_Data!O574,Master_Data!H574))))</f>
        <v/>
      </c>
      <c r="I573" s="20">
        <f>IF(G573="","",G573-H573)</f>
        <v/>
      </c>
      <c r="J573" s="20">
        <f>IF(G573="","",G573+H573)</f>
        <v/>
      </c>
      <c r="K573" s="20">
        <f>IF($A573="","",Master_Data!G573)</f>
        <v/>
      </c>
      <c r="L573" s="20">
        <f>IF($A573="","",Master_Data!G574)</f>
        <v/>
      </c>
      <c r="M573" s="20">
        <f>IF(AND(ISNUMBER(K573),ISNUMBER(L573)),L573-K573,"")</f>
        <v/>
      </c>
      <c r="N573" s="19">
        <f>IF(G573="","",IF(AND(ISNUMBER(K573),ISNUMBER(L573)),IF(OR(F573="GOC",F573="OWC",F573="GWC",F573="OWC_TRANSITION",F573="GOC_TRANSITION"),IF(L573&gt;=K573,"Supports","Conflicts"),"N/A"),"No Sw"))</f>
        <v/>
      </c>
      <c r="O573" s="20">
        <f>IF(G573="","",Settings!$B$6*IF(OR(F573="GOC",F573="OWC",F573="GWC"),1,0.7)+Settings!$B$7*IF(N573="Supports",1,IF(N573="Conflicts",0,0.5))+Settings!$B$8*IF(AND(Master_Data!R573&lt;&gt;"",Master_Data!S573&lt;&gt;"",Master_Data!R574&lt;&gt;"",Master_Data!S574&lt;&gt;""),1,0.5))</f>
        <v/>
      </c>
      <c r="P573" s="19">
        <f>IF(G573="","",IF(N573="Conflicts","SW_CONFLICT",IF(OR(F573="GOC",F573="OWC",F573="GWC"),"DIRECT_FLUID_TRANSITION","TRANSITION_INTERVAL")))</f>
        <v/>
      </c>
      <c r="Q573" s="19">
        <f>IF(G573="","",IF(N573="Conflicts","Investigate contact interpretation / saturation behaviour",IF(OR(F573="OWC",F573="GOC",F573="GWC"),"Candidate contact — validate with logs, pressure and dynamic evidence","Transition zone — do not force to a sharp contact")))</f>
        <v/>
      </c>
    </row>
    <row r="574">
      <c r="A574" s="19">
        <f>IF(AND(Master_Data!A574&lt;&gt;"",Master_Data!A574=Master_Data!A575),Master_Data!A574,"")</f>
        <v/>
      </c>
      <c r="B574" s="19">
        <f>IF($A574="","",Master_Data!B574)</f>
        <v/>
      </c>
      <c r="C574" s="19">
        <f>IF($A574="","",Master_Data!B575)</f>
        <v/>
      </c>
      <c r="D574" s="19">
        <f>IF($A574="","",Master_Data!Q574)</f>
        <v/>
      </c>
      <c r="E574" s="19">
        <f>IF($A574="","",Master_Data!Q575)</f>
        <v/>
      </c>
      <c r="F574" s="19">
        <f>IF($A574="","",IF(AND(D574="GAS",E574="OIL"),"GOC",IF(AND(D574="OIL",E574="WATER"),"OWC",IF(AND(D574="GAS",E574="WATER"),"GWC",IF(AND(D574="OIL",E574="OIL_WATER"),"OWC_TRANSITION",IF(AND(D574="OIL_WATER",E574="WATER"),"OWC_TRANSITION",IF(AND(D574="GAS",E574="GAS_WATER"),"GOC_TRANSITION",IF(AND(D574="GAS_WATER",E574="OIL"),"GOC_TRANSITION",IF(OR(D574="OIL_WATER",D574="GAS_WATER"),"TRANSITION_INTERVAL","")))))))))</f>
        <v/>
      </c>
      <c r="G574" s="20">
        <f>IF(OR(F574="",Master_Data!R574="",Master_Data!S574=""),"",IF(RIGHT(F574,10)="TRANSITION",AVERAGE(Master_Data!R574:Master_Data!S574),AVERAGE(Master_Data!S574,Master_Data!R575)))</f>
        <v/>
      </c>
      <c r="H574" s="20">
        <f>IF(G574="","",MAX(Settings!$B$4,Settings!$B$5*AVERAGE(IF(Master_Data!O574&lt;&gt;"",Master_Data!O574,Master_Data!H574),IF(Master_Data!O575&lt;&gt;"",Master_Data!O575,Master_Data!H575))))</f>
        <v/>
      </c>
      <c r="I574" s="20">
        <f>IF(G574="","",G574-H574)</f>
        <v/>
      </c>
      <c r="J574" s="20">
        <f>IF(G574="","",G574+H574)</f>
        <v/>
      </c>
      <c r="K574" s="20">
        <f>IF($A574="","",Master_Data!G574)</f>
        <v/>
      </c>
      <c r="L574" s="20">
        <f>IF($A574="","",Master_Data!G575)</f>
        <v/>
      </c>
      <c r="M574" s="20">
        <f>IF(AND(ISNUMBER(K574),ISNUMBER(L574)),L574-K574,"")</f>
        <v/>
      </c>
      <c r="N574" s="19">
        <f>IF(G574="","",IF(AND(ISNUMBER(K574),ISNUMBER(L574)),IF(OR(F574="GOC",F574="OWC",F574="GWC",F574="OWC_TRANSITION",F574="GOC_TRANSITION"),IF(L574&gt;=K574,"Supports","Conflicts"),"N/A"),"No Sw"))</f>
        <v/>
      </c>
      <c r="O574" s="20">
        <f>IF(G574="","",Settings!$B$6*IF(OR(F574="GOC",F574="OWC",F574="GWC"),1,0.7)+Settings!$B$7*IF(N574="Supports",1,IF(N574="Conflicts",0,0.5))+Settings!$B$8*IF(AND(Master_Data!R574&lt;&gt;"",Master_Data!S574&lt;&gt;"",Master_Data!R575&lt;&gt;"",Master_Data!S575&lt;&gt;""),1,0.5))</f>
        <v/>
      </c>
      <c r="P574" s="19">
        <f>IF(G574="","",IF(N574="Conflicts","SW_CONFLICT",IF(OR(F574="GOC",F574="OWC",F574="GWC"),"DIRECT_FLUID_TRANSITION","TRANSITION_INTERVAL")))</f>
        <v/>
      </c>
      <c r="Q574" s="19">
        <f>IF(G574="","",IF(N574="Conflicts","Investigate contact interpretation / saturation behaviour",IF(OR(F574="OWC",F574="GOC",F574="GWC"),"Candidate contact — validate with logs, pressure and dynamic evidence","Transition zone — do not force to a sharp contact")))</f>
        <v/>
      </c>
    </row>
    <row r="575">
      <c r="A575" s="19">
        <f>IF(AND(Master_Data!A575&lt;&gt;"",Master_Data!A575=Master_Data!A576),Master_Data!A575,"")</f>
        <v/>
      </c>
      <c r="B575" s="19">
        <f>IF($A575="","",Master_Data!B575)</f>
        <v/>
      </c>
      <c r="C575" s="19">
        <f>IF($A575="","",Master_Data!B576)</f>
        <v/>
      </c>
      <c r="D575" s="19">
        <f>IF($A575="","",Master_Data!Q575)</f>
        <v/>
      </c>
      <c r="E575" s="19">
        <f>IF($A575="","",Master_Data!Q576)</f>
        <v/>
      </c>
      <c r="F575" s="19">
        <f>IF($A575="","",IF(AND(D575="GAS",E575="OIL"),"GOC",IF(AND(D575="OIL",E575="WATER"),"OWC",IF(AND(D575="GAS",E575="WATER"),"GWC",IF(AND(D575="OIL",E575="OIL_WATER"),"OWC_TRANSITION",IF(AND(D575="OIL_WATER",E575="WATER"),"OWC_TRANSITION",IF(AND(D575="GAS",E575="GAS_WATER"),"GOC_TRANSITION",IF(AND(D575="GAS_WATER",E575="OIL"),"GOC_TRANSITION",IF(OR(D575="OIL_WATER",D575="GAS_WATER"),"TRANSITION_INTERVAL","")))))))))</f>
        <v/>
      </c>
      <c r="G575" s="20">
        <f>IF(OR(F575="",Master_Data!R575="",Master_Data!S575=""),"",IF(RIGHT(F575,10)="TRANSITION",AVERAGE(Master_Data!R575:Master_Data!S575),AVERAGE(Master_Data!S575,Master_Data!R576)))</f>
        <v/>
      </c>
      <c r="H575" s="20">
        <f>IF(G575="","",MAX(Settings!$B$4,Settings!$B$5*AVERAGE(IF(Master_Data!O575&lt;&gt;"",Master_Data!O575,Master_Data!H575),IF(Master_Data!O576&lt;&gt;"",Master_Data!O576,Master_Data!H576))))</f>
        <v/>
      </c>
      <c r="I575" s="20">
        <f>IF(G575="","",G575-H575)</f>
        <v/>
      </c>
      <c r="J575" s="20">
        <f>IF(G575="","",G575+H575)</f>
        <v/>
      </c>
      <c r="K575" s="20">
        <f>IF($A575="","",Master_Data!G575)</f>
        <v/>
      </c>
      <c r="L575" s="20">
        <f>IF($A575="","",Master_Data!G576)</f>
        <v/>
      </c>
      <c r="M575" s="20">
        <f>IF(AND(ISNUMBER(K575),ISNUMBER(L575)),L575-K575,"")</f>
        <v/>
      </c>
      <c r="N575" s="19">
        <f>IF(G575="","",IF(AND(ISNUMBER(K575),ISNUMBER(L575)),IF(OR(F575="GOC",F575="OWC",F575="GWC",F575="OWC_TRANSITION",F575="GOC_TRANSITION"),IF(L575&gt;=K575,"Supports","Conflicts"),"N/A"),"No Sw"))</f>
        <v/>
      </c>
      <c r="O575" s="20">
        <f>IF(G575="","",Settings!$B$6*IF(OR(F575="GOC",F575="OWC",F575="GWC"),1,0.7)+Settings!$B$7*IF(N575="Supports",1,IF(N575="Conflicts",0,0.5))+Settings!$B$8*IF(AND(Master_Data!R575&lt;&gt;"",Master_Data!S575&lt;&gt;"",Master_Data!R576&lt;&gt;"",Master_Data!S576&lt;&gt;""),1,0.5))</f>
        <v/>
      </c>
      <c r="P575" s="19">
        <f>IF(G575="","",IF(N575="Conflicts","SW_CONFLICT",IF(OR(F575="GOC",F575="OWC",F575="GWC"),"DIRECT_FLUID_TRANSITION","TRANSITION_INTERVAL")))</f>
        <v/>
      </c>
      <c r="Q575" s="19">
        <f>IF(G575="","",IF(N575="Conflicts","Investigate contact interpretation / saturation behaviour",IF(OR(F575="OWC",F575="GOC",F575="GWC"),"Candidate contact — validate with logs, pressure and dynamic evidence","Transition zone — do not force to a sharp contact")))</f>
        <v/>
      </c>
    </row>
    <row r="576">
      <c r="A576" s="19">
        <f>IF(AND(Master_Data!A576&lt;&gt;"",Master_Data!A576=Master_Data!A577),Master_Data!A576,"")</f>
        <v/>
      </c>
      <c r="B576" s="19">
        <f>IF($A576="","",Master_Data!B576)</f>
        <v/>
      </c>
      <c r="C576" s="19">
        <f>IF($A576="","",Master_Data!B577)</f>
        <v/>
      </c>
      <c r="D576" s="19">
        <f>IF($A576="","",Master_Data!Q576)</f>
        <v/>
      </c>
      <c r="E576" s="19">
        <f>IF($A576="","",Master_Data!Q577)</f>
        <v/>
      </c>
      <c r="F576" s="19">
        <f>IF($A576="","",IF(AND(D576="GAS",E576="OIL"),"GOC",IF(AND(D576="OIL",E576="WATER"),"OWC",IF(AND(D576="GAS",E576="WATER"),"GWC",IF(AND(D576="OIL",E576="OIL_WATER"),"OWC_TRANSITION",IF(AND(D576="OIL_WATER",E576="WATER"),"OWC_TRANSITION",IF(AND(D576="GAS",E576="GAS_WATER"),"GOC_TRANSITION",IF(AND(D576="GAS_WATER",E576="OIL"),"GOC_TRANSITION",IF(OR(D576="OIL_WATER",D576="GAS_WATER"),"TRANSITION_INTERVAL","")))))))))</f>
        <v/>
      </c>
      <c r="G576" s="20">
        <f>IF(OR(F576="",Master_Data!R576="",Master_Data!S576=""),"",IF(RIGHT(F576,10)="TRANSITION",AVERAGE(Master_Data!R576:Master_Data!S576),AVERAGE(Master_Data!S576,Master_Data!R577)))</f>
        <v/>
      </c>
      <c r="H576" s="20">
        <f>IF(G576="","",MAX(Settings!$B$4,Settings!$B$5*AVERAGE(IF(Master_Data!O576&lt;&gt;"",Master_Data!O576,Master_Data!H576),IF(Master_Data!O577&lt;&gt;"",Master_Data!O577,Master_Data!H577))))</f>
        <v/>
      </c>
      <c r="I576" s="20">
        <f>IF(G576="","",G576-H576)</f>
        <v/>
      </c>
      <c r="J576" s="20">
        <f>IF(G576="","",G576+H576)</f>
        <v/>
      </c>
      <c r="K576" s="20">
        <f>IF($A576="","",Master_Data!G576)</f>
        <v/>
      </c>
      <c r="L576" s="20">
        <f>IF($A576="","",Master_Data!G577)</f>
        <v/>
      </c>
      <c r="M576" s="20">
        <f>IF(AND(ISNUMBER(K576),ISNUMBER(L576)),L576-K576,"")</f>
        <v/>
      </c>
      <c r="N576" s="19">
        <f>IF(G576="","",IF(AND(ISNUMBER(K576),ISNUMBER(L576)),IF(OR(F576="GOC",F576="OWC",F576="GWC",F576="OWC_TRANSITION",F576="GOC_TRANSITION"),IF(L576&gt;=K576,"Supports","Conflicts"),"N/A"),"No Sw"))</f>
        <v/>
      </c>
      <c r="O576" s="20">
        <f>IF(G576="","",Settings!$B$6*IF(OR(F576="GOC",F576="OWC",F576="GWC"),1,0.7)+Settings!$B$7*IF(N576="Supports",1,IF(N576="Conflicts",0,0.5))+Settings!$B$8*IF(AND(Master_Data!R576&lt;&gt;"",Master_Data!S576&lt;&gt;"",Master_Data!R577&lt;&gt;"",Master_Data!S577&lt;&gt;""),1,0.5))</f>
        <v/>
      </c>
      <c r="P576" s="19">
        <f>IF(G576="","",IF(N576="Conflicts","SW_CONFLICT",IF(OR(F576="GOC",F576="OWC",F576="GWC"),"DIRECT_FLUID_TRANSITION","TRANSITION_INTERVAL")))</f>
        <v/>
      </c>
      <c r="Q576" s="19">
        <f>IF(G576="","",IF(N576="Conflicts","Investigate contact interpretation / saturation behaviour",IF(OR(F576="OWC",F576="GOC",F576="GWC"),"Candidate contact — validate with logs, pressure and dynamic evidence","Transition zone — do not force to a sharp contact")))</f>
        <v/>
      </c>
    </row>
    <row r="577">
      <c r="A577" s="19">
        <f>IF(AND(Master_Data!A577&lt;&gt;"",Master_Data!A577=Master_Data!A578),Master_Data!A577,"")</f>
        <v/>
      </c>
      <c r="B577" s="19">
        <f>IF($A577="","",Master_Data!B577)</f>
        <v/>
      </c>
      <c r="C577" s="19">
        <f>IF($A577="","",Master_Data!B578)</f>
        <v/>
      </c>
      <c r="D577" s="19">
        <f>IF($A577="","",Master_Data!Q577)</f>
        <v/>
      </c>
      <c r="E577" s="19">
        <f>IF($A577="","",Master_Data!Q578)</f>
        <v/>
      </c>
      <c r="F577" s="19">
        <f>IF($A577="","",IF(AND(D577="GAS",E577="OIL"),"GOC",IF(AND(D577="OIL",E577="WATER"),"OWC",IF(AND(D577="GAS",E577="WATER"),"GWC",IF(AND(D577="OIL",E577="OIL_WATER"),"OWC_TRANSITION",IF(AND(D577="OIL_WATER",E577="WATER"),"OWC_TRANSITION",IF(AND(D577="GAS",E577="GAS_WATER"),"GOC_TRANSITION",IF(AND(D577="GAS_WATER",E577="OIL"),"GOC_TRANSITION",IF(OR(D577="OIL_WATER",D577="GAS_WATER"),"TRANSITION_INTERVAL","")))))))))</f>
        <v/>
      </c>
      <c r="G577" s="20">
        <f>IF(OR(F577="",Master_Data!R577="",Master_Data!S577=""),"",IF(RIGHT(F577,10)="TRANSITION",AVERAGE(Master_Data!R577:Master_Data!S577),AVERAGE(Master_Data!S577,Master_Data!R578)))</f>
        <v/>
      </c>
      <c r="H577" s="20">
        <f>IF(G577="","",MAX(Settings!$B$4,Settings!$B$5*AVERAGE(IF(Master_Data!O577&lt;&gt;"",Master_Data!O577,Master_Data!H577),IF(Master_Data!O578&lt;&gt;"",Master_Data!O578,Master_Data!H578))))</f>
        <v/>
      </c>
      <c r="I577" s="20">
        <f>IF(G577="","",G577-H577)</f>
        <v/>
      </c>
      <c r="J577" s="20">
        <f>IF(G577="","",G577+H577)</f>
        <v/>
      </c>
      <c r="K577" s="20">
        <f>IF($A577="","",Master_Data!G577)</f>
        <v/>
      </c>
      <c r="L577" s="20">
        <f>IF($A577="","",Master_Data!G578)</f>
        <v/>
      </c>
      <c r="M577" s="20">
        <f>IF(AND(ISNUMBER(K577),ISNUMBER(L577)),L577-K577,"")</f>
        <v/>
      </c>
      <c r="N577" s="19">
        <f>IF(G577="","",IF(AND(ISNUMBER(K577),ISNUMBER(L577)),IF(OR(F577="GOC",F577="OWC",F577="GWC",F577="OWC_TRANSITION",F577="GOC_TRANSITION"),IF(L577&gt;=K577,"Supports","Conflicts"),"N/A"),"No Sw"))</f>
        <v/>
      </c>
      <c r="O577" s="20">
        <f>IF(G577="","",Settings!$B$6*IF(OR(F577="GOC",F577="OWC",F577="GWC"),1,0.7)+Settings!$B$7*IF(N577="Supports",1,IF(N577="Conflicts",0,0.5))+Settings!$B$8*IF(AND(Master_Data!R577&lt;&gt;"",Master_Data!S577&lt;&gt;"",Master_Data!R578&lt;&gt;"",Master_Data!S578&lt;&gt;""),1,0.5))</f>
        <v/>
      </c>
      <c r="P577" s="19">
        <f>IF(G577="","",IF(N577="Conflicts","SW_CONFLICT",IF(OR(F577="GOC",F577="OWC",F577="GWC"),"DIRECT_FLUID_TRANSITION","TRANSITION_INTERVAL")))</f>
        <v/>
      </c>
      <c r="Q577" s="19">
        <f>IF(G577="","",IF(N577="Conflicts","Investigate contact interpretation / saturation behaviour",IF(OR(F577="OWC",F577="GOC",F577="GWC"),"Candidate contact — validate with logs, pressure and dynamic evidence","Transition zone — do not force to a sharp contact")))</f>
        <v/>
      </c>
    </row>
    <row r="578">
      <c r="A578" s="19">
        <f>IF(AND(Master_Data!A578&lt;&gt;"",Master_Data!A578=Master_Data!A579),Master_Data!A578,"")</f>
        <v/>
      </c>
      <c r="B578" s="19">
        <f>IF($A578="","",Master_Data!B578)</f>
        <v/>
      </c>
      <c r="C578" s="19">
        <f>IF($A578="","",Master_Data!B579)</f>
        <v/>
      </c>
      <c r="D578" s="19">
        <f>IF($A578="","",Master_Data!Q578)</f>
        <v/>
      </c>
      <c r="E578" s="19">
        <f>IF($A578="","",Master_Data!Q579)</f>
        <v/>
      </c>
      <c r="F578" s="19">
        <f>IF($A578="","",IF(AND(D578="GAS",E578="OIL"),"GOC",IF(AND(D578="OIL",E578="WATER"),"OWC",IF(AND(D578="GAS",E578="WATER"),"GWC",IF(AND(D578="OIL",E578="OIL_WATER"),"OWC_TRANSITION",IF(AND(D578="OIL_WATER",E578="WATER"),"OWC_TRANSITION",IF(AND(D578="GAS",E578="GAS_WATER"),"GOC_TRANSITION",IF(AND(D578="GAS_WATER",E578="OIL"),"GOC_TRANSITION",IF(OR(D578="OIL_WATER",D578="GAS_WATER"),"TRANSITION_INTERVAL","")))))))))</f>
        <v/>
      </c>
      <c r="G578" s="20">
        <f>IF(OR(F578="",Master_Data!R578="",Master_Data!S578=""),"",IF(RIGHT(F578,10)="TRANSITION",AVERAGE(Master_Data!R578:Master_Data!S578),AVERAGE(Master_Data!S578,Master_Data!R579)))</f>
        <v/>
      </c>
      <c r="H578" s="20">
        <f>IF(G578="","",MAX(Settings!$B$4,Settings!$B$5*AVERAGE(IF(Master_Data!O578&lt;&gt;"",Master_Data!O578,Master_Data!H578),IF(Master_Data!O579&lt;&gt;"",Master_Data!O579,Master_Data!H579))))</f>
        <v/>
      </c>
      <c r="I578" s="20">
        <f>IF(G578="","",G578-H578)</f>
        <v/>
      </c>
      <c r="J578" s="20">
        <f>IF(G578="","",G578+H578)</f>
        <v/>
      </c>
      <c r="K578" s="20">
        <f>IF($A578="","",Master_Data!G578)</f>
        <v/>
      </c>
      <c r="L578" s="20">
        <f>IF($A578="","",Master_Data!G579)</f>
        <v/>
      </c>
      <c r="M578" s="20">
        <f>IF(AND(ISNUMBER(K578),ISNUMBER(L578)),L578-K578,"")</f>
        <v/>
      </c>
      <c r="N578" s="19">
        <f>IF(G578="","",IF(AND(ISNUMBER(K578),ISNUMBER(L578)),IF(OR(F578="GOC",F578="OWC",F578="GWC",F578="OWC_TRANSITION",F578="GOC_TRANSITION"),IF(L578&gt;=K578,"Supports","Conflicts"),"N/A"),"No Sw"))</f>
        <v/>
      </c>
      <c r="O578" s="20">
        <f>IF(G578="","",Settings!$B$6*IF(OR(F578="GOC",F578="OWC",F578="GWC"),1,0.7)+Settings!$B$7*IF(N578="Supports",1,IF(N578="Conflicts",0,0.5))+Settings!$B$8*IF(AND(Master_Data!R578&lt;&gt;"",Master_Data!S578&lt;&gt;"",Master_Data!R579&lt;&gt;"",Master_Data!S579&lt;&gt;""),1,0.5))</f>
        <v/>
      </c>
      <c r="P578" s="19">
        <f>IF(G578="","",IF(N578="Conflicts","SW_CONFLICT",IF(OR(F578="GOC",F578="OWC",F578="GWC"),"DIRECT_FLUID_TRANSITION","TRANSITION_INTERVAL")))</f>
        <v/>
      </c>
      <c r="Q578" s="19">
        <f>IF(G578="","",IF(N578="Conflicts","Investigate contact interpretation / saturation behaviour",IF(OR(F578="OWC",F578="GOC",F578="GWC"),"Candidate contact — validate with logs, pressure and dynamic evidence","Transition zone — do not force to a sharp contact")))</f>
        <v/>
      </c>
    </row>
    <row r="579">
      <c r="A579" s="19">
        <f>IF(AND(Master_Data!A579&lt;&gt;"",Master_Data!A579=Master_Data!A580),Master_Data!A579,"")</f>
        <v/>
      </c>
      <c r="B579" s="19">
        <f>IF($A579="","",Master_Data!B579)</f>
        <v/>
      </c>
      <c r="C579" s="19">
        <f>IF($A579="","",Master_Data!B580)</f>
        <v/>
      </c>
      <c r="D579" s="19">
        <f>IF($A579="","",Master_Data!Q579)</f>
        <v/>
      </c>
      <c r="E579" s="19">
        <f>IF($A579="","",Master_Data!Q580)</f>
        <v/>
      </c>
      <c r="F579" s="19">
        <f>IF($A579="","",IF(AND(D579="GAS",E579="OIL"),"GOC",IF(AND(D579="OIL",E579="WATER"),"OWC",IF(AND(D579="GAS",E579="WATER"),"GWC",IF(AND(D579="OIL",E579="OIL_WATER"),"OWC_TRANSITION",IF(AND(D579="OIL_WATER",E579="WATER"),"OWC_TRANSITION",IF(AND(D579="GAS",E579="GAS_WATER"),"GOC_TRANSITION",IF(AND(D579="GAS_WATER",E579="OIL"),"GOC_TRANSITION",IF(OR(D579="OIL_WATER",D579="GAS_WATER"),"TRANSITION_INTERVAL","")))))))))</f>
        <v/>
      </c>
      <c r="G579" s="20">
        <f>IF(OR(F579="",Master_Data!R579="",Master_Data!S579=""),"",IF(RIGHT(F579,10)="TRANSITION",AVERAGE(Master_Data!R579:Master_Data!S579),AVERAGE(Master_Data!S579,Master_Data!R580)))</f>
        <v/>
      </c>
      <c r="H579" s="20">
        <f>IF(G579="","",MAX(Settings!$B$4,Settings!$B$5*AVERAGE(IF(Master_Data!O579&lt;&gt;"",Master_Data!O579,Master_Data!H579),IF(Master_Data!O580&lt;&gt;"",Master_Data!O580,Master_Data!H580))))</f>
        <v/>
      </c>
      <c r="I579" s="20">
        <f>IF(G579="","",G579-H579)</f>
        <v/>
      </c>
      <c r="J579" s="20">
        <f>IF(G579="","",G579+H579)</f>
        <v/>
      </c>
      <c r="K579" s="20">
        <f>IF($A579="","",Master_Data!G579)</f>
        <v/>
      </c>
      <c r="L579" s="20">
        <f>IF($A579="","",Master_Data!G580)</f>
        <v/>
      </c>
      <c r="M579" s="20">
        <f>IF(AND(ISNUMBER(K579),ISNUMBER(L579)),L579-K579,"")</f>
        <v/>
      </c>
      <c r="N579" s="19">
        <f>IF(G579="","",IF(AND(ISNUMBER(K579),ISNUMBER(L579)),IF(OR(F579="GOC",F579="OWC",F579="GWC",F579="OWC_TRANSITION",F579="GOC_TRANSITION"),IF(L579&gt;=K579,"Supports","Conflicts"),"N/A"),"No Sw"))</f>
        <v/>
      </c>
      <c r="O579" s="20">
        <f>IF(G579="","",Settings!$B$6*IF(OR(F579="GOC",F579="OWC",F579="GWC"),1,0.7)+Settings!$B$7*IF(N579="Supports",1,IF(N579="Conflicts",0,0.5))+Settings!$B$8*IF(AND(Master_Data!R579&lt;&gt;"",Master_Data!S579&lt;&gt;"",Master_Data!R580&lt;&gt;"",Master_Data!S580&lt;&gt;""),1,0.5))</f>
        <v/>
      </c>
      <c r="P579" s="19">
        <f>IF(G579="","",IF(N579="Conflicts","SW_CONFLICT",IF(OR(F579="GOC",F579="OWC",F579="GWC"),"DIRECT_FLUID_TRANSITION","TRANSITION_INTERVAL")))</f>
        <v/>
      </c>
      <c r="Q579" s="19">
        <f>IF(G579="","",IF(N579="Conflicts","Investigate contact interpretation / saturation behaviour",IF(OR(F579="OWC",F579="GOC",F579="GWC"),"Candidate contact — validate with logs, pressure and dynamic evidence","Transition zone — do not force to a sharp contact")))</f>
        <v/>
      </c>
    </row>
    <row r="580">
      <c r="A580" s="19">
        <f>IF(AND(Master_Data!A580&lt;&gt;"",Master_Data!A580=Master_Data!A581),Master_Data!A580,"")</f>
        <v/>
      </c>
      <c r="B580" s="19">
        <f>IF($A580="","",Master_Data!B580)</f>
        <v/>
      </c>
      <c r="C580" s="19">
        <f>IF($A580="","",Master_Data!B581)</f>
        <v/>
      </c>
      <c r="D580" s="19">
        <f>IF($A580="","",Master_Data!Q580)</f>
        <v/>
      </c>
      <c r="E580" s="19">
        <f>IF($A580="","",Master_Data!Q581)</f>
        <v/>
      </c>
      <c r="F580" s="19">
        <f>IF($A580="","",IF(AND(D580="GAS",E580="OIL"),"GOC",IF(AND(D580="OIL",E580="WATER"),"OWC",IF(AND(D580="GAS",E580="WATER"),"GWC",IF(AND(D580="OIL",E580="OIL_WATER"),"OWC_TRANSITION",IF(AND(D580="OIL_WATER",E580="WATER"),"OWC_TRANSITION",IF(AND(D580="GAS",E580="GAS_WATER"),"GOC_TRANSITION",IF(AND(D580="GAS_WATER",E580="OIL"),"GOC_TRANSITION",IF(OR(D580="OIL_WATER",D580="GAS_WATER"),"TRANSITION_INTERVAL","")))))))))</f>
        <v/>
      </c>
      <c r="G580" s="20">
        <f>IF(OR(F580="",Master_Data!R580="",Master_Data!S580=""),"",IF(RIGHT(F580,10)="TRANSITION",AVERAGE(Master_Data!R580:Master_Data!S580),AVERAGE(Master_Data!S580,Master_Data!R581)))</f>
        <v/>
      </c>
      <c r="H580" s="20">
        <f>IF(G580="","",MAX(Settings!$B$4,Settings!$B$5*AVERAGE(IF(Master_Data!O580&lt;&gt;"",Master_Data!O580,Master_Data!H580),IF(Master_Data!O581&lt;&gt;"",Master_Data!O581,Master_Data!H581))))</f>
        <v/>
      </c>
      <c r="I580" s="20">
        <f>IF(G580="","",G580-H580)</f>
        <v/>
      </c>
      <c r="J580" s="20">
        <f>IF(G580="","",G580+H580)</f>
        <v/>
      </c>
      <c r="K580" s="20">
        <f>IF($A580="","",Master_Data!G580)</f>
        <v/>
      </c>
      <c r="L580" s="20">
        <f>IF($A580="","",Master_Data!G581)</f>
        <v/>
      </c>
      <c r="M580" s="20">
        <f>IF(AND(ISNUMBER(K580),ISNUMBER(L580)),L580-K580,"")</f>
        <v/>
      </c>
      <c r="N580" s="19">
        <f>IF(G580="","",IF(AND(ISNUMBER(K580),ISNUMBER(L580)),IF(OR(F580="GOC",F580="OWC",F580="GWC",F580="OWC_TRANSITION",F580="GOC_TRANSITION"),IF(L580&gt;=K580,"Supports","Conflicts"),"N/A"),"No Sw"))</f>
        <v/>
      </c>
      <c r="O580" s="20">
        <f>IF(G580="","",Settings!$B$6*IF(OR(F580="GOC",F580="OWC",F580="GWC"),1,0.7)+Settings!$B$7*IF(N580="Supports",1,IF(N580="Conflicts",0,0.5))+Settings!$B$8*IF(AND(Master_Data!R580&lt;&gt;"",Master_Data!S580&lt;&gt;"",Master_Data!R581&lt;&gt;"",Master_Data!S581&lt;&gt;""),1,0.5))</f>
        <v/>
      </c>
      <c r="P580" s="19">
        <f>IF(G580="","",IF(N580="Conflicts","SW_CONFLICT",IF(OR(F580="GOC",F580="OWC",F580="GWC"),"DIRECT_FLUID_TRANSITION","TRANSITION_INTERVAL")))</f>
        <v/>
      </c>
      <c r="Q580" s="19">
        <f>IF(G580="","",IF(N580="Conflicts","Investigate contact interpretation / saturation behaviour",IF(OR(F580="OWC",F580="GOC",F580="GWC"),"Candidate contact — validate with logs, pressure and dynamic evidence","Transition zone — do not force to a sharp contact")))</f>
        <v/>
      </c>
    </row>
    <row r="581">
      <c r="A581" s="19">
        <f>IF(AND(Master_Data!A581&lt;&gt;"",Master_Data!A581=Master_Data!A582),Master_Data!A581,"")</f>
        <v/>
      </c>
      <c r="B581" s="19">
        <f>IF($A581="","",Master_Data!B581)</f>
        <v/>
      </c>
      <c r="C581" s="19">
        <f>IF($A581="","",Master_Data!B582)</f>
        <v/>
      </c>
      <c r="D581" s="19">
        <f>IF($A581="","",Master_Data!Q581)</f>
        <v/>
      </c>
      <c r="E581" s="19">
        <f>IF($A581="","",Master_Data!Q582)</f>
        <v/>
      </c>
      <c r="F581" s="19">
        <f>IF($A581="","",IF(AND(D581="GAS",E581="OIL"),"GOC",IF(AND(D581="OIL",E581="WATER"),"OWC",IF(AND(D581="GAS",E581="WATER"),"GWC",IF(AND(D581="OIL",E581="OIL_WATER"),"OWC_TRANSITION",IF(AND(D581="OIL_WATER",E581="WATER"),"OWC_TRANSITION",IF(AND(D581="GAS",E581="GAS_WATER"),"GOC_TRANSITION",IF(AND(D581="GAS_WATER",E581="OIL"),"GOC_TRANSITION",IF(OR(D581="OIL_WATER",D581="GAS_WATER"),"TRANSITION_INTERVAL","")))))))))</f>
        <v/>
      </c>
      <c r="G581" s="20">
        <f>IF(OR(F581="",Master_Data!R581="",Master_Data!S581=""),"",IF(RIGHT(F581,10)="TRANSITION",AVERAGE(Master_Data!R581:Master_Data!S581),AVERAGE(Master_Data!S581,Master_Data!R582)))</f>
        <v/>
      </c>
      <c r="H581" s="20">
        <f>IF(G581="","",MAX(Settings!$B$4,Settings!$B$5*AVERAGE(IF(Master_Data!O581&lt;&gt;"",Master_Data!O581,Master_Data!H581),IF(Master_Data!O582&lt;&gt;"",Master_Data!O582,Master_Data!H582))))</f>
        <v/>
      </c>
      <c r="I581" s="20">
        <f>IF(G581="","",G581-H581)</f>
        <v/>
      </c>
      <c r="J581" s="20">
        <f>IF(G581="","",G581+H581)</f>
        <v/>
      </c>
      <c r="K581" s="20">
        <f>IF($A581="","",Master_Data!G581)</f>
        <v/>
      </c>
      <c r="L581" s="20">
        <f>IF($A581="","",Master_Data!G582)</f>
        <v/>
      </c>
      <c r="M581" s="20">
        <f>IF(AND(ISNUMBER(K581),ISNUMBER(L581)),L581-K581,"")</f>
        <v/>
      </c>
      <c r="N581" s="19">
        <f>IF(G581="","",IF(AND(ISNUMBER(K581),ISNUMBER(L581)),IF(OR(F581="GOC",F581="OWC",F581="GWC",F581="OWC_TRANSITION",F581="GOC_TRANSITION"),IF(L581&gt;=K581,"Supports","Conflicts"),"N/A"),"No Sw"))</f>
        <v/>
      </c>
      <c r="O581" s="20">
        <f>IF(G581="","",Settings!$B$6*IF(OR(F581="GOC",F581="OWC",F581="GWC"),1,0.7)+Settings!$B$7*IF(N581="Supports",1,IF(N581="Conflicts",0,0.5))+Settings!$B$8*IF(AND(Master_Data!R581&lt;&gt;"",Master_Data!S581&lt;&gt;"",Master_Data!R582&lt;&gt;"",Master_Data!S582&lt;&gt;""),1,0.5))</f>
        <v/>
      </c>
      <c r="P581" s="19">
        <f>IF(G581="","",IF(N581="Conflicts","SW_CONFLICT",IF(OR(F581="GOC",F581="OWC",F581="GWC"),"DIRECT_FLUID_TRANSITION","TRANSITION_INTERVAL")))</f>
        <v/>
      </c>
      <c r="Q581" s="19">
        <f>IF(G581="","",IF(N581="Conflicts","Investigate contact interpretation / saturation behaviour",IF(OR(F581="OWC",F581="GOC",F581="GWC"),"Candidate contact — validate with logs, pressure and dynamic evidence","Transition zone — do not force to a sharp contact")))</f>
        <v/>
      </c>
    </row>
    <row r="582">
      <c r="A582" s="19">
        <f>IF(AND(Master_Data!A582&lt;&gt;"",Master_Data!A582=Master_Data!A583),Master_Data!A582,"")</f>
        <v/>
      </c>
      <c r="B582" s="19">
        <f>IF($A582="","",Master_Data!B582)</f>
        <v/>
      </c>
      <c r="C582" s="19">
        <f>IF($A582="","",Master_Data!B583)</f>
        <v/>
      </c>
      <c r="D582" s="19">
        <f>IF($A582="","",Master_Data!Q582)</f>
        <v/>
      </c>
      <c r="E582" s="19">
        <f>IF($A582="","",Master_Data!Q583)</f>
        <v/>
      </c>
      <c r="F582" s="19">
        <f>IF($A582="","",IF(AND(D582="GAS",E582="OIL"),"GOC",IF(AND(D582="OIL",E582="WATER"),"OWC",IF(AND(D582="GAS",E582="WATER"),"GWC",IF(AND(D582="OIL",E582="OIL_WATER"),"OWC_TRANSITION",IF(AND(D582="OIL_WATER",E582="WATER"),"OWC_TRANSITION",IF(AND(D582="GAS",E582="GAS_WATER"),"GOC_TRANSITION",IF(AND(D582="GAS_WATER",E582="OIL"),"GOC_TRANSITION",IF(OR(D582="OIL_WATER",D582="GAS_WATER"),"TRANSITION_INTERVAL","")))))))))</f>
        <v/>
      </c>
      <c r="G582" s="20">
        <f>IF(OR(F582="",Master_Data!R582="",Master_Data!S582=""),"",IF(RIGHT(F582,10)="TRANSITION",AVERAGE(Master_Data!R582:Master_Data!S582),AVERAGE(Master_Data!S582,Master_Data!R583)))</f>
        <v/>
      </c>
      <c r="H582" s="20">
        <f>IF(G582="","",MAX(Settings!$B$4,Settings!$B$5*AVERAGE(IF(Master_Data!O582&lt;&gt;"",Master_Data!O582,Master_Data!H582),IF(Master_Data!O583&lt;&gt;"",Master_Data!O583,Master_Data!H583))))</f>
        <v/>
      </c>
      <c r="I582" s="20">
        <f>IF(G582="","",G582-H582)</f>
        <v/>
      </c>
      <c r="J582" s="20">
        <f>IF(G582="","",G582+H582)</f>
        <v/>
      </c>
      <c r="K582" s="20">
        <f>IF($A582="","",Master_Data!G582)</f>
        <v/>
      </c>
      <c r="L582" s="20">
        <f>IF($A582="","",Master_Data!G583)</f>
        <v/>
      </c>
      <c r="M582" s="20">
        <f>IF(AND(ISNUMBER(K582),ISNUMBER(L582)),L582-K582,"")</f>
        <v/>
      </c>
      <c r="N582" s="19">
        <f>IF(G582="","",IF(AND(ISNUMBER(K582),ISNUMBER(L582)),IF(OR(F582="GOC",F582="OWC",F582="GWC",F582="OWC_TRANSITION",F582="GOC_TRANSITION"),IF(L582&gt;=K582,"Supports","Conflicts"),"N/A"),"No Sw"))</f>
        <v/>
      </c>
      <c r="O582" s="20">
        <f>IF(G582="","",Settings!$B$6*IF(OR(F582="GOC",F582="OWC",F582="GWC"),1,0.7)+Settings!$B$7*IF(N582="Supports",1,IF(N582="Conflicts",0,0.5))+Settings!$B$8*IF(AND(Master_Data!R582&lt;&gt;"",Master_Data!S582&lt;&gt;"",Master_Data!R583&lt;&gt;"",Master_Data!S583&lt;&gt;""),1,0.5))</f>
        <v/>
      </c>
      <c r="P582" s="19">
        <f>IF(G582="","",IF(N582="Conflicts","SW_CONFLICT",IF(OR(F582="GOC",F582="OWC",F582="GWC"),"DIRECT_FLUID_TRANSITION","TRANSITION_INTERVAL")))</f>
        <v/>
      </c>
      <c r="Q582" s="19">
        <f>IF(G582="","",IF(N582="Conflicts","Investigate contact interpretation / saturation behaviour",IF(OR(F582="OWC",F582="GOC",F582="GWC"),"Candidate contact — validate with logs, pressure and dynamic evidence","Transition zone — do not force to a sharp contact")))</f>
        <v/>
      </c>
    </row>
    <row r="583">
      <c r="A583" s="19">
        <f>IF(AND(Master_Data!A583&lt;&gt;"",Master_Data!A583=Master_Data!A584),Master_Data!A583,"")</f>
        <v/>
      </c>
      <c r="B583" s="19">
        <f>IF($A583="","",Master_Data!B583)</f>
        <v/>
      </c>
      <c r="C583" s="19">
        <f>IF($A583="","",Master_Data!B584)</f>
        <v/>
      </c>
      <c r="D583" s="19">
        <f>IF($A583="","",Master_Data!Q583)</f>
        <v/>
      </c>
      <c r="E583" s="19">
        <f>IF($A583="","",Master_Data!Q584)</f>
        <v/>
      </c>
      <c r="F583" s="19">
        <f>IF($A583="","",IF(AND(D583="GAS",E583="OIL"),"GOC",IF(AND(D583="OIL",E583="WATER"),"OWC",IF(AND(D583="GAS",E583="WATER"),"GWC",IF(AND(D583="OIL",E583="OIL_WATER"),"OWC_TRANSITION",IF(AND(D583="OIL_WATER",E583="WATER"),"OWC_TRANSITION",IF(AND(D583="GAS",E583="GAS_WATER"),"GOC_TRANSITION",IF(AND(D583="GAS_WATER",E583="OIL"),"GOC_TRANSITION",IF(OR(D583="OIL_WATER",D583="GAS_WATER"),"TRANSITION_INTERVAL","")))))))))</f>
        <v/>
      </c>
      <c r="G583" s="20">
        <f>IF(OR(F583="",Master_Data!R583="",Master_Data!S583=""),"",IF(RIGHT(F583,10)="TRANSITION",AVERAGE(Master_Data!R583:Master_Data!S583),AVERAGE(Master_Data!S583,Master_Data!R584)))</f>
        <v/>
      </c>
      <c r="H583" s="20">
        <f>IF(G583="","",MAX(Settings!$B$4,Settings!$B$5*AVERAGE(IF(Master_Data!O583&lt;&gt;"",Master_Data!O583,Master_Data!H583),IF(Master_Data!O584&lt;&gt;"",Master_Data!O584,Master_Data!H584))))</f>
        <v/>
      </c>
      <c r="I583" s="20">
        <f>IF(G583="","",G583-H583)</f>
        <v/>
      </c>
      <c r="J583" s="20">
        <f>IF(G583="","",G583+H583)</f>
        <v/>
      </c>
      <c r="K583" s="20">
        <f>IF($A583="","",Master_Data!G583)</f>
        <v/>
      </c>
      <c r="L583" s="20">
        <f>IF($A583="","",Master_Data!G584)</f>
        <v/>
      </c>
      <c r="M583" s="20">
        <f>IF(AND(ISNUMBER(K583),ISNUMBER(L583)),L583-K583,"")</f>
        <v/>
      </c>
      <c r="N583" s="19">
        <f>IF(G583="","",IF(AND(ISNUMBER(K583),ISNUMBER(L583)),IF(OR(F583="GOC",F583="OWC",F583="GWC",F583="OWC_TRANSITION",F583="GOC_TRANSITION"),IF(L583&gt;=K583,"Supports","Conflicts"),"N/A"),"No Sw"))</f>
        <v/>
      </c>
      <c r="O583" s="20">
        <f>IF(G583="","",Settings!$B$6*IF(OR(F583="GOC",F583="OWC",F583="GWC"),1,0.7)+Settings!$B$7*IF(N583="Supports",1,IF(N583="Conflicts",0,0.5))+Settings!$B$8*IF(AND(Master_Data!R583&lt;&gt;"",Master_Data!S583&lt;&gt;"",Master_Data!R584&lt;&gt;"",Master_Data!S584&lt;&gt;""),1,0.5))</f>
        <v/>
      </c>
      <c r="P583" s="19">
        <f>IF(G583="","",IF(N583="Conflicts","SW_CONFLICT",IF(OR(F583="GOC",F583="OWC",F583="GWC"),"DIRECT_FLUID_TRANSITION","TRANSITION_INTERVAL")))</f>
        <v/>
      </c>
      <c r="Q583" s="19">
        <f>IF(G583="","",IF(N583="Conflicts","Investigate contact interpretation / saturation behaviour",IF(OR(F583="OWC",F583="GOC",F583="GWC"),"Candidate contact — validate with logs, pressure and dynamic evidence","Transition zone — do not force to a sharp contact")))</f>
        <v/>
      </c>
    </row>
    <row r="584">
      <c r="A584" s="19">
        <f>IF(AND(Master_Data!A584&lt;&gt;"",Master_Data!A584=Master_Data!A585),Master_Data!A584,"")</f>
        <v/>
      </c>
      <c r="B584" s="19">
        <f>IF($A584="","",Master_Data!B584)</f>
        <v/>
      </c>
      <c r="C584" s="19">
        <f>IF($A584="","",Master_Data!B585)</f>
        <v/>
      </c>
      <c r="D584" s="19">
        <f>IF($A584="","",Master_Data!Q584)</f>
        <v/>
      </c>
      <c r="E584" s="19">
        <f>IF($A584="","",Master_Data!Q585)</f>
        <v/>
      </c>
      <c r="F584" s="19">
        <f>IF($A584="","",IF(AND(D584="GAS",E584="OIL"),"GOC",IF(AND(D584="OIL",E584="WATER"),"OWC",IF(AND(D584="GAS",E584="WATER"),"GWC",IF(AND(D584="OIL",E584="OIL_WATER"),"OWC_TRANSITION",IF(AND(D584="OIL_WATER",E584="WATER"),"OWC_TRANSITION",IF(AND(D584="GAS",E584="GAS_WATER"),"GOC_TRANSITION",IF(AND(D584="GAS_WATER",E584="OIL"),"GOC_TRANSITION",IF(OR(D584="OIL_WATER",D584="GAS_WATER"),"TRANSITION_INTERVAL","")))))))))</f>
        <v/>
      </c>
      <c r="G584" s="20">
        <f>IF(OR(F584="",Master_Data!R584="",Master_Data!S584=""),"",IF(RIGHT(F584,10)="TRANSITION",AVERAGE(Master_Data!R584:Master_Data!S584),AVERAGE(Master_Data!S584,Master_Data!R585)))</f>
        <v/>
      </c>
      <c r="H584" s="20">
        <f>IF(G584="","",MAX(Settings!$B$4,Settings!$B$5*AVERAGE(IF(Master_Data!O584&lt;&gt;"",Master_Data!O584,Master_Data!H584),IF(Master_Data!O585&lt;&gt;"",Master_Data!O585,Master_Data!H585))))</f>
        <v/>
      </c>
      <c r="I584" s="20">
        <f>IF(G584="","",G584-H584)</f>
        <v/>
      </c>
      <c r="J584" s="20">
        <f>IF(G584="","",G584+H584)</f>
        <v/>
      </c>
      <c r="K584" s="20">
        <f>IF($A584="","",Master_Data!G584)</f>
        <v/>
      </c>
      <c r="L584" s="20">
        <f>IF($A584="","",Master_Data!G585)</f>
        <v/>
      </c>
      <c r="M584" s="20">
        <f>IF(AND(ISNUMBER(K584),ISNUMBER(L584)),L584-K584,"")</f>
        <v/>
      </c>
      <c r="N584" s="19">
        <f>IF(G584="","",IF(AND(ISNUMBER(K584),ISNUMBER(L584)),IF(OR(F584="GOC",F584="OWC",F584="GWC",F584="OWC_TRANSITION",F584="GOC_TRANSITION"),IF(L584&gt;=K584,"Supports","Conflicts"),"N/A"),"No Sw"))</f>
        <v/>
      </c>
      <c r="O584" s="20">
        <f>IF(G584="","",Settings!$B$6*IF(OR(F584="GOC",F584="OWC",F584="GWC"),1,0.7)+Settings!$B$7*IF(N584="Supports",1,IF(N584="Conflicts",0,0.5))+Settings!$B$8*IF(AND(Master_Data!R584&lt;&gt;"",Master_Data!S584&lt;&gt;"",Master_Data!R585&lt;&gt;"",Master_Data!S585&lt;&gt;""),1,0.5))</f>
        <v/>
      </c>
      <c r="P584" s="19">
        <f>IF(G584="","",IF(N584="Conflicts","SW_CONFLICT",IF(OR(F584="GOC",F584="OWC",F584="GWC"),"DIRECT_FLUID_TRANSITION","TRANSITION_INTERVAL")))</f>
        <v/>
      </c>
      <c r="Q584" s="19">
        <f>IF(G584="","",IF(N584="Conflicts","Investigate contact interpretation / saturation behaviour",IF(OR(F584="OWC",F584="GOC",F584="GWC"),"Candidate contact — validate with logs, pressure and dynamic evidence","Transition zone — do not force to a sharp contact")))</f>
        <v/>
      </c>
    </row>
    <row r="585">
      <c r="A585" s="19">
        <f>IF(AND(Master_Data!A585&lt;&gt;"",Master_Data!A585=Master_Data!A586),Master_Data!A585,"")</f>
        <v/>
      </c>
      <c r="B585" s="19">
        <f>IF($A585="","",Master_Data!B585)</f>
        <v/>
      </c>
      <c r="C585" s="19">
        <f>IF($A585="","",Master_Data!B586)</f>
        <v/>
      </c>
      <c r="D585" s="19">
        <f>IF($A585="","",Master_Data!Q585)</f>
        <v/>
      </c>
      <c r="E585" s="19">
        <f>IF($A585="","",Master_Data!Q586)</f>
        <v/>
      </c>
      <c r="F585" s="19">
        <f>IF($A585="","",IF(AND(D585="GAS",E585="OIL"),"GOC",IF(AND(D585="OIL",E585="WATER"),"OWC",IF(AND(D585="GAS",E585="WATER"),"GWC",IF(AND(D585="OIL",E585="OIL_WATER"),"OWC_TRANSITION",IF(AND(D585="OIL_WATER",E585="WATER"),"OWC_TRANSITION",IF(AND(D585="GAS",E585="GAS_WATER"),"GOC_TRANSITION",IF(AND(D585="GAS_WATER",E585="OIL"),"GOC_TRANSITION",IF(OR(D585="OIL_WATER",D585="GAS_WATER"),"TRANSITION_INTERVAL","")))))))))</f>
        <v/>
      </c>
      <c r="G585" s="20">
        <f>IF(OR(F585="",Master_Data!R585="",Master_Data!S585=""),"",IF(RIGHT(F585,10)="TRANSITION",AVERAGE(Master_Data!R585:Master_Data!S585),AVERAGE(Master_Data!S585,Master_Data!R586)))</f>
        <v/>
      </c>
      <c r="H585" s="20">
        <f>IF(G585="","",MAX(Settings!$B$4,Settings!$B$5*AVERAGE(IF(Master_Data!O585&lt;&gt;"",Master_Data!O585,Master_Data!H585),IF(Master_Data!O586&lt;&gt;"",Master_Data!O586,Master_Data!H586))))</f>
        <v/>
      </c>
      <c r="I585" s="20">
        <f>IF(G585="","",G585-H585)</f>
        <v/>
      </c>
      <c r="J585" s="20">
        <f>IF(G585="","",G585+H585)</f>
        <v/>
      </c>
      <c r="K585" s="20">
        <f>IF($A585="","",Master_Data!G585)</f>
        <v/>
      </c>
      <c r="L585" s="20">
        <f>IF($A585="","",Master_Data!G586)</f>
        <v/>
      </c>
      <c r="M585" s="20">
        <f>IF(AND(ISNUMBER(K585),ISNUMBER(L585)),L585-K585,"")</f>
        <v/>
      </c>
      <c r="N585" s="19">
        <f>IF(G585="","",IF(AND(ISNUMBER(K585),ISNUMBER(L585)),IF(OR(F585="GOC",F585="OWC",F585="GWC",F585="OWC_TRANSITION",F585="GOC_TRANSITION"),IF(L585&gt;=K585,"Supports","Conflicts"),"N/A"),"No Sw"))</f>
        <v/>
      </c>
      <c r="O585" s="20">
        <f>IF(G585="","",Settings!$B$6*IF(OR(F585="GOC",F585="OWC",F585="GWC"),1,0.7)+Settings!$B$7*IF(N585="Supports",1,IF(N585="Conflicts",0,0.5))+Settings!$B$8*IF(AND(Master_Data!R585&lt;&gt;"",Master_Data!S585&lt;&gt;"",Master_Data!R586&lt;&gt;"",Master_Data!S586&lt;&gt;""),1,0.5))</f>
        <v/>
      </c>
      <c r="P585" s="19">
        <f>IF(G585="","",IF(N585="Conflicts","SW_CONFLICT",IF(OR(F585="GOC",F585="OWC",F585="GWC"),"DIRECT_FLUID_TRANSITION","TRANSITION_INTERVAL")))</f>
        <v/>
      </c>
      <c r="Q585" s="19">
        <f>IF(G585="","",IF(N585="Conflicts","Investigate contact interpretation / saturation behaviour",IF(OR(F585="OWC",F585="GOC",F585="GWC"),"Candidate contact — validate with logs, pressure and dynamic evidence","Transition zone — do not force to a sharp contact")))</f>
        <v/>
      </c>
    </row>
    <row r="586">
      <c r="A586" s="19">
        <f>IF(AND(Master_Data!A586&lt;&gt;"",Master_Data!A586=Master_Data!A587),Master_Data!A586,"")</f>
        <v/>
      </c>
      <c r="B586" s="19">
        <f>IF($A586="","",Master_Data!B586)</f>
        <v/>
      </c>
      <c r="C586" s="19">
        <f>IF($A586="","",Master_Data!B587)</f>
        <v/>
      </c>
      <c r="D586" s="19">
        <f>IF($A586="","",Master_Data!Q586)</f>
        <v/>
      </c>
      <c r="E586" s="19">
        <f>IF($A586="","",Master_Data!Q587)</f>
        <v/>
      </c>
      <c r="F586" s="19">
        <f>IF($A586="","",IF(AND(D586="GAS",E586="OIL"),"GOC",IF(AND(D586="OIL",E586="WATER"),"OWC",IF(AND(D586="GAS",E586="WATER"),"GWC",IF(AND(D586="OIL",E586="OIL_WATER"),"OWC_TRANSITION",IF(AND(D586="OIL_WATER",E586="WATER"),"OWC_TRANSITION",IF(AND(D586="GAS",E586="GAS_WATER"),"GOC_TRANSITION",IF(AND(D586="GAS_WATER",E586="OIL"),"GOC_TRANSITION",IF(OR(D586="OIL_WATER",D586="GAS_WATER"),"TRANSITION_INTERVAL","")))))))))</f>
        <v/>
      </c>
      <c r="G586" s="20">
        <f>IF(OR(F586="",Master_Data!R586="",Master_Data!S586=""),"",IF(RIGHT(F586,10)="TRANSITION",AVERAGE(Master_Data!R586:Master_Data!S586),AVERAGE(Master_Data!S586,Master_Data!R587)))</f>
        <v/>
      </c>
      <c r="H586" s="20">
        <f>IF(G586="","",MAX(Settings!$B$4,Settings!$B$5*AVERAGE(IF(Master_Data!O586&lt;&gt;"",Master_Data!O586,Master_Data!H586),IF(Master_Data!O587&lt;&gt;"",Master_Data!O587,Master_Data!H587))))</f>
        <v/>
      </c>
      <c r="I586" s="20">
        <f>IF(G586="","",G586-H586)</f>
        <v/>
      </c>
      <c r="J586" s="20">
        <f>IF(G586="","",G586+H586)</f>
        <v/>
      </c>
      <c r="K586" s="20">
        <f>IF($A586="","",Master_Data!G586)</f>
        <v/>
      </c>
      <c r="L586" s="20">
        <f>IF($A586="","",Master_Data!G587)</f>
        <v/>
      </c>
      <c r="M586" s="20">
        <f>IF(AND(ISNUMBER(K586),ISNUMBER(L586)),L586-K586,"")</f>
        <v/>
      </c>
      <c r="N586" s="19">
        <f>IF(G586="","",IF(AND(ISNUMBER(K586),ISNUMBER(L586)),IF(OR(F586="GOC",F586="OWC",F586="GWC",F586="OWC_TRANSITION",F586="GOC_TRANSITION"),IF(L586&gt;=K586,"Supports","Conflicts"),"N/A"),"No Sw"))</f>
        <v/>
      </c>
      <c r="O586" s="20">
        <f>IF(G586="","",Settings!$B$6*IF(OR(F586="GOC",F586="OWC",F586="GWC"),1,0.7)+Settings!$B$7*IF(N586="Supports",1,IF(N586="Conflicts",0,0.5))+Settings!$B$8*IF(AND(Master_Data!R586&lt;&gt;"",Master_Data!S586&lt;&gt;"",Master_Data!R587&lt;&gt;"",Master_Data!S587&lt;&gt;""),1,0.5))</f>
        <v/>
      </c>
      <c r="P586" s="19">
        <f>IF(G586="","",IF(N586="Conflicts","SW_CONFLICT",IF(OR(F586="GOC",F586="OWC",F586="GWC"),"DIRECT_FLUID_TRANSITION","TRANSITION_INTERVAL")))</f>
        <v/>
      </c>
      <c r="Q586" s="19">
        <f>IF(G586="","",IF(N586="Conflicts","Investigate contact interpretation / saturation behaviour",IF(OR(F586="OWC",F586="GOC",F586="GWC"),"Candidate contact — validate with logs, pressure and dynamic evidence","Transition zone — do not force to a sharp contact")))</f>
        <v/>
      </c>
    </row>
    <row r="587">
      <c r="A587" s="19">
        <f>IF(AND(Master_Data!A587&lt;&gt;"",Master_Data!A587=Master_Data!A588),Master_Data!A587,"")</f>
        <v/>
      </c>
      <c r="B587" s="19">
        <f>IF($A587="","",Master_Data!B587)</f>
        <v/>
      </c>
      <c r="C587" s="19">
        <f>IF($A587="","",Master_Data!B588)</f>
        <v/>
      </c>
      <c r="D587" s="19">
        <f>IF($A587="","",Master_Data!Q587)</f>
        <v/>
      </c>
      <c r="E587" s="19">
        <f>IF($A587="","",Master_Data!Q588)</f>
        <v/>
      </c>
      <c r="F587" s="19">
        <f>IF($A587="","",IF(AND(D587="GAS",E587="OIL"),"GOC",IF(AND(D587="OIL",E587="WATER"),"OWC",IF(AND(D587="GAS",E587="WATER"),"GWC",IF(AND(D587="OIL",E587="OIL_WATER"),"OWC_TRANSITION",IF(AND(D587="OIL_WATER",E587="WATER"),"OWC_TRANSITION",IF(AND(D587="GAS",E587="GAS_WATER"),"GOC_TRANSITION",IF(AND(D587="GAS_WATER",E587="OIL"),"GOC_TRANSITION",IF(OR(D587="OIL_WATER",D587="GAS_WATER"),"TRANSITION_INTERVAL","")))))))))</f>
        <v/>
      </c>
      <c r="G587" s="20">
        <f>IF(OR(F587="",Master_Data!R587="",Master_Data!S587=""),"",IF(RIGHT(F587,10)="TRANSITION",AVERAGE(Master_Data!R587:Master_Data!S587),AVERAGE(Master_Data!S587,Master_Data!R588)))</f>
        <v/>
      </c>
      <c r="H587" s="20">
        <f>IF(G587="","",MAX(Settings!$B$4,Settings!$B$5*AVERAGE(IF(Master_Data!O587&lt;&gt;"",Master_Data!O587,Master_Data!H587),IF(Master_Data!O588&lt;&gt;"",Master_Data!O588,Master_Data!H588))))</f>
        <v/>
      </c>
      <c r="I587" s="20">
        <f>IF(G587="","",G587-H587)</f>
        <v/>
      </c>
      <c r="J587" s="20">
        <f>IF(G587="","",G587+H587)</f>
        <v/>
      </c>
      <c r="K587" s="20">
        <f>IF($A587="","",Master_Data!G587)</f>
        <v/>
      </c>
      <c r="L587" s="20">
        <f>IF($A587="","",Master_Data!G588)</f>
        <v/>
      </c>
      <c r="M587" s="20">
        <f>IF(AND(ISNUMBER(K587),ISNUMBER(L587)),L587-K587,"")</f>
        <v/>
      </c>
      <c r="N587" s="19">
        <f>IF(G587="","",IF(AND(ISNUMBER(K587),ISNUMBER(L587)),IF(OR(F587="GOC",F587="OWC",F587="GWC",F587="OWC_TRANSITION",F587="GOC_TRANSITION"),IF(L587&gt;=K587,"Supports","Conflicts"),"N/A"),"No Sw"))</f>
        <v/>
      </c>
      <c r="O587" s="20">
        <f>IF(G587="","",Settings!$B$6*IF(OR(F587="GOC",F587="OWC",F587="GWC"),1,0.7)+Settings!$B$7*IF(N587="Supports",1,IF(N587="Conflicts",0,0.5))+Settings!$B$8*IF(AND(Master_Data!R587&lt;&gt;"",Master_Data!S587&lt;&gt;"",Master_Data!R588&lt;&gt;"",Master_Data!S588&lt;&gt;""),1,0.5))</f>
        <v/>
      </c>
      <c r="P587" s="19">
        <f>IF(G587="","",IF(N587="Conflicts","SW_CONFLICT",IF(OR(F587="GOC",F587="OWC",F587="GWC"),"DIRECT_FLUID_TRANSITION","TRANSITION_INTERVAL")))</f>
        <v/>
      </c>
      <c r="Q587" s="19">
        <f>IF(G587="","",IF(N587="Conflicts","Investigate contact interpretation / saturation behaviour",IF(OR(F587="OWC",F587="GOC",F587="GWC"),"Candidate contact — validate with logs, pressure and dynamic evidence","Transition zone — do not force to a sharp contact")))</f>
        <v/>
      </c>
    </row>
    <row r="588">
      <c r="A588" s="19">
        <f>IF(AND(Master_Data!A588&lt;&gt;"",Master_Data!A588=Master_Data!A589),Master_Data!A588,"")</f>
        <v/>
      </c>
      <c r="B588" s="19">
        <f>IF($A588="","",Master_Data!B588)</f>
        <v/>
      </c>
      <c r="C588" s="19">
        <f>IF($A588="","",Master_Data!B589)</f>
        <v/>
      </c>
      <c r="D588" s="19">
        <f>IF($A588="","",Master_Data!Q588)</f>
        <v/>
      </c>
      <c r="E588" s="19">
        <f>IF($A588="","",Master_Data!Q589)</f>
        <v/>
      </c>
      <c r="F588" s="19">
        <f>IF($A588="","",IF(AND(D588="GAS",E588="OIL"),"GOC",IF(AND(D588="OIL",E588="WATER"),"OWC",IF(AND(D588="GAS",E588="WATER"),"GWC",IF(AND(D588="OIL",E588="OIL_WATER"),"OWC_TRANSITION",IF(AND(D588="OIL_WATER",E588="WATER"),"OWC_TRANSITION",IF(AND(D588="GAS",E588="GAS_WATER"),"GOC_TRANSITION",IF(AND(D588="GAS_WATER",E588="OIL"),"GOC_TRANSITION",IF(OR(D588="OIL_WATER",D588="GAS_WATER"),"TRANSITION_INTERVAL","")))))))))</f>
        <v/>
      </c>
      <c r="G588" s="20">
        <f>IF(OR(F588="",Master_Data!R588="",Master_Data!S588=""),"",IF(RIGHT(F588,10)="TRANSITION",AVERAGE(Master_Data!R588:Master_Data!S588),AVERAGE(Master_Data!S588,Master_Data!R589)))</f>
        <v/>
      </c>
      <c r="H588" s="20">
        <f>IF(G588="","",MAX(Settings!$B$4,Settings!$B$5*AVERAGE(IF(Master_Data!O588&lt;&gt;"",Master_Data!O588,Master_Data!H588),IF(Master_Data!O589&lt;&gt;"",Master_Data!O589,Master_Data!H589))))</f>
        <v/>
      </c>
      <c r="I588" s="20">
        <f>IF(G588="","",G588-H588)</f>
        <v/>
      </c>
      <c r="J588" s="20">
        <f>IF(G588="","",G588+H588)</f>
        <v/>
      </c>
      <c r="K588" s="20">
        <f>IF($A588="","",Master_Data!G588)</f>
        <v/>
      </c>
      <c r="L588" s="20">
        <f>IF($A588="","",Master_Data!G589)</f>
        <v/>
      </c>
      <c r="M588" s="20">
        <f>IF(AND(ISNUMBER(K588),ISNUMBER(L588)),L588-K588,"")</f>
        <v/>
      </c>
      <c r="N588" s="19">
        <f>IF(G588="","",IF(AND(ISNUMBER(K588),ISNUMBER(L588)),IF(OR(F588="GOC",F588="OWC",F588="GWC",F588="OWC_TRANSITION",F588="GOC_TRANSITION"),IF(L588&gt;=K588,"Supports","Conflicts"),"N/A"),"No Sw"))</f>
        <v/>
      </c>
      <c r="O588" s="20">
        <f>IF(G588="","",Settings!$B$6*IF(OR(F588="GOC",F588="OWC",F588="GWC"),1,0.7)+Settings!$B$7*IF(N588="Supports",1,IF(N588="Conflicts",0,0.5))+Settings!$B$8*IF(AND(Master_Data!R588&lt;&gt;"",Master_Data!S588&lt;&gt;"",Master_Data!R589&lt;&gt;"",Master_Data!S589&lt;&gt;""),1,0.5))</f>
        <v/>
      </c>
      <c r="P588" s="19">
        <f>IF(G588="","",IF(N588="Conflicts","SW_CONFLICT",IF(OR(F588="GOC",F588="OWC",F588="GWC"),"DIRECT_FLUID_TRANSITION","TRANSITION_INTERVAL")))</f>
        <v/>
      </c>
      <c r="Q588" s="19">
        <f>IF(G588="","",IF(N588="Conflicts","Investigate contact interpretation / saturation behaviour",IF(OR(F588="OWC",F588="GOC",F588="GWC"),"Candidate contact — validate with logs, pressure and dynamic evidence","Transition zone — do not force to a sharp contact")))</f>
        <v/>
      </c>
    </row>
    <row r="589">
      <c r="A589" s="19">
        <f>IF(AND(Master_Data!A589&lt;&gt;"",Master_Data!A589=Master_Data!A590),Master_Data!A589,"")</f>
        <v/>
      </c>
      <c r="B589" s="19">
        <f>IF($A589="","",Master_Data!B589)</f>
        <v/>
      </c>
      <c r="C589" s="19">
        <f>IF($A589="","",Master_Data!B590)</f>
        <v/>
      </c>
      <c r="D589" s="19">
        <f>IF($A589="","",Master_Data!Q589)</f>
        <v/>
      </c>
      <c r="E589" s="19">
        <f>IF($A589="","",Master_Data!Q590)</f>
        <v/>
      </c>
      <c r="F589" s="19">
        <f>IF($A589="","",IF(AND(D589="GAS",E589="OIL"),"GOC",IF(AND(D589="OIL",E589="WATER"),"OWC",IF(AND(D589="GAS",E589="WATER"),"GWC",IF(AND(D589="OIL",E589="OIL_WATER"),"OWC_TRANSITION",IF(AND(D589="OIL_WATER",E589="WATER"),"OWC_TRANSITION",IF(AND(D589="GAS",E589="GAS_WATER"),"GOC_TRANSITION",IF(AND(D589="GAS_WATER",E589="OIL"),"GOC_TRANSITION",IF(OR(D589="OIL_WATER",D589="GAS_WATER"),"TRANSITION_INTERVAL","")))))))))</f>
        <v/>
      </c>
      <c r="G589" s="20">
        <f>IF(OR(F589="",Master_Data!R589="",Master_Data!S589=""),"",IF(RIGHT(F589,10)="TRANSITION",AVERAGE(Master_Data!R589:Master_Data!S589),AVERAGE(Master_Data!S589,Master_Data!R590)))</f>
        <v/>
      </c>
      <c r="H589" s="20">
        <f>IF(G589="","",MAX(Settings!$B$4,Settings!$B$5*AVERAGE(IF(Master_Data!O589&lt;&gt;"",Master_Data!O589,Master_Data!H589),IF(Master_Data!O590&lt;&gt;"",Master_Data!O590,Master_Data!H590))))</f>
        <v/>
      </c>
      <c r="I589" s="20">
        <f>IF(G589="","",G589-H589)</f>
        <v/>
      </c>
      <c r="J589" s="20">
        <f>IF(G589="","",G589+H589)</f>
        <v/>
      </c>
      <c r="K589" s="20">
        <f>IF($A589="","",Master_Data!G589)</f>
        <v/>
      </c>
      <c r="L589" s="20">
        <f>IF($A589="","",Master_Data!G590)</f>
        <v/>
      </c>
      <c r="M589" s="20">
        <f>IF(AND(ISNUMBER(K589),ISNUMBER(L589)),L589-K589,"")</f>
        <v/>
      </c>
      <c r="N589" s="19">
        <f>IF(G589="","",IF(AND(ISNUMBER(K589),ISNUMBER(L589)),IF(OR(F589="GOC",F589="OWC",F589="GWC",F589="OWC_TRANSITION",F589="GOC_TRANSITION"),IF(L589&gt;=K589,"Supports","Conflicts"),"N/A"),"No Sw"))</f>
        <v/>
      </c>
      <c r="O589" s="20">
        <f>IF(G589="","",Settings!$B$6*IF(OR(F589="GOC",F589="OWC",F589="GWC"),1,0.7)+Settings!$B$7*IF(N589="Supports",1,IF(N589="Conflicts",0,0.5))+Settings!$B$8*IF(AND(Master_Data!R589&lt;&gt;"",Master_Data!S589&lt;&gt;"",Master_Data!R590&lt;&gt;"",Master_Data!S590&lt;&gt;""),1,0.5))</f>
        <v/>
      </c>
      <c r="P589" s="19">
        <f>IF(G589="","",IF(N589="Conflicts","SW_CONFLICT",IF(OR(F589="GOC",F589="OWC",F589="GWC"),"DIRECT_FLUID_TRANSITION","TRANSITION_INTERVAL")))</f>
        <v/>
      </c>
      <c r="Q589" s="19">
        <f>IF(G589="","",IF(N589="Conflicts","Investigate contact interpretation / saturation behaviour",IF(OR(F589="OWC",F589="GOC",F589="GWC"),"Candidate contact — validate with logs, pressure and dynamic evidence","Transition zone — do not force to a sharp contact")))</f>
        <v/>
      </c>
    </row>
    <row r="590">
      <c r="A590" s="19">
        <f>IF(AND(Master_Data!A590&lt;&gt;"",Master_Data!A590=Master_Data!A591),Master_Data!A590,"")</f>
        <v/>
      </c>
      <c r="B590" s="19">
        <f>IF($A590="","",Master_Data!B590)</f>
        <v/>
      </c>
      <c r="C590" s="19">
        <f>IF($A590="","",Master_Data!B591)</f>
        <v/>
      </c>
      <c r="D590" s="19">
        <f>IF($A590="","",Master_Data!Q590)</f>
        <v/>
      </c>
      <c r="E590" s="19">
        <f>IF($A590="","",Master_Data!Q591)</f>
        <v/>
      </c>
      <c r="F590" s="19">
        <f>IF($A590="","",IF(AND(D590="GAS",E590="OIL"),"GOC",IF(AND(D590="OIL",E590="WATER"),"OWC",IF(AND(D590="GAS",E590="WATER"),"GWC",IF(AND(D590="OIL",E590="OIL_WATER"),"OWC_TRANSITION",IF(AND(D590="OIL_WATER",E590="WATER"),"OWC_TRANSITION",IF(AND(D590="GAS",E590="GAS_WATER"),"GOC_TRANSITION",IF(AND(D590="GAS_WATER",E590="OIL"),"GOC_TRANSITION",IF(OR(D590="OIL_WATER",D590="GAS_WATER"),"TRANSITION_INTERVAL","")))))))))</f>
        <v/>
      </c>
      <c r="G590" s="20">
        <f>IF(OR(F590="",Master_Data!R590="",Master_Data!S590=""),"",IF(RIGHT(F590,10)="TRANSITION",AVERAGE(Master_Data!R590:Master_Data!S590),AVERAGE(Master_Data!S590,Master_Data!R591)))</f>
        <v/>
      </c>
      <c r="H590" s="20">
        <f>IF(G590="","",MAX(Settings!$B$4,Settings!$B$5*AVERAGE(IF(Master_Data!O590&lt;&gt;"",Master_Data!O590,Master_Data!H590),IF(Master_Data!O591&lt;&gt;"",Master_Data!O591,Master_Data!H591))))</f>
        <v/>
      </c>
      <c r="I590" s="20">
        <f>IF(G590="","",G590-H590)</f>
        <v/>
      </c>
      <c r="J590" s="20">
        <f>IF(G590="","",G590+H590)</f>
        <v/>
      </c>
      <c r="K590" s="20">
        <f>IF($A590="","",Master_Data!G590)</f>
        <v/>
      </c>
      <c r="L590" s="20">
        <f>IF($A590="","",Master_Data!G591)</f>
        <v/>
      </c>
      <c r="M590" s="20">
        <f>IF(AND(ISNUMBER(K590),ISNUMBER(L590)),L590-K590,"")</f>
        <v/>
      </c>
      <c r="N590" s="19">
        <f>IF(G590="","",IF(AND(ISNUMBER(K590),ISNUMBER(L590)),IF(OR(F590="GOC",F590="OWC",F590="GWC",F590="OWC_TRANSITION",F590="GOC_TRANSITION"),IF(L590&gt;=K590,"Supports","Conflicts"),"N/A"),"No Sw"))</f>
        <v/>
      </c>
      <c r="O590" s="20">
        <f>IF(G590="","",Settings!$B$6*IF(OR(F590="GOC",F590="OWC",F590="GWC"),1,0.7)+Settings!$B$7*IF(N590="Supports",1,IF(N590="Conflicts",0,0.5))+Settings!$B$8*IF(AND(Master_Data!R590&lt;&gt;"",Master_Data!S590&lt;&gt;"",Master_Data!R591&lt;&gt;"",Master_Data!S591&lt;&gt;""),1,0.5))</f>
        <v/>
      </c>
      <c r="P590" s="19">
        <f>IF(G590="","",IF(N590="Conflicts","SW_CONFLICT",IF(OR(F590="GOC",F590="OWC",F590="GWC"),"DIRECT_FLUID_TRANSITION","TRANSITION_INTERVAL")))</f>
        <v/>
      </c>
      <c r="Q590" s="19">
        <f>IF(G590="","",IF(N590="Conflicts","Investigate contact interpretation / saturation behaviour",IF(OR(F590="OWC",F590="GOC",F590="GWC"),"Candidate contact — validate with logs, pressure and dynamic evidence","Transition zone — do not force to a sharp contact")))</f>
        <v/>
      </c>
    </row>
    <row r="591">
      <c r="A591" s="19">
        <f>IF(AND(Master_Data!A591&lt;&gt;"",Master_Data!A591=Master_Data!A592),Master_Data!A591,"")</f>
        <v/>
      </c>
      <c r="B591" s="19">
        <f>IF($A591="","",Master_Data!B591)</f>
        <v/>
      </c>
      <c r="C591" s="19">
        <f>IF($A591="","",Master_Data!B592)</f>
        <v/>
      </c>
      <c r="D591" s="19">
        <f>IF($A591="","",Master_Data!Q591)</f>
        <v/>
      </c>
      <c r="E591" s="19">
        <f>IF($A591="","",Master_Data!Q592)</f>
        <v/>
      </c>
      <c r="F591" s="19">
        <f>IF($A591="","",IF(AND(D591="GAS",E591="OIL"),"GOC",IF(AND(D591="OIL",E591="WATER"),"OWC",IF(AND(D591="GAS",E591="WATER"),"GWC",IF(AND(D591="OIL",E591="OIL_WATER"),"OWC_TRANSITION",IF(AND(D591="OIL_WATER",E591="WATER"),"OWC_TRANSITION",IF(AND(D591="GAS",E591="GAS_WATER"),"GOC_TRANSITION",IF(AND(D591="GAS_WATER",E591="OIL"),"GOC_TRANSITION",IF(OR(D591="OIL_WATER",D591="GAS_WATER"),"TRANSITION_INTERVAL","")))))))))</f>
        <v/>
      </c>
      <c r="G591" s="20">
        <f>IF(OR(F591="",Master_Data!R591="",Master_Data!S591=""),"",IF(RIGHT(F591,10)="TRANSITION",AVERAGE(Master_Data!R591:Master_Data!S591),AVERAGE(Master_Data!S591,Master_Data!R592)))</f>
        <v/>
      </c>
      <c r="H591" s="20">
        <f>IF(G591="","",MAX(Settings!$B$4,Settings!$B$5*AVERAGE(IF(Master_Data!O591&lt;&gt;"",Master_Data!O591,Master_Data!H591),IF(Master_Data!O592&lt;&gt;"",Master_Data!O592,Master_Data!H592))))</f>
        <v/>
      </c>
      <c r="I591" s="20">
        <f>IF(G591="","",G591-H591)</f>
        <v/>
      </c>
      <c r="J591" s="20">
        <f>IF(G591="","",G591+H591)</f>
        <v/>
      </c>
      <c r="K591" s="20">
        <f>IF($A591="","",Master_Data!G591)</f>
        <v/>
      </c>
      <c r="L591" s="20">
        <f>IF($A591="","",Master_Data!G592)</f>
        <v/>
      </c>
      <c r="M591" s="20">
        <f>IF(AND(ISNUMBER(K591),ISNUMBER(L591)),L591-K591,"")</f>
        <v/>
      </c>
      <c r="N591" s="19">
        <f>IF(G591="","",IF(AND(ISNUMBER(K591),ISNUMBER(L591)),IF(OR(F591="GOC",F591="OWC",F591="GWC",F591="OWC_TRANSITION",F591="GOC_TRANSITION"),IF(L591&gt;=K591,"Supports","Conflicts"),"N/A"),"No Sw"))</f>
        <v/>
      </c>
      <c r="O591" s="20">
        <f>IF(G591="","",Settings!$B$6*IF(OR(F591="GOC",F591="OWC",F591="GWC"),1,0.7)+Settings!$B$7*IF(N591="Supports",1,IF(N591="Conflicts",0,0.5))+Settings!$B$8*IF(AND(Master_Data!R591&lt;&gt;"",Master_Data!S591&lt;&gt;"",Master_Data!R592&lt;&gt;"",Master_Data!S592&lt;&gt;""),1,0.5))</f>
        <v/>
      </c>
      <c r="P591" s="19">
        <f>IF(G591="","",IF(N591="Conflicts","SW_CONFLICT",IF(OR(F591="GOC",F591="OWC",F591="GWC"),"DIRECT_FLUID_TRANSITION","TRANSITION_INTERVAL")))</f>
        <v/>
      </c>
      <c r="Q591" s="19">
        <f>IF(G591="","",IF(N591="Conflicts","Investigate contact interpretation / saturation behaviour",IF(OR(F591="OWC",F591="GOC",F591="GWC"),"Candidate contact — validate with logs, pressure and dynamic evidence","Transition zone — do not force to a sharp contact")))</f>
        <v/>
      </c>
    </row>
    <row r="592">
      <c r="A592" s="19">
        <f>IF(AND(Master_Data!A592&lt;&gt;"",Master_Data!A592=Master_Data!A593),Master_Data!A592,"")</f>
        <v/>
      </c>
      <c r="B592" s="19">
        <f>IF($A592="","",Master_Data!B592)</f>
        <v/>
      </c>
      <c r="C592" s="19">
        <f>IF($A592="","",Master_Data!B593)</f>
        <v/>
      </c>
      <c r="D592" s="19">
        <f>IF($A592="","",Master_Data!Q592)</f>
        <v/>
      </c>
      <c r="E592" s="19">
        <f>IF($A592="","",Master_Data!Q593)</f>
        <v/>
      </c>
      <c r="F592" s="19">
        <f>IF($A592="","",IF(AND(D592="GAS",E592="OIL"),"GOC",IF(AND(D592="OIL",E592="WATER"),"OWC",IF(AND(D592="GAS",E592="WATER"),"GWC",IF(AND(D592="OIL",E592="OIL_WATER"),"OWC_TRANSITION",IF(AND(D592="OIL_WATER",E592="WATER"),"OWC_TRANSITION",IF(AND(D592="GAS",E592="GAS_WATER"),"GOC_TRANSITION",IF(AND(D592="GAS_WATER",E592="OIL"),"GOC_TRANSITION",IF(OR(D592="OIL_WATER",D592="GAS_WATER"),"TRANSITION_INTERVAL","")))))))))</f>
        <v/>
      </c>
      <c r="G592" s="20">
        <f>IF(OR(F592="",Master_Data!R592="",Master_Data!S592=""),"",IF(RIGHT(F592,10)="TRANSITION",AVERAGE(Master_Data!R592:Master_Data!S592),AVERAGE(Master_Data!S592,Master_Data!R593)))</f>
        <v/>
      </c>
      <c r="H592" s="20">
        <f>IF(G592="","",MAX(Settings!$B$4,Settings!$B$5*AVERAGE(IF(Master_Data!O592&lt;&gt;"",Master_Data!O592,Master_Data!H592),IF(Master_Data!O593&lt;&gt;"",Master_Data!O593,Master_Data!H593))))</f>
        <v/>
      </c>
      <c r="I592" s="20">
        <f>IF(G592="","",G592-H592)</f>
        <v/>
      </c>
      <c r="J592" s="20">
        <f>IF(G592="","",G592+H592)</f>
        <v/>
      </c>
      <c r="K592" s="20">
        <f>IF($A592="","",Master_Data!G592)</f>
        <v/>
      </c>
      <c r="L592" s="20">
        <f>IF($A592="","",Master_Data!G593)</f>
        <v/>
      </c>
      <c r="M592" s="20">
        <f>IF(AND(ISNUMBER(K592),ISNUMBER(L592)),L592-K592,"")</f>
        <v/>
      </c>
      <c r="N592" s="19">
        <f>IF(G592="","",IF(AND(ISNUMBER(K592),ISNUMBER(L592)),IF(OR(F592="GOC",F592="OWC",F592="GWC",F592="OWC_TRANSITION",F592="GOC_TRANSITION"),IF(L592&gt;=K592,"Supports","Conflicts"),"N/A"),"No Sw"))</f>
        <v/>
      </c>
      <c r="O592" s="20">
        <f>IF(G592="","",Settings!$B$6*IF(OR(F592="GOC",F592="OWC",F592="GWC"),1,0.7)+Settings!$B$7*IF(N592="Supports",1,IF(N592="Conflicts",0,0.5))+Settings!$B$8*IF(AND(Master_Data!R592&lt;&gt;"",Master_Data!S592&lt;&gt;"",Master_Data!R593&lt;&gt;"",Master_Data!S593&lt;&gt;""),1,0.5))</f>
        <v/>
      </c>
      <c r="P592" s="19">
        <f>IF(G592="","",IF(N592="Conflicts","SW_CONFLICT",IF(OR(F592="GOC",F592="OWC",F592="GWC"),"DIRECT_FLUID_TRANSITION","TRANSITION_INTERVAL")))</f>
        <v/>
      </c>
      <c r="Q592" s="19">
        <f>IF(G592="","",IF(N592="Conflicts","Investigate contact interpretation / saturation behaviour",IF(OR(F592="OWC",F592="GOC",F592="GWC"),"Candidate contact — validate with logs, pressure and dynamic evidence","Transition zone — do not force to a sharp contact")))</f>
        <v/>
      </c>
    </row>
    <row r="593">
      <c r="A593" s="19">
        <f>IF(AND(Master_Data!A593&lt;&gt;"",Master_Data!A593=Master_Data!A594),Master_Data!A593,"")</f>
        <v/>
      </c>
      <c r="B593" s="19">
        <f>IF($A593="","",Master_Data!B593)</f>
        <v/>
      </c>
      <c r="C593" s="19">
        <f>IF($A593="","",Master_Data!B594)</f>
        <v/>
      </c>
      <c r="D593" s="19">
        <f>IF($A593="","",Master_Data!Q593)</f>
        <v/>
      </c>
      <c r="E593" s="19">
        <f>IF($A593="","",Master_Data!Q594)</f>
        <v/>
      </c>
      <c r="F593" s="19">
        <f>IF($A593="","",IF(AND(D593="GAS",E593="OIL"),"GOC",IF(AND(D593="OIL",E593="WATER"),"OWC",IF(AND(D593="GAS",E593="WATER"),"GWC",IF(AND(D593="OIL",E593="OIL_WATER"),"OWC_TRANSITION",IF(AND(D593="OIL_WATER",E593="WATER"),"OWC_TRANSITION",IF(AND(D593="GAS",E593="GAS_WATER"),"GOC_TRANSITION",IF(AND(D593="GAS_WATER",E593="OIL"),"GOC_TRANSITION",IF(OR(D593="OIL_WATER",D593="GAS_WATER"),"TRANSITION_INTERVAL","")))))))))</f>
        <v/>
      </c>
      <c r="G593" s="20">
        <f>IF(OR(F593="",Master_Data!R593="",Master_Data!S593=""),"",IF(RIGHT(F593,10)="TRANSITION",AVERAGE(Master_Data!R593:Master_Data!S593),AVERAGE(Master_Data!S593,Master_Data!R594)))</f>
        <v/>
      </c>
      <c r="H593" s="20">
        <f>IF(G593="","",MAX(Settings!$B$4,Settings!$B$5*AVERAGE(IF(Master_Data!O593&lt;&gt;"",Master_Data!O593,Master_Data!H593),IF(Master_Data!O594&lt;&gt;"",Master_Data!O594,Master_Data!H594))))</f>
        <v/>
      </c>
      <c r="I593" s="20">
        <f>IF(G593="","",G593-H593)</f>
        <v/>
      </c>
      <c r="J593" s="20">
        <f>IF(G593="","",G593+H593)</f>
        <v/>
      </c>
      <c r="K593" s="20">
        <f>IF($A593="","",Master_Data!G593)</f>
        <v/>
      </c>
      <c r="L593" s="20">
        <f>IF($A593="","",Master_Data!G594)</f>
        <v/>
      </c>
      <c r="M593" s="20">
        <f>IF(AND(ISNUMBER(K593),ISNUMBER(L593)),L593-K593,"")</f>
        <v/>
      </c>
      <c r="N593" s="19">
        <f>IF(G593="","",IF(AND(ISNUMBER(K593),ISNUMBER(L593)),IF(OR(F593="GOC",F593="OWC",F593="GWC",F593="OWC_TRANSITION",F593="GOC_TRANSITION"),IF(L593&gt;=K593,"Supports","Conflicts"),"N/A"),"No Sw"))</f>
        <v/>
      </c>
      <c r="O593" s="20">
        <f>IF(G593="","",Settings!$B$6*IF(OR(F593="GOC",F593="OWC",F593="GWC"),1,0.7)+Settings!$B$7*IF(N593="Supports",1,IF(N593="Conflicts",0,0.5))+Settings!$B$8*IF(AND(Master_Data!R593&lt;&gt;"",Master_Data!S593&lt;&gt;"",Master_Data!R594&lt;&gt;"",Master_Data!S594&lt;&gt;""),1,0.5))</f>
        <v/>
      </c>
      <c r="P593" s="19">
        <f>IF(G593="","",IF(N593="Conflicts","SW_CONFLICT",IF(OR(F593="GOC",F593="OWC",F593="GWC"),"DIRECT_FLUID_TRANSITION","TRANSITION_INTERVAL")))</f>
        <v/>
      </c>
      <c r="Q593" s="19">
        <f>IF(G593="","",IF(N593="Conflicts","Investigate contact interpretation / saturation behaviour",IF(OR(F593="OWC",F593="GOC",F593="GWC"),"Candidate contact — validate with logs, pressure and dynamic evidence","Transition zone — do not force to a sharp contact")))</f>
        <v/>
      </c>
    </row>
    <row r="594">
      <c r="A594" s="19">
        <f>IF(AND(Master_Data!A594&lt;&gt;"",Master_Data!A594=Master_Data!A595),Master_Data!A594,"")</f>
        <v/>
      </c>
      <c r="B594" s="19">
        <f>IF($A594="","",Master_Data!B594)</f>
        <v/>
      </c>
      <c r="C594" s="19">
        <f>IF($A594="","",Master_Data!B595)</f>
        <v/>
      </c>
      <c r="D594" s="19">
        <f>IF($A594="","",Master_Data!Q594)</f>
        <v/>
      </c>
      <c r="E594" s="19">
        <f>IF($A594="","",Master_Data!Q595)</f>
        <v/>
      </c>
      <c r="F594" s="19">
        <f>IF($A594="","",IF(AND(D594="GAS",E594="OIL"),"GOC",IF(AND(D594="OIL",E594="WATER"),"OWC",IF(AND(D594="GAS",E594="WATER"),"GWC",IF(AND(D594="OIL",E594="OIL_WATER"),"OWC_TRANSITION",IF(AND(D594="OIL_WATER",E594="WATER"),"OWC_TRANSITION",IF(AND(D594="GAS",E594="GAS_WATER"),"GOC_TRANSITION",IF(AND(D594="GAS_WATER",E594="OIL"),"GOC_TRANSITION",IF(OR(D594="OIL_WATER",D594="GAS_WATER"),"TRANSITION_INTERVAL","")))))))))</f>
        <v/>
      </c>
      <c r="G594" s="20">
        <f>IF(OR(F594="",Master_Data!R594="",Master_Data!S594=""),"",IF(RIGHT(F594,10)="TRANSITION",AVERAGE(Master_Data!R594:Master_Data!S594),AVERAGE(Master_Data!S594,Master_Data!R595)))</f>
        <v/>
      </c>
      <c r="H594" s="20">
        <f>IF(G594="","",MAX(Settings!$B$4,Settings!$B$5*AVERAGE(IF(Master_Data!O594&lt;&gt;"",Master_Data!O594,Master_Data!H594),IF(Master_Data!O595&lt;&gt;"",Master_Data!O595,Master_Data!H595))))</f>
        <v/>
      </c>
      <c r="I594" s="20">
        <f>IF(G594="","",G594-H594)</f>
        <v/>
      </c>
      <c r="J594" s="20">
        <f>IF(G594="","",G594+H594)</f>
        <v/>
      </c>
      <c r="K594" s="20">
        <f>IF($A594="","",Master_Data!G594)</f>
        <v/>
      </c>
      <c r="L594" s="20">
        <f>IF($A594="","",Master_Data!G595)</f>
        <v/>
      </c>
      <c r="M594" s="20">
        <f>IF(AND(ISNUMBER(K594),ISNUMBER(L594)),L594-K594,"")</f>
        <v/>
      </c>
      <c r="N594" s="19">
        <f>IF(G594="","",IF(AND(ISNUMBER(K594),ISNUMBER(L594)),IF(OR(F594="GOC",F594="OWC",F594="GWC",F594="OWC_TRANSITION",F594="GOC_TRANSITION"),IF(L594&gt;=K594,"Supports","Conflicts"),"N/A"),"No Sw"))</f>
        <v/>
      </c>
      <c r="O594" s="20">
        <f>IF(G594="","",Settings!$B$6*IF(OR(F594="GOC",F594="OWC",F594="GWC"),1,0.7)+Settings!$B$7*IF(N594="Supports",1,IF(N594="Conflicts",0,0.5))+Settings!$B$8*IF(AND(Master_Data!R594&lt;&gt;"",Master_Data!S594&lt;&gt;"",Master_Data!R595&lt;&gt;"",Master_Data!S595&lt;&gt;""),1,0.5))</f>
        <v/>
      </c>
      <c r="P594" s="19">
        <f>IF(G594="","",IF(N594="Conflicts","SW_CONFLICT",IF(OR(F594="GOC",F594="OWC",F594="GWC"),"DIRECT_FLUID_TRANSITION","TRANSITION_INTERVAL")))</f>
        <v/>
      </c>
      <c r="Q594" s="19">
        <f>IF(G594="","",IF(N594="Conflicts","Investigate contact interpretation / saturation behaviour",IF(OR(F594="OWC",F594="GOC",F594="GWC"),"Candidate contact — validate with logs, pressure and dynamic evidence","Transition zone — do not force to a sharp contact")))</f>
        <v/>
      </c>
    </row>
    <row r="595">
      <c r="A595" s="19">
        <f>IF(AND(Master_Data!A595&lt;&gt;"",Master_Data!A595=Master_Data!A596),Master_Data!A595,"")</f>
        <v/>
      </c>
      <c r="B595" s="19">
        <f>IF($A595="","",Master_Data!B595)</f>
        <v/>
      </c>
      <c r="C595" s="19">
        <f>IF($A595="","",Master_Data!B596)</f>
        <v/>
      </c>
      <c r="D595" s="19">
        <f>IF($A595="","",Master_Data!Q595)</f>
        <v/>
      </c>
      <c r="E595" s="19">
        <f>IF($A595="","",Master_Data!Q596)</f>
        <v/>
      </c>
      <c r="F595" s="19">
        <f>IF($A595="","",IF(AND(D595="GAS",E595="OIL"),"GOC",IF(AND(D595="OIL",E595="WATER"),"OWC",IF(AND(D595="GAS",E595="WATER"),"GWC",IF(AND(D595="OIL",E595="OIL_WATER"),"OWC_TRANSITION",IF(AND(D595="OIL_WATER",E595="WATER"),"OWC_TRANSITION",IF(AND(D595="GAS",E595="GAS_WATER"),"GOC_TRANSITION",IF(AND(D595="GAS_WATER",E595="OIL"),"GOC_TRANSITION",IF(OR(D595="OIL_WATER",D595="GAS_WATER"),"TRANSITION_INTERVAL","")))))))))</f>
        <v/>
      </c>
      <c r="G595" s="20">
        <f>IF(OR(F595="",Master_Data!R595="",Master_Data!S595=""),"",IF(RIGHT(F595,10)="TRANSITION",AVERAGE(Master_Data!R595:Master_Data!S595),AVERAGE(Master_Data!S595,Master_Data!R596)))</f>
        <v/>
      </c>
      <c r="H595" s="20">
        <f>IF(G595="","",MAX(Settings!$B$4,Settings!$B$5*AVERAGE(IF(Master_Data!O595&lt;&gt;"",Master_Data!O595,Master_Data!H595),IF(Master_Data!O596&lt;&gt;"",Master_Data!O596,Master_Data!H596))))</f>
        <v/>
      </c>
      <c r="I595" s="20">
        <f>IF(G595="","",G595-H595)</f>
        <v/>
      </c>
      <c r="J595" s="20">
        <f>IF(G595="","",G595+H595)</f>
        <v/>
      </c>
      <c r="K595" s="20">
        <f>IF($A595="","",Master_Data!G595)</f>
        <v/>
      </c>
      <c r="L595" s="20">
        <f>IF($A595="","",Master_Data!G596)</f>
        <v/>
      </c>
      <c r="M595" s="20">
        <f>IF(AND(ISNUMBER(K595),ISNUMBER(L595)),L595-K595,"")</f>
        <v/>
      </c>
      <c r="N595" s="19">
        <f>IF(G595="","",IF(AND(ISNUMBER(K595),ISNUMBER(L595)),IF(OR(F595="GOC",F595="OWC",F595="GWC",F595="OWC_TRANSITION",F595="GOC_TRANSITION"),IF(L595&gt;=K595,"Supports","Conflicts"),"N/A"),"No Sw"))</f>
        <v/>
      </c>
      <c r="O595" s="20">
        <f>IF(G595="","",Settings!$B$6*IF(OR(F595="GOC",F595="OWC",F595="GWC"),1,0.7)+Settings!$B$7*IF(N595="Supports",1,IF(N595="Conflicts",0,0.5))+Settings!$B$8*IF(AND(Master_Data!R595&lt;&gt;"",Master_Data!S595&lt;&gt;"",Master_Data!R596&lt;&gt;"",Master_Data!S596&lt;&gt;""),1,0.5))</f>
        <v/>
      </c>
      <c r="P595" s="19">
        <f>IF(G595="","",IF(N595="Conflicts","SW_CONFLICT",IF(OR(F595="GOC",F595="OWC",F595="GWC"),"DIRECT_FLUID_TRANSITION","TRANSITION_INTERVAL")))</f>
        <v/>
      </c>
      <c r="Q595" s="19">
        <f>IF(G595="","",IF(N595="Conflicts","Investigate contact interpretation / saturation behaviour",IF(OR(F595="OWC",F595="GOC",F595="GWC"),"Candidate contact — validate with logs, pressure and dynamic evidence","Transition zone — do not force to a sharp contact")))</f>
        <v/>
      </c>
    </row>
    <row r="596">
      <c r="A596" s="19">
        <f>IF(AND(Master_Data!A596&lt;&gt;"",Master_Data!A596=Master_Data!A597),Master_Data!A596,"")</f>
        <v/>
      </c>
      <c r="B596" s="19">
        <f>IF($A596="","",Master_Data!B596)</f>
        <v/>
      </c>
      <c r="C596" s="19">
        <f>IF($A596="","",Master_Data!B597)</f>
        <v/>
      </c>
      <c r="D596" s="19">
        <f>IF($A596="","",Master_Data!Q596)</f>
        <v/>
      </c>
      <c r="E596" s="19">
        <f>IF($A596="","",Master_Data!Q597)</f>
        <v/>
      </c>
      <c r="F596" s="19">
        <f>IF($A596="","",IF(AND(D596="GAS",E596="OIL"),"GOC",IF(AND(D596="OIL",E596="WATER"),"OWC",IF(AND(D596="GAS",E596="WATER"),"GWC",IF(AND(D596="OIL",E596="OIL_WATER"),"OWC_TRANSITION",IF(AND(D596="OIL_WATER",E596="WATER"),"OWC_TRANSITION",IF(AND(D596="GAS",E596="GAS_WATER"),"GOC_TRANSITION",IF(AND(D596="GAS_WATER",E596="OIL"),"GOC_TRANSITION",IF(OR(D596="OIL_WATER",D596="GAS_WATER"),"TRANSITION_INTERVAL","")))))))))</f>
        <v/>
      </c>
      <c r="G596" s="20">
        <f>IF(OR(F596="",Master_Data!R596="",Master_Data!S596=""),"",IF(RIGHT(F596,10)="TRANSITION",AVERAGE(Master_Data!R596:Master_Data!S596),AVERAGE(Master_Data!S596,Master_Data!R597)))</f>
        <v/>
      </c>
      <c r="H596" s="20">
        <f>IF(G596="","",MAX(Settings!$B$4,Settings!$B$5*AVERAGE(IF(Master_Data!O596&lt;&gt;"",Master_Data!O596,Master_Data!H596),IF(Master_Data!O597&lt;&gt;"",Master_Data!O597,Master_Data!H597))))</f>
        <v/>
      </c>
      <c r="I596" s="20">
        <f>IF(G596="","",G596-H596)</f>
        <v/>
      </c>
      <c r="J596" s="20">
        <f>IF(G596="","",G596+H596)</f>
        <v/>
      </c>
      <c r="K596" s="20">
        <f>IF($A596="","",Master_Data!G596)</f>
        <v/>
      </c>
      <c r="L596" s="20">
        <f>IF($A596="","",Master_Data!G597)</f>
        <v/>
      </c>
      <c r="M596" s="20">
        <f>IF(AND(ISNUMBER(K596),ISNUMBER(L596)),L596-K596,"")</f>
        <v/>
      </c>
      <c r="N596" s="19">
        <f>IF(G596="","",IF(AND(ISNUMBER(K596),ISNUMBER(L596)),IF(OR(F596="GOC",F596="OWC",F596="GWC",F596="OWC_TRANSITION",F596="GOC_TRANSITION"),IF(L596&gt;=K596,"Supports","Conflicts"),"N/A"),"No Sw"))</f>
        <v/>
      </c>
      <c r="O596" s="20">
        <f>IF(G596="","",Settings!$B$6*IF(OR(F596="GOC",F596="OWC",F596="GWC"),1,0.7)+Settings!$B$7*IF(N596="Supports",1,IF(N596="Conflicts",0,0.5))+Settings!$B$8*IF(AND(Master_Data!R596&lt;&gt;"",Master_Data!S596&lt;&gt;"",Master_Data!R597&lt;&gt;"",Master_Data!S597&lt;&gt;""),1,0.5))</f>
        <v/>
      </c>
      <c r="P596" s="19">
        <f>IF(G596="","",IF(N596="Conflicts","SW_CONFLICT",IF(OR(F596="GOC",F596="OWC",F596="GWC"),"DIRECT_FLUID_TRANSITION","TRANSITION_INTERVAL")))</f>
        <v/>
      </c>
      <c r="Q596" s="19">
        <f>IF(G596="","",IF(N596="Conflicts","Investigate contact interpretation / saturation behaviour",IF(OR(F596="OWC",F596="GOC",F596="GWC"),"Candidate contact — validate with logs, pressure and dynamic evidence","Transition zone — do not force to a sharp contact")))</f>
        <v/>
      </c>
    </row>
    <row r="597">
      <c r="A597" s="19">
        <f>IF(AND(Master_Data!A597&lt;&gt;"",Master_Data!A597=Master_Data!A598),Master_Data!A597,"")</f>
        <v/>
      </c>
      <c r="B597" s="19">
        <f>IF($A597="","",Master_Data!B597)</f>
        <v/>
      </c>
      <c r="C597" s="19">
        <f>IF($A597="","",Master_Data!B598)</f>
        <v/>
      </c>
      <c r="D597" s="19">
        <f>IF($A597="","",Master_Data!Q597)</f>
        <v/>
      </c>
      <c r="E597" s="19">
        <f>IF($A597="","",Master_Data!Q598)</f>
        <v/>
      </c>
      <c r="F597" s="19">
        <f>IF($A597="","",IF(AND(D597="GAS",E597="OIL"),"GOC",IF(AND(D597="OIL",E597="WATER"),"OWC",IF(AND(D597="GAS",E597="WATER"),"GWC",IF(AND(D597="OIL",E597="OIL_WATER"),"OWC_TRANSITION",IF(AND(D597="OIL_WATER",E597="WATER"),"OWC_TRANSITION",IF(AND(D597="GAS",E597="GAS_WATER"),"GOC_TRANSITION",IF(AND(D597="GAS_WATER",E597="OIL"),"GOC_TRANSITION",IF(OR(D597="OIL_WATER",D597="GAS_WATER"),"TRANSITION_INTERVAL","")))))))))</f>
        <v/>
      </c>
      <c r="G597" s="20">
        <f>IF(OR(F597="",Master_Data!R597="",Master_Data!S597=""),"",IF(RIGHT(F597,10)="TRANSITION",AVERAGE(Master_Data!R597:Master_Data!S597),AVERAGE(Master_Data!S597,Master_Data!R598)))</f>
        <v/>
      </c>
      <c r="H597" s="20">
        <f>IF(G597="","",MAX(Settings!$B$4,Settings!$B$5*AVERAGE(IF(Master_Data!O597&lt;&gt;"",Master_Data!O597,Master_Data!H597),IF(Master_Data!O598&lt;&gt;"",Master_Data!O598,Master_Data!H598))))</f>
        <v/>
      </c>
      <c r="I597" s="20">
        <f>IF(G597="","",G597-H597)</f>
        <v/>
      </c>
      <c r="J597" s="20">
        <f>IF(G597="","",G597+H597)</f>
        <v/>
      </c>
      <c r="K597" s="20">
        <f>IF($A597="","",Master_Data!G597)</f>
        <v/>
      </c>
      <c r="L597" s="20">
        <f>IF($A597="","",Master_Data!G598)</f>
        <v/>
      </c>
      <c r="M597" s="20">
        <f>IF(AND(ISNUMBER(K597),ISNUMBER(L597)),L597-K597,"")</f>
        <v/>
      </c>
      <c r="N597" s="19">
        <f>IF(G597="","",IF(AND(ISNUMBER(K597),ISNUMBER(L597)),IF(OR(F597="GOC",F597="OWC",F597="GWC",F597="OWC_TRANSITION",F597="GOC_TRANSITION"),IF(L597&gt;=K597,"Supports","Conflicts"),"N/A"),"No Sw"))</f>
        <v/>
      </c>
      <c r="O597" s="20">
        <f>IF(G597="","",Settings!$B$6*IF(OR(F597="GOC",F597="OWC",F597="GWC"),1,0.7)+Settings!$B$7*IF(N597="Supports",1,IF(N597="Conflicts",0,0.5))+Settings!$B$8*IF(AND(Master_Data!R597&lt;&gt;"",Master_Data!S597&lt;&gt;"",Master_Data!R598&lt;&gt;"",Master_Data!S598&lt;&gt;""),1,0.5))</f>
        <v/>
      </c>
      <c r="P597" s="19">
        <f>IF(G597="","",IF(N597="Conflicts","SW_CONFLICT",IF(OR(F597="GOC",F597="OWC",F597="GWC"),"DIRECT_FLUID_TRANSITION","TRANSITION_INTERVAL")))</f>
        <v/>
      </c>
      <c r="Q597" s="19">
        <f>IF(G597="","",IF(N597="Conflicts","Investigate contact interpretation / saturation behaviour",IF(OR(F597="OWC",F597="GOC",F597="GWC"),"Candidate contact — validate with logs, pressure and dynamic evidence","Transition zone — do not force to a sharp contact")))</f>
        <v/>
      </c>
    </row>
    <row r="598">
      <c r="A598" s="19">
        <f>IF(AND(Master_Data!A598&lt;&gt;"",Master_Data!A598=Master_Data!A599),Master_Data!A598,"")</f>
        <v/>
      </c>
      <c r="B598" s="19">
        <f>IF($A598="","",Master_Data!B598)</f>
        <v/>
      </c>
      <c r="C598" s="19">
        <f>IF($A598="","",Master_Data!B599)</f>
        <v/>
      </c>
      <c r="D598" s="19">
        <f>IF($A598="","",Master_Data!Q598)</f>
        <v/>
      </c>
      <c r="E598" s="19">
        <f>IF($A598="","",Master_Data!Q599)</f>
        <v/>
      </c>
      <c r="F598" s="19">
        <f>IF($A598="","",IF(AND(D598="GAS",E598="OIL"),"GOC",IF(AND(D598="OIL",E598="WATER"),"OWC",IF(AND(D598="GAS",E598="WATER"),"GWC",IF(AND(D598="OIL",E598="OIL_WATER"),"OWC_TRANSITION",IF(AND(D598="OIL_WATER",E598="WATER"),"OWC_TRANSITION",IF(AND(D598="GAS",E598="GAS_WATER"),"GOC_TRANSITION",IF(AND(D598="GAS_WATER",E598="OIL"),"GOC_TRANSITION",IF(OR(D598="OIL_WATER",D598="GAS_WATER"),"TRANSITION_INTERVAL","")))))))))</f>
        <v/>
      </c>
      <c r="G598" s="20">
        <f>IF(OR(F598="",Master_Data!R598="",Master_Data!S598=""),"",IF(RIGHT(F598,10)="TRANSITION",AVERAGE(Master_Data!R598:Master_Data!S598),AVERAGE(Master_Data!S598,Master_Data!R599)))</f>
        <v/>
      </c>
      <c r="H598" s="20">
        <f>IF(G598="","",MAX(Settings!$B$4,Settings!$B$5*AVERAGE(IF(Master_Data!O598&lt;&gt;"",Master_Data!O598,Master_Data!H598),IF(Master_Data!O599&lt;&gt;"",Master_Data!O599,Master_Data!H599))))</f>
        <v/>
      </c>
      <c r="I598" s="20">
        <f>IF(G598="","",G598-H598)</f>
        <v/>
      </c>
      <c r="J598" s="20">
        <f>IF(G598="","",G598+H598)</f>
        <v/>
      </c>
      <c r="K598" s="20">
        <f>IF($A598="","",Master_Data!G598)</f>
        <v/>
      </c>
      <c r="L598" s="20">
        <f>IF($A598="","",Master_Data!G599)</f>
        <v/>
      </c>
      <c r="M598" s="20">
        <f>IF(AND(ISNUMBER(K598),ISNUMBER(L598)),L598-K598,"")</f>
        <v/>
      </c>
      <c r="N598" s="19">
        <f>IF(G598="","",IF(AND(ISNUMBER(K598),ISNUMBER(L598)),IF(OR(F598="GOC",F598="OWC",F598="GWC",F598="OWC_TRANSITION",F598="GOC_TRANSITION"),IF(L598&gt;=K598,"Supports","Conflicts"),"N/A"),"No Sw"))</f>
        <v/>
      </c>
      <c r="O598" s="20">
        <f>IF(G598="","",Settings!$B$6*IF(OR(F598="GOC",F598="OWC",F598="GWC"),1,0.7)+Settings!$B$7*IF(N598="Supports",1,IF(N598="Conflicts",0,0.5))+Settings!$B$8*IF(AND(Master_Data!R598&lt;&gt;"",Master_Data!S598&lt;&gt;"",Master_Data!R599&lt;&gt;"",Master_Data!S599&lt;&gt;""),1,0.5))</f>
        <v/>
      </c>
      <c r="P598" s="19">
        <f>IF(G598="","",IF(N598="Conflicts","SW_CONFLICT",IF(OR(F598="GOC",F598="OWC",F598="GWC"),"DIRECT_FLUID_TRANSITION","TRANSITION_INTERVAL")))</f>
        <v/>
      </c>
      <c r="Q598" s="19">
        <f>IF(G598="","",IF(N598="Conflicts","Investigate contact interpretation / saturation behaviour",IF(OR(F598="OWC",F598="GOC",F598="GWC"),"Candidate contact — validate with logs, pressure and dynamic evidence","Transition zone — do not force to a sharp contact")))</f>
        <v/>
      </c>
    </row>
    <row r="599">
      <c r="A599" s="19">
        <f>IF(AND(Master_Data!A599&lt;&gt;"",Master_Data!A599=Master_Data!A600),Master_Data!A599,"")</f>
        <v/>
      </c>
      <c r="B599" s="19">
        <f>IF($A599="","",Master_Data!B599)</f>
        <v/>
      </c>
      <c r="C599" s="19">
        <f>IF($A599="","",Master_Data!B600)</f>
        <v/>
      </c>
      <c r="D599" s="19">
        <f>IF($A599="","",Master_Data!Q599)</f>
        <v/>
      </c>
      <c r="E599" s="19">
        <f>IF($A599="","",Master_Data!Q600)</f>
        <v/>
      </c>
      <c r="F599" s="19">
        <f>IF($A599="","",IF(AND(D599="GAS",E599="OIL"),"GOC",IF(AND(D599="OIL",E599="WATER"),"OWC",IF(AND(D599="GAS",E599="WATER"),"GWC",IF(AND(D599="OIL",E599="OIL_WATER"),"OWC_TRANSITION",IF(AND(D599="OIL_WATER",E599="WATER"),"OWC_TRANSITION",IF(AND(D599="GAS",E599="GAS_WATER"),"GOC_TRANSITION",IF(AND(D599="GAS_WATER",E599="OIL"),"GOC_TRANSITION",IF(OR(D599="OIL_WATER",D599="GAS_WATER"),"TRANSITION_INTERVAL","")))))))))</f>
        <v/>
      </c>
      <c r="G599" s="20">
        <f>IF(OR(F599="",Master_Data!R599="",Master_Data!S599=""),"",IF(RIGHT(F599,10)="TRANSITION",AVERAGE(Master_Data!R599:Master_Data!S599),AVERAGE(Master_Data!S599,Master_Data!R600)))</f>
        <v/>
      </c>
      <c r="H599" s="20">
        <f>IF(G599="","",MAX(Settings!$B$4,Settings!$B$5*AVERAGE(IF(Master_Data!O599&lt;&gt;"",Master_Data!O599,Master_Data!H599),IF(Master_Data!O600&lt;&gt;"",Master_Data!O600,Master_Data!H600))))</f>
        <v/>
      </c>
      <c r="I599" s="20">
        <f>IF(G599="","",G599-H599)</f>
        <v/>
      </c>
      <c r="J599" s="20">
        <f>IF(G599="","",G599+H599)</f>
        <v/>
      </c>
      <c r="K599" s="20">
        <f>IF($A599="","",Master_Data!G599)</f>
        <v/>
      </c>
      <c r="L599" s="20">
        <f>IF($A599="","",Master_Data!G600)</f>
        <v/>
      </c>
      <c r="M599" s="20">
        <f>IF(AND(ISNUMBER(K599),ISNUMBER(L599)),L599-K599,"")</f>
        <v/>
      </c>
      <c r="N599" s="19">
        <f>IF(G599="","",IF(AND(ISNUMBER(K599),ISNUMBER(L599)),IF(OR(F599="GOC",F599="OWC",F599="GWC",F599="OWC_TRANSITION",F599="GOC_TRANSITION"),IF(L599&gt;=K599,"Supports","Conflicts"),"N/A"),"No Sw"))</f>
        <v/>
      </c>
      <c r="O599" s="20">
        <f>IF(G599="","",Settings!$B$6*IF(OR(F599="GOC",F599="OWC",F599="GWC"),1,0.7)+Settings!$B$7*IF(N599="Supports",1,IF(N599="Conflicts",0,0.5))+Settings!$B$8*IF(AND(Master_Data!R599&lt;&gt;"",Master_Data!S599&lt;&gt;"",Master_Data!R600&lt;&gt;"",Master_Data!S600&lt;&gt;""),1,0.5))</f>
        <v/>
      </c>
      <c r="P599" s="19">
        <f>IF(G599="","",IF(N599="Conflicts","SW_CONFLICT",IF(OR(F599="GOC",F599="OWC",F599="GWC"),"DIRECT_FLUID_TRANSITION","TRANSITION_INTERVAL")))</f>
        <v/>
      </c>
      <c r="Q599" s="19">
        <f>IF(G599="","",IF(N599="Conflicts","Investigate contact interpretation / saturation behaviour",IF(OR(F599="OWC",F599="GOC",F599="GWC"),"Candidate contact — validate with logs, pressure and dynamic evidence","Transition zone — do not force to a sharp contact")))</f>
        <v/>
      </c>
    </row>
    <row r="600">
      <c r="A600" s="19">
        <f>IF(AND(Master_Data!A600&lt;&gt;"",Master_Data!A600=Master_Data!A601),Master_Data!A600,"")</f>
        <v/>
      </c>
      <c r="B600" s="19">
        <f>IF($A600="","",Master_Data!B600)</f>
        <v/>
      </c>
      <c r="C600" s="19">
        <f>IF($A600="","",Master_Data!B601)</f>
        <v/>
      </c>
      <c r="D600" s="19">
        <f>IF($A600="","",Master_Data!Q600)</f>
        <v/>
      </c>
      <c r="E600" s="19">
        <f>IF($A600="","",Master_Data!Q601)</f>
        <v/>
      </c>
      <c r="F600" s="19">
        <f>IF($A600="","",IF(AND(D600="GAS",E600="OIL"),"GOC",IF(AND(D600="OIL",E600="WATER"),"OWC",IF(AND(D600="GAS",E600="WATER"),"GWC",IF(AND(D600="OIL",E600="OIL_WATER"),"OWC_TRANSITION",IF(AND(D600="OIL_WATER",E600="WATER"),"OWC_TRANSITION",IF(AND(D600="GAS",E600="GAS_WATER"),"GOC_TRANSITION",IF(AND(D600="GAS_WATER",E600="OIL"),"GOC_TRANSITION",IF(OR(D600="OIL_WATER",D600="GAS_WATER"),"TRANSITION_INTERVAL","")))))))))</f>
        <v/>
      </c>
      <c r="G600" s="20">
        <f>IF(OR(F600="",Master_Data!R600="",Master_Data!S600=""),"",IF(RIGHT(F600,10)="TRANSITION",AVERAGE(Master_Data!R600:Master_Data!S600),AVERAGE(Master_Data!S600,Master_Data!R601)))</f>
        <v/>
      </c>
      <c r="H600" s="20">
        <f>IF(G600="","",MAX(Settings!$B$4,Settings!$B$5*AVERAGE(IF(Master_Data!O600&lt;&gt;"",Master_Data!O600,Master_Data!H600),IF(Master_Data!O601&lt;&gt;"",Master_Data!O601,Master_Data!H601))))</f>
        <v/>
      </c>
      <c r="I600" s="20">
        <f>IF(G600="","",G600-H600)</f>
        <v/>
      </c>
      <c r="J600" s="20">
        <f>IF(G600="","",G600+H600)</f>
        <v/>
      </c>
      <c r="K600" s="20">
        <f>IF($A600="","",Master_Data!G600)</f>
        <v/>
      </c>
      <c r="L600" s="20">
        <f>IF($A600="","",Master_Data!G601)</f>
        <v/>
      </c>
      <c r="M600" s="20">
        <f>IF(AND(ISNUMBER(K600),ISNUMBER(L600)),L600-K600,"")</f>
        <v/>
      </c>
      <c r="N600" s="19">
        <f>IF(G600="","",IF(AND(ISNUMBER(K600),ISNUMBER(L600)),IF(OR(F600="GOC",F600="OWC",F600="GWC",F600="OWC_TRANSITION",F600="GOC_TRANSITION"),IF(L600&gt;=K600,"Supports","Conflicts"),"N/A"),"No Sw"))</f>
        <v/>
      </c>
      <c r="O600" s="20">
        <f>IF(G600="","",Settings!$B$6*IF(OR(F600="GOC",F600="OWC",F600="GWC"),1,0.7)+Settings!$B$7*IF(N600="Supports",1,IF(N600="Conflicts",0,0.5))+Settings!$B$8*IF(AND(Master_Data!R600&lt;&gt;"",Master_Data!S600&lt;&gt;"",Master_Data!R601&lt;&gt;"",Master_Data!S601&lt;&gt;""),1,0.5))</f>
        <v/>
      </c>
      <c r="P600" s="19">
        <f>IF(G600="","",IF(N600="Conflicts","SW_CONFLICT",IF(OR(F600="GOC",F600="OWC",F600="GWC"),"DIRECT_FLUID_TRANSITION","TRANSITION_INTERVAL")))</f>
        <v/>
      </c>
      <c r="Q600" s="19">
        <f>IF(G600="","",IF(N600="Conflicts","Investigate contact interpretation / saturation behaviour",IF(OR(F600="OWC",F600="GOC",F600="GWC"),"Candidate contact — validate with logs, pressure and dynamic evidence","Transition zone — do not force to a sharp contact")))</f>
        <v/>
      </c>
    </row>
    <row r="601">
      <c r="A601" s="19">
        <f>IF(AND(Master_Data!A601&lt;&gt;"",Master_Data!A601=Master_Data!A602),Master_Data!A601,"")</f>
        <v/>
      </c>
      <c r="B601" s="19">
        <f>IF($A601="","",Master_Data!B601)</f>
        <v/>
      </c>
      <c r="C601" s="19">
        <f>IF($A601="","",Master_Data!B602)</f>
        <v/>
      </c>
      <c r="D601" s="19">
        <f>IF($A601="","",Master_Data!Q601)</f>
        <v/>
      </c>
      <c r="E601" s="19">
        <f>IF($A601="","",Master_Data!Q602)</f>
        <v/>
      </c>
      <c r="F601" s="19">
        <f>IF($A601="","",IF(AND(D601="GAS",E601="OIL"),"GOC",IF(AND(D601="OIL",E601="WATER"),"OWC",IF(AND(D601="GAS",E601="WATER"),"GWC",IF(AND(D601="OIL",E601="OIL_WATER"),"OWC_TRANSITION",IF(AND(D601="OIL_WATER",E601="WATER"),"OWC_TRANSITION",IF(AND(D601="GAS",E601="GAS_WATER"),"GOC_TRANSITION",IF(AND(D601="GAS_WATER",E601="OIL"),"GOC_TRANSITION",IF(OR(D601="OIL_WATER",D601="GAS_WATER"),"TRANSITION_INTERVAL","")))))))))</f>
        <v/>
      </c>
      <c r="G601" s="20">
        <f>IF(OR(F601="",Master_Data!R601="",Master_Data!S601=""),"",IF(RIGHT(F601,10)="TRANSITION",AVERAGE(Master_Data!R601:Master_Data!S601),AVERAGE(Master_Data!S601,Master_Data!R602)))</f>
        <v/>
      </c>
      <c r="H601" s="20">
        <f>IF(G601="","",MAX(Settings!$B$4,Settings!$B$5*AVERAGE(IF(Master_Data!O601&lt;&gt;"",Master_Data!O601,Master_Data!H601),IF(Master_Data!O602&lt;&gt;"",Master_Data!O602,Master_Data!H602))))</f>
        <v/>
      </c>
      <c r="I601" s="20">
        <f>IF(G601="","",G601-H601)</f>
        <v/>
      </c>
      <c r="J601" s="20">
        <f>IF(G601="","",G601+H601)</f>
        <v/>
      </c>
      <c r="K601" s="20">
        <f>IF($A601="","",Master_Data!G601)</f>
        <v/>
      </c>
      <c r="L601" s="20">
        <f>IF($A601="","",Master_Data!G602)</f>
        <v/>
      </c>
      <c r="M601" s="20">
        <f>IF(AND(ISNUMBER(K601),ISNUMBER(L601)),L601-K601,"")</f>
        <v/>
      </c>
      <c r="N601" s="19">
        <f>IF(G601="","",IF(AND(ISNUMBER(K601),ISNUMBER(L601)),IF(OR(F601="GOC",F601="OWC",F601="GWC",F601="OWC_TRANSITION",F601="GOC_TRANSITION"),IF(L601&gt;=K601,"Supports","Conflicts"),"N/A"),"No Sw"))</f>
        <v/>
      </c>
      <c r="O601" s="20">
        <f>IF(G601="","",Settings!$B$6*IF(OR(F601="GOC",F601="OWC",F601="GWC"),1,0.7)+Settings!$B$7*IF(N601="Supports",1,IF(N601="Conflicts",0,0.5))+Settings!$B$8*IF(AND(Master_Data!R601&lt;&gt;"",Master_Data!S601&lt;&gt;"",Master_Data!R602&lt;&gt;"",Master_Data!S602&lt;&gt;""),1,0.5))</f>
        <v/>
      </c>
      <c r="P601" s="19">
        <f>IF(G601="","",IF(N601="Conflicts","SW_CONFLICT",IF(OR(F601="GOC",F601="OWC",F601="GWC"),"DIRECT_FLUID_TRANSITION","TRANSITION_INTERVAL")))</f>
        <v/>
      </c>
      <c r="Q601" s="19">
        <f>IF(G601="","",IF(N601="Conflicts","Investigate contact interpretation / saturation behaviour",IF(OR(F601="OWC",F601="GOC",F601="GWC"),"Candidate contact — validate with logs, pressure and dynamic evidence","Transition zone — do not force to a sharp contact")))</f>
        <v/>
      </c>
    </row>
    <row r="602">
      <c r="A602" s="19">
        <f>IF(AND(Master_Data!A602&lt;&gt;"",Master_Data!A602=Master_Data!A603),Master_Data!A602,"")</f>
        <v/>
      </c>
      <c r="B602" s="19">
        <f>IF($A602="","",Master_Data!B602)</f>
        <v/>
      </c>
      <c r="C602" s="19">
        <f>IF($A602="","",Master_Data!B603)</f>
        <v/>
      </c>
      <c r="D602" s="19">
        <f>IF($A602="","",Master_Data!Q602)</f>
        <v/>
      </c>
      <c r="E602" s="19">
        <f>IF($A602="","",Master_Data!Q603)</f>
        <v/>
      </c>
      <c r="F602" s="19">
        <f>IF($A602="","",IF(AND(D602="GAS",E602="OIL"),"GOC",IF(AND(D602="OIL",E602="WATER"),"OWC",IF(AND(D602="GAS",E602="WATER"),"GWC",IF(AND(D602="OIL",E602="OIL_WATER"),"OWC_TRANSITION",IF(AND(D602="OIL_WATER",E602="WATER"),"OWC_TRANSITION",IF(AND(D602="GAS",E602="GAS_WATER"),"GOC_TRANSITION",IF(AND(D602="GAS_WATER",E602="OIL"),"GOC_TRANSITION",IF(OR(D602="OIL_WATER",D602="GAS_WATER"),"TRANSITION_INTERVAL","")))))))))</f>
        <v/>
      </c>
      <c r="G602" s="20">
        <f>IF(OR(F602="",Master_Data!R602="",Master_Data!S602=""),"",IF(RIGHT(F602,10)="TRANSITION",AVERAGE(Master_Data!R602:Master_Data!S602),AVERAGE(Master_Data!S602,Master_Data!R603)))</f>
        <v/>
      </c>
      <c r="H602" s="20">
        <f>IF(G602="","",MAX(Settings!$B$4,Settings!$B$5*AVERAGE(IF(Master_Data!O602&lt;&gt;"",Master_Data!O602,Master_Data!H602),IF(Master_Data!O603&lt;&gt;"",Master_Data!O603,Master_Data!H603))))</f>
        <v/>
      </c>
      <c r="I602" s="20">
        <f>IF(G602="","",G602-H602)</f>
        <v/>
      </c>
      <c r="J602" s="20">
        <f>IF(G602="","",G602+H602)</f>
        <v/>
      </c>
      <c r="K602" s="20">
        <f>IF($A602="","",Master_Data!G602)</f>
        <v/>
      </c>
      <c r="L602" s="20">
        <f>IF($A602="","",Master_Data!G603)</f>
        <v/>
      </c>
      <c r="M602" s="20">
        <f>IF(AND(ISNUMBER(K602),ISNUMBER(L602)),L602-K602,"")</f>
        <v/>
      </c>
      <c r="N602" s="19">
        <f>IF(G602="","",IF(AND(ISNUMBER(K602),ISNUMBER(L602)),IF(OR(F602="GOC",F602="OWC",F602="GWC",F602="OWC_TRANSITION",F602="GOC_TRANSITION"),IF(L602&gt;=K602,"Supports","Conflicts"),"N/A"),"No Sw"))</f>
        <v/>
      </c>
      <c r="O602" s="20">
        <f>IF(G602="","",Settings!$B$6*IF(OR(F602="GOC",F602="OWC",F602="GWC"),1,0.7)+Settings!$B$7*IF(N602="Supports",1,IF(N602="Conflicts",0,0.5))+Settings!$B$8*IF(AND(Master_Data!R602&lt;&gt;"",Master_Data!S602&lt;&gt;"",Master_Data!R603&lt;&gt;"",Master_Data!S603&lt;&gt;""),1,0.5))</f>
        <v/>
      </c>
      <c r="P602" s="19">
        <f>IF(G602="","",IF(N602="Conflicts","SW_CONFLICT",IF(OR(F602="GOC",F602="OWC",F602="GWC"),"DIRECT_FLUID_TRANSITION","TRANSITION_INTERVAL")))</f>
        <v/>
      </c>
      <c r="Q602" s="19">
        <f>IF(G602="","",IF(N602="Conflicts","Investigate contact interpretation / saturation behaviour",IF(OR(F602="OWC",F602="GOC",F602="GWC"),"Candidate contact — validate with logs, pressure and dynamic evidence","Transition zone — do not force to a sharp contact")))</f>
        <v/>
      </c>
    </row>
    <row r="603">
      <c r="A603" s="19">
        <f>IF(AND(Master_Data!A603&lt;&gt;"",Master_Data!A603=Master_Data!A604),Master_Data!A603,"")</f>
        <v/>
      </c>
      <c r="B603" s="19">
        <f>IF($A603="","",Master_Data!B603)</f>
        <v/>
      </c>
      <c r="C603" s="19">
        <f>IF($A603="","",Master_Data!B604)</f>
        <v/>
      </c>
      <c r="D603" s="19">
        <f>IF($A603="","",Master_Data!Q603)</f>
        <v/>
      </c>
      <c r="E603" s="19">
        <f>IF($A603="","",Master_Data!Q604)</f>
        <v/>
      </c>
      <c r="F603" s="19">
        <f>IF($A603="","",IF(AND(D603="GAS",E603="OIL"),"GOC",IF(AND(D603="OIL",E603="WATER"),"OWC",IF(AND(D603="GAS",E603="WATER"),"GWC",IF(AND(D603="OIL",E603="OIL_WATER"),"OWC_TRANSITION",IF(AND(D603="OIL_WATER",E603="WATER"),"OWC_TRANSITION",IF(AND(D603="GAS",E603="GAS_WATER"),"GOC_TRANSITION",IF(AND(D603="GAS_WATER",E603="OIL"),"GOC_TRANSITION",IF(OR(D603="OIL_WATER",D603="GAS_WATER"),"TRANSITION_INTERVAL","")))))))))</f>
        <v/>
      </c>
      <c r="G603" s="20">
        <f>IF(OR(F603="",Master_Data!R603="",Master_Data!S603=""),"",IF(RIGHT(F603,10)="TRANSITION",AVERAGE(Master_Data!R603:Master_Data!S603),AVERAGE(Master_Data!S603,Master_Data!R604)))</f>
        <v/>
      </c>
      <c r="H603" s="20">
        <f>IF(G603="","",MAX(Settings!$B$4,Settings!$B$5*AVERAGE(IF(Master_Data!O603&lt;&gt;"",Master_Data!O603,Master_Data!H603),IF(Master_Data!O604&lt;&gt;"",Master_Data!O604,Master_Data!H604))))</f>
        <v/>
      </c>
      <c r="I603" s="20">
        <f>IF(G603="","",G603-H603)</f>
        <v/>
      </c>
      <c r="J603" s="20">
        <f>IF(G603="","",G603+H603)</f>
        <v/>
      </c>
      <c r="K603" s="20">
        <f>IF($A603="","",Master_Data!G603)</f>
        <v/>
      </c>
      <c r="L603" s="20">
        <f>IF($A603="","",Master_Data!G604)</f>
        <v/>
      </c>
      <c r="M603" s="20">
        <f>IF(AND(ISNUMBER(K603),ISNUMBER(L603)),L603-K603,"")</f>
        <v/>
      </c>
      <c r="N603" s="19">
        <f>IF(G603="","",IF(AND(ISNUMBER(K603),ISNUMBER(L603)),IF(OR(F603="GOC",F603="OWC",F603="GWC",F603="OWC_TRANSITION",F603="GOC_TRANSITION"),IF(L603&gt;=K603,"Supports","Conflicts"),"N/A"),"No Sw"))</f>
        <v/>
      </c>
      <c r="O603" s="20">
        <f>IF(G603="","",Settings!$B$6*IF(OR(F603="GOC",F603="OWC",F603="GWC"),1,0.7)+Settings!$B$7*IF(N603="Supports",1,IF(N603="Conflicts",0,0.5))+Settings!$B$8*IF(AND(Master_Data!R603&lt;&gt;"",Master_Data!S603&lt;&gt;"",Master_Data!R604&lt;&gt;"",Master_Data!S604&lt;&gt;""),1,0.5))</f>
        <v/>
      </c>
      <c r="P603" s="19">
        <f>IF(G603="","",IF(N603="Conflicts","SW_CONFLICT",IF(OR(F603="GOC",F603="OWC",F603="GWC"),"DIRECT_FLUID_TRANSITION","TRANSITION_INTERVAL")))</f>
        <v/>
      </c>
      <c r="Q603" s="19">
        <f>IF(G603="","",IF(N603="Conflicts","Investigate contact interpretation / saturation behaviour",IF(OR(F603="OWC",F603="GOC",F603="GWC"),"Candidate contact — validate with logs, pressure and dynamic evidence","Transition zone — do not force to a sharp contact")))</f>
        <v/>
      </c>
    </row>
    <row r="604">
      <c r="A604" s="19">
        <f>IF(AND(Master_Data!A604&lt;&gt;"",Master_Data!A604=Master_Data!A605),Master_Data!A604,"")</f>
        <v/>
      </c>
      <c r="B604" s="19">
        <f>IF($A604="","",Master_Data!B604)</f>
        <v/>
      </c>
      <c r="C604" s="19">
        <f>IF($A604="","",Master_Data!B605)</f>
        <v/>
      </c>
      <c r="D604" s="19">
        <f>IF($A604="","",Master_Data!Q604)</f>
        <v/>
      </c>
      <c r="E604" s="19">
        <f>IF($A604="","",Master_Data!Q605)</f>
        <v/>
      </c>
      <c r="F604" s="19">
        <f>IF($A604="","",IF(AND(D604="GAS",E604="OIL"),"GOC",IF(AND(D604="OIL",E604="WATER"),"OWC",IF(AND(D604="GAS",E604="WATER"),"GWC",IF(AND(D604="OIL",E604="OIL_WATER"),"OWC_TRANSITION",IF(AND(D604="OIL_WATER",E604="WATER"),"OWC_TRANSITION",IF(AND(D604="GAS",E604="GAS_WATER"),"GOC_TRANSITION",IF(AND(D604="GAS_WATER",E604="OIL"),"GOC_TRANSITION",IF(OR(D604="OIL_WATER",D604="GAS_WATER"),"TRANSITION_INTERVAL","")))))))))</f>
        <v/>
      </c>
      <c r="G604" s="20">
        <f>IF(OR(F604="",Master_Data!R604="",Master_Data!S604=""),"",IF(RIGHT(F604,10)="TRANSITION",AVERAGE(Master_Data!R604:Master_Data!S604),AVERAGE(Master_Data!S604,Master_Data!R605)))</f>
        <v/>
      </c>
      <c r="H604" s="20">
        <f>IF(G604="","",MAX(Settings!$B$4,Settings!$B$5*AVERAGE(IF(Master_Data!O604&lt;&gt;"",Master_Data!O604,Master_Data!H604),IF(Master_Data!O605&lt;&gt;"",Master_Data!O605,Master_Data!H605))))</f>
        <v/>
      </c>
      <c r="I604" s="20">
        <f>IF(G604="","",G604-H604)</f>
        <v/>
      </c>
      <c r="J604" s="20">
        <f>IF(G604="","",G604+H604)</f>
        <v/>
      </c>
      <c r="K604" s="20">
        <f>IF($A604="","",Master_Data!G604)</f>
        <v/>
      </c>
      <c r="L604" s="20">
        <f>IF($A604="","",Master_Data!G605)</f>
        <v/>
      </c>
      <c r="M604" s="20">
        <f>IF(AND(ISNUMBER(K604),ISNUMBER(L604)),L604-K604,"")</f>
        <v/>
      </c>
      <c r="N604" s="19">
        <f>IF(G604="","",IF(AND(ISNUMBER(K604),ISNUMBER(L604)),IF(OR(F604="GOC",F604="OWC",F604="GWC",F604="OWC_TRANSITION",F604="GOC_TRANSITION"),IF(L604&gt;=K604,"Supports","Conflicts"),"N/A"),"No Sw"))</f>
        <v/>
      </c>
      <c r="O604" s="20">
        <f>IF(G604="","",Settings!$B$6*IF(OR(F604="GOC",F604="OWC",F604="GWC"),1,0.7)+Settings!$B$7*IF(N604="Supports",1,IF(N604="Conflicts",0,0.5))+Settings!$B$8*IF(AND(Master_Data!R604&lt;&gt;"",Master_Data!S604&lt;&gt;"",Master_Data!R605&lt;&gt;"",Master_Data!S605&lt;&gt;""),1,0.5))</f>
        <v/>
      </c>
      <c r="P604" s="19">
        <f>IF(G604="","",IF(N604="Conflicts","SW_CONFLICT",IF(OR(F604="GOC",F604="OWC",F604="GWC"),"DIRECT_FLUID_TRANSITION","TRANSITION_INTERVAL")))</f>
        <v/>
      </c>
      <c r="Q604" s="19">
        <f>IF(G604="","",IF(N604="Conflicts","Investigate contact interpretation / saturation behaviour",IF(OR(F604="OWC",F604="GOC",F604="GWC"),"Candidate contact — validate with logs, pressure and dynamic evidence","Transition zone — do not force to a sharp contact")))</f>
        <v/>
      </c>
    </row>
    <row r="605">
      <c r="A605" s="19">
        <f>IF(AND(Master_Data!A605&lt;&gt;"",Master_Data!A605=Master_Data!A606),Master_Data!A605,"")</f>
        <v/>
      </c>
      <c r="B605" s="19">
        <f>IF($A605="","",Master_Data!B605)</f>
        <v/>
      </c>
      <c r="C605" s="19">
        <f>IF($A605="","",Master_Data!B606)</f>
        <v/>
      </c>
      <c r="D605" s="19">
        <f>IF($A605="","",Master_Data!Q605)</f>
        <v/>
      </c>
      <c r="E605" s="19">
        <f>IF($A605="","",Master_Data!Q606)</f>
        <v/>
      </c>
      <c r="F605" s="19">
        <f>IF($A605="","",IF(AND(D605="GAS",E605="OIL"),"GOC",IF(AND(D605="OIL",E605="WATER"),"OWC",IF(AND(D605="GAS",E605="WATER"),"GWC",IF(AND(D605="OIL",E605="OIL_WATER"),"OWC_TRANSITION",IF(AND(D605="OIL_WATER",E605="WATER"),"OWC_TRANSITION",IF(AND(D605="GAS",E605="GAS_WATER"),"GOC_TRANSITION",IF(AND(D605="GAS_WATER",E605="OIL"),"GOC_TRANSITION",IF(OR(D605="OIL_WATER",D605="GAS_WATER"),"TRANSITION_INTERVAL","")))))))))</f>
        <v/>
      </c>
      <c r="G605" s="20">
        <f>IF(OR(F605="",Master_Data!R605="",Master_Data!S605=""),"",IF(RIGHT(F605,10)="TRANSITION",AVERAGE(Master_Data!R605:Master_Data!S605),AVERAGE(Master_Data!S605,Master_Data!R606)))</f>
        <v/>
      </c>
      <c r="H605" s="20">
        <f>IF(G605="","",MAX(Settings!$B$4,Settings!$B$5*AVERAGE(IF(Master_Data!O605&lt;&gt;"",Master_Data!O605,Master_Data!H605),IF(Master_Data!O606&lt;&gt;"",Master_Data!O606,Master_Data!H606))))</f>
        <v/>
      </c>
      <c r="I605" s="20">
        <f>IF(G605="","",G605-H605)</f>
        <v/>
      </c>
      <c r="J605" s="20">
        <f>IF(G605="","",G605+H605)</f>
        <v/>
      </c>
      <c r="K605" s="20">
        <f>IF($A605="","",Master_Data!G605)</f>
        <v/>
      </c>
      <c r="L605" s="20">
        <f>IF($A605="","",Master_Data!G606)</f>
        <v/>
      </c>
      <c r="M605" s="20">
        <f>IF(AND(ISNUMBER(K605),ISNUMBER(L605)),L605-K605,"")</f>
        <v/>
      </c>
      <c r="N605" s="19">
        <f>IF(G605="","",IF(AND(ISNUMBER(K605),ISNUMBER(L605)),IF(OR(F605="GOC",F605="OWC",F605="GWC",F605="OWC_TRANSITION",F605="GOC_TRANSITION"),IF(L605&gt;=K605,"Supports","Conflicts"),"N/A"),"No Sw"))</f>
        <v/>
      </c>
      <c r="O605" s="20">
        <f>IF(G605="","",Settings!$B$6*IF(OR(F605="GOC",F605="OWC",F605="GWC"),1,0.7)+Settings!$B$7*IF(N605="Supports",1,IF(N605="Conflicts",0,0.5))+Settings!$B$8*IF(AND(Master_Data!R605&lt;&gt;"",Master_Data!S605&lt;&gt;"",Master_Data!R606&lt;&gt;"",Master_Data!S606&lt;&gt;""),1,0.5))</f>
        <v/>
      </c>
      <c r="P605" s="19">
        <f>IF(G605="","",IF(N605="Conflicts","SW_CONFLICT",IF(OR(F605="GOC",F605="OWC",F605="GWC"),"DIRECT_FLUID_TRANSITION","TRANSITION_INTERVAL")))</f>
        <v/>
      </c>
      <c r="Q605" s="19">
        <f>IF(G605="","",IF(N605="Conflicts","Investigate contact interpretation / saturation behaviour",IF(OR(F605="OWC",F605="GOC",F605="GWC"),"Candidate contact — validate with logs, pressure and dynamic evidence","Transition zone — do not force to a sharp contact")))</f>
        <v/>
      </c>
    </row>
    <row r="606">
      <c r="A606" s="19">
        <f>IF(AND(Master_Data!A606&lt;&gt;"",Master_Data!A606=Master_Data!A607),Master_Data!A606,"")</f>
        <v/>
      </c>
      <c r="B606" s="19">
        <f>IF($A606="","",Master_Data!B606)</f>
        <v/>
      </c>
      <c r="C606" s="19">
        <f>IF($A606="","",Master_Data!B607)</f>
        <v/>
      </c>
      <c r="D606" s="19">
        <f>IF($A606="","",Master_Data!Q606)</f>
        <v/>
      </c>
      <c r="E606" s="19">
        <f>IF($A606="","",Master_Data!Q607)</f>
        <v/>
      </c>
      <c r="F606" s="19">
        <f>IF($A606="","",IF(AND(D606="GAS",E606="OIL"),"GOC",IF(AND(D606="OIL",E606="WATER"),"OWC",IF(AND(D606="GAS",E606="WATER"),"GWC",IF(AND(D606="OIL",E606="OIL_WATER"),"OWC_TRANSITION",IF(AND(D606="OIL_WATER",E606="WATER"),"OWC_TRANSITION",IF(AND(D606="GAS",E606="GAS_WATER"),"GOC_TRANSITION",IF(AND(D606="GAS_WATER",E606="OIL"),"GOC_TRANSITION",IF(OR(D606="OIL_WATER",D606="GAS_WATER"),"TRANSITION_INTERVAL","")))))))))</f>
        <v/>
      </c>
      <c r="G606" s="20">
        <f>IF(OR(F606="",Master_Data!R606="",Master_Data!S606=""),"",IF(RIGHT(F606,10)="TRANSITION",AVERAGE(Master_Data!R606:Master_Data!S606),AVERAGE(Master_Data!S606,Master_Data!R607)))</f>
        <v/>
      </c>
      <c r="H606" s="20">
        <f>IF(G606="","",MAX(Settings!$B$4,Settings!$B$5*AVERAGE(IF(Master_Data!O606&lt;&gt;"",Master_Data!O606,Master_Data!H606),IF(Master_Data!O607&lt;&gt;"",Master_Data!O607,Master_Data!H607))))</f>
        <v/>
      </c>
      <c r="I606" s="20">
        <f>IF(G606="","",G606-H606)</f>
        <v/>
      </c>
      <c r="J606" s="20">
        <f>IF(G606="","",G606+H606)</f>
        <v/>
      </c>
      <c r="K606" s="20">
        <f>IF($A606="","",Master_Data!G606)</f>
        <v/>
      </c>
      <c r="L606" s="20">
        <f>IF($A606="","",Master_Data!G607)</f>
        <v/>
      </c>
      <c r="M606" s="20">
        <f>IF(AND(ISNUMBER(K606),ISNUMBER(L606)),L606-K606,"")</f>
        <v/>
      </c>
      <c r="N606" s="19">
        <f>IF(G606="","",IF(AND(ISNUMBER(K606),ISNUMBER(L606)),IF(OR(F606="GOC",F606="OWC",F606="GWC",F606="OWC_TRANSITION",F606="GOC_TRANSITION"),IF(L606&gt;=K606,"Supports","Conflicts"),"N/A"),"No Sw"))</f>
        <v/>
      </c>
      <c r="O606" s="20">
        <f>IF(G606="","",Settings!$B$6*IF(OR(F606="GOC",F606="OWC",F606="GWC"),1,0.7)+Settings!$B$7*IF(N606="Supports",1,IF(N606="Conflicts",0,0.5))+Settings!$B$8*IF(AND(Master_Data!R606&lt;&gt;"",Master_Data!S606&lt;&gt;"",Master_Data!R607&lt;&gt;"",Master_Data!S607&lt;&gt;""),1,0.5))</f>
        <v/>
      </c>
      <c r="P606" s="19">
        <f>IF(G606="","",IF(N606="Conflicts","SW_CONFLICT",IF(OR(F606="GOC",F606="OWC",F606="GWC"),"DIRECT_FLUID_TRANSITION","TRANSITION_INTERVAL")))</f>
        <v/>
      </c>
      <c r="Q606" s="19">
        <f>IF(G606="","",IF(N606="Conflicts","Investigate contact interpretation / saturation behaviour",IF(OR(F606="OWC",F606="GOC",F606="GWC"),"Candidate contact — validate with logs, pressure and dynamic evidence","Transition zone — do not force to a sharp contact")))</f>
        <v/>
      </c>
    </row>
    <row r="607">
      <c r="A607" s="19">
        <f>IF(AND(Master_Data!A607&lt;&gt;"",Master_Data!A607=Master_Data!A608),Master_Data!A607,"")</f>
        <v/>
      </c>
      <c r="B607" s="19">
        <f>IF($A607="","",Master_Data!B607)</f>
        <v/>
      </c>
      <c r="C607" s="19">
        <f>IF($A607="","",Master_Data!B608)</f>
        <v/>
      </c>
      <c r="D607" s="19">
        <f>IF($A607="","",Master_Data!Q607)</f>
        <v/>
      </c>
      <c r="E607" s="19">
        <f>IF($A607="","",Master_Data!Q608)</f>
        <v/>
      </c>
      <c r="F607" s="19">
        <f>IF($A607="","",IF(AND(D607="GAS",E607="OIL"),"GOC",IF(AND(D607="OIL",E607="WATER"),"OWC",IF(AND(D607="GAS",E607="WATER"),"GWC",IF(AND(D607="OIL",E607="OIL_WATER"),"OWC_TRANSITION",IF(AND(D607="OIL_WATER",E607="WATER"),"OWC_TRANSITION",IF(AND(D607="GAS",E607="GAS_WATER"),"GOC_TRANSITION",IF(AND(D607="GAS_WATER",E607="OIL"),"GOC_TRANSITION",IF(OR(D607="OIL_WATER",D607="GAS_WATER"),"TRANSITION_INTERVAL","")))))))))</f>
        <v/>
      </c>
      <c r="G607" s="20">
        <f>IF(OR(F607="",Master_Data!R607="",Master_Data!S607=""),"",IF(RIGHT(F607,10)="TRANSITION",AVERAGE(Master_Data!R607:Master_Data!S607),AVERAGE(Master_Data!S607,Master_Data!R608)))</f>
        <v/>
      </c>
      <c r="H607" s="20">
        <f>IF(G607="","",MAX(Settings!$B$4,Settings!$B$5*AVERAGE(IF(Master_Data!O607&lt;&gt;"",Master_Data!O607,Master_Data!H607),IF(Master_Data!O608&lt;&gt;"",Master_Data!O608,Master_Data!H608))))</f>
        <v/>
      </c>
      <c r="I607" s="20">
        <f>IF(G607="","",G607-H607)</f>
        <v/>
      </c>
      <c r="J607" s="20">
        <f>IF(G607="","",G607+H607)</f>
        <v/>
      </c>
      <c r="K607" s="20">
        <f>IF($A607="","",Master_Data!G607)</f>
        <v/>
      </c>
      <c r="L607" s="20">
        <f>IF($A607="","",Master_Data!G608)</f>
        <v/>
      </c>
      <c r="M607" s="20">
        <f>IF(AND(ISNUMBER(K607),ISNUMBER(L607)),L607-K607,"")</f>
        <v/>
      </c>
      <c r="N607" s="19">
        <f>IF(G607="","",IF(AND(ISNUMBER(K607),ISNUMBER(L607)),IF(OR(F607="GOC",F607="OWC",F607="GWC",F607="OWC_TRANSITION",F607="GOC_TRANSITION"),IF(L607&gt;=K607,"Supports","Conflicts"),"N/A"),"No Sw"))</f>
        <v/>
      </c>
      <c r="O607" s="20">
        <f>IF(G607="","",Settings!$B$6*IF(OR(F607="GOC",F607="OWC",F607="GWC"),1,0.7)+Settings!$B$7*IF(N607="Supports",1,IF(N607="Conflicts",0,0.5))+Settings!$B$8*IF(AND(Master_Data!R607&lt;&gt;"",Master_Data!S607&lt;&gt;"",Master_Data!R608&lt;&gt;"",Master_Data!S608&lt;&gt;""),1,0.5))</f>
        <v/>
      </c>
      <c r="P607" s="19">
        <f>IF(G607="","",IF(N607="Conflicts","SW_CONFLICT",IF(OR(F607="GOC",F607="OWC",F607="GWC"),"DIRECT_FLUID_TRANSITION","TRANSITION_INTERVAL")))</f>
        <v/>
      </c>
      <c r="Q607" s="19">
        <f>IF(G607="","",IF(N607="Conflicts","Investigate contact interpretation / saturation behaviour",IF(OR(F607="OWC",F607="GOC",F607="GWC"),"Candidate contact — validate with logs, pressure and dynamic evidence","Transition zone — do not force to a sharp contact")))</f>
        <v/>
      </c>
    </row>
    <row r="608">
      <c r="A608" s="19">
        <f>IF(AND(Master_Data!A608&lt;&gt;"",Master_Data!A608=Master_Data!A609),Master_Data!A608,"")</f>
        <v/>
      </c>
      <c r="B608" s="19">
        <f>IF($A608="","",Master_Data!B608)</f>
        <v/>
      </c>
      <c r="C608" s="19">
        <f>IF($A608="","",Master_Data!B609)</f>
        <v/>
      </c>
      <c r="D608" s="19">
        <f>IF($A608="","",Master_Data!Q608)</f>
        <v/>
      </c>
      <c r="E608" s="19">
        <f>IF($A608="","",Master_Data!Q609)</f>
        <v/>
      </c>
      <c r="F608" s="19">
        <f>IF($A608="","",IF(AND(D608="GAS",E608="OIL"),"GOC",IF(AND(D608="OIL",E608="WATER"),"OWC",IF(AND(D608="GAS",E608="WATER"),"GWC",IF(AND(D608="OIL",E608="OIL_WATER"),"OWC_TRANSITION",IF(AND(D608="OIL_WATER",E608="WATER"),"OWC_TRANSITION",IF(AND(D608="GAS",E608="GAS_WATER"),"GOC_TRANSITION",IF(AND(D608="GAS_WATER",E608="OIL"),"GOC_TRANSITION",IF(OR(D608="OIL_WATER",D608="GAS_WATER"),"TRANSITION_INTERVAL","")))))))))</f>
        <v/>
      </c>
      <c r="G608" s="20">
        <f>IF(OR(F608="",Master_Data!R608="",Master_Data!S608=""),"",IF(RIGHT(F608,10)="TRANSITION",AVERAGE(Master_Data!R608:Master_Data!S608),AVERAGE(Master_Data!S608,Master_Data!R609)))</f>
        <v/>
      </c>
      <c r="H608" s="20">
        <f>IF(G608="","",MAX(Settings!$B$4,Settings!$B$5*AVERAGE(IF(Master_Data!O608&lt;&gt;"",Master_Data!O608,Master_Data!H608),IF(Master_Data!O609&lt;&gt;"",Master_Data!O609,Master_Data!H609))))</f>
        <v/>
      </c>
      <c r="I608" s="20">
        <f>IF(G608="","",G608-H608)</f>
        <v/>
      </c>
      <c r="J608" s="20">
        <f>IF(G608="","",G608+H608)</f>
        <v/>
      </c>
      <c r="K608" s="20">
        <f>IF($A608="","",Master_Data!G608)</f>
        <v/>
      </c>
      <c r="L608" s="20">
        <f>IF($A608="","",Master_Data!G609)</f>
        <v/>
      </c>
      <c r="M608" s="20">
        <f>IF(AND(ISNUMBER(K608),ISNUMBER(L608)),L608-K608,"")</f>
        <v/>
      </c>
      <c r="N608" s="19">
        <f>IF(G608="","",IF(AND(ISNUMBER(K608),ISNUMBER(L608)),IF(OR(F608="GOC",F608="OWC",F608="GWC",F608="OWC_TRANSITION",F608="GOC_TRANSITION"),IF(L608&gt;=K608,"Supports","Conflicts"),"N/A"),"No Sw"))</f>
        <v/>
      </c>
      <c r="O608" s="20">
        <f>IF(G608="","",Settings!$B$6*IF(OR(F608="GOC",F608="OWC",F608="GWC"),1,0.7)+Settings!$B$7*IF(N608="Supports",1,IF(N608="Conflicts",0,0.5))+Settings!$B$8*IF(AND(Master_Data!R608&lt;&gt;"",Master_Data!S608&lt;&gt;"",Master_Data!R609&lt;&gt;"",Master_Data!S609&lt;&gt;""),1,0.5))</f>
        <v/>
      </c>
      <c r="P608" s="19">
        <f>IF(G608="","",IF(N608="Conflicts","SW_CONFLICT",IF(OR(F608="GOC",F608="OWC",F608="GWC"),"DIRECT_FLUID_TRANSITION","TRANSITION_INTERVAL")))</f>
        <v/>
      </c>
      <c r="Q608" s="19">
        <f>IF(G608="","",IF(N608="Conflicts","Investigate contact interpretation / saturation behaviour",IF(OR(F608="OWC",F608="GOC",F608="GWC"),"Candidate contact — validate with logs, pressure and dynamic evidence","Transition zone — do not force to a sharp contact")))</f>
        <v/>
      </c>
    </row>
    <row r="609">
      <c r="A609" s="19">
        <f>IF(AND(Master_Data!A609&lt;&gt;"",Master_Data!A609=Master_Data!A610),Master_Data!A609,"")</f>
        <v/>
      </c>
      <c r="B609" s="19">
        <f>IF($A609="","",Master_Data!B609)</f>
        <v/>
      </c>
      <c r="C609" s="19">
        <f>IF($A609="","",Master_Data!B610)</f>
        <v/>
      </c>
      <c r="D609" s="19">
        <f>IF($A609="","",Master_Data!Q609)</f>
        <v/>
      </c>
      <c r="E609" s="19">
        <f>IF($A609="","",Master_Data!Q610)</f>
        <v/>
      </c>
      <c r="F609" s="19">
        <f>IF($A609="","",IF(AND(D609="GAS",E609="OIL"),"GOC",IF(AND(D609="OIL",E609="WATER"),"OWC",IF(AND(D609="GAS",E609="WATER"),"GWC",IF(AND(D609="OIL",E609="OIL_WATER"),"OWC_TRANSITION",IF(AND(D609="OIL_WATER",E609="WATER"),"OWC_TRANSITION",IF(AND(D609="GAS",E609="GAS_WATER"),"GOC_TRANSITION",IF(AND(D609="GAS_WATER",E609="OIL"),"GOC_TRANSITION",IF(OR(D609="OIL_WATER",D609="GAS_WATER"),"TRANSITION_INTERVAL","")))))))))</f>
        <v/>
      </c>
      <c r="G609" s="20">
        <f>IF(OR(F609="",Master_Data!R609="",Master_Data!S609=""),"",IF(RIGHT(F609,10)="TRANSITION",AVERAGE(Master_Data!R609:Master_Data!S609),AVERAGE(Master_Data!S609,Master_Data!R610)))</f>
        <v/>
      </c>
      <c r="H609" s="20">
        <f>IF(G609="","",MAX(Settings!$B$4,Settings!$B$5*AVERAGE(IF(Master_Data!O609&lt;&gt;"",Master_Data!O609,Master_Data!H609),IF(Master_Data!O610&lt;&gt;"",Master_Data!O610,Master_Data!H610))))</f>
        <v/>
      </c>
      <c r="I609" s="20">
        <f>IF(G609="","",G609-H609)</f>
        <v/>
      </c>
      <c r="J609" s="20">
        <f>IF(G609="","",G609+H609)</f>
        <v/>
      </c>
      <c r="K609" s="20">
        <f>IF($A609="","",Master_Data!G609)</f>
        <v/>
      </c>
      <c r="L609" s="20">
        <f>IF($A609="","",Master_Data!G610)</f>
        <v/>
      </c>
      <c r="M609" s="20">
        <f>IF(AND(ISNUMBER(K609),ISNUMBER(L609)),L609-K609,"")</f>
        <v/>
      </c>
      <c r="N609" s="19">
        <f>IF(G609="","",IF(AND(ISNUMBER(K609),ISNUMBER(L609)),IF(OR(F609="GOC",F609="OWC",F609="GWC",F609="OWC_TRANSITION",F609="GOC_TRANSITION"),IF(L609&gt;=K609,"Supports","Conflicts"),"N/A"),"No Sw"))</f>
        <v/>
      </c>
      <c r="O609" s="20">
        <f>IF(G609="","",Settings!$B$6*IF(OR(F609="GOC",F609="OWC",F609="GWC"),1,0.7)+Settings!$B$7*IF(N609="Supports",1,IF(N609="Conflicts",0,0.5))+Settings!$B$8*IF(AND(Master_Data!R609&lt;&gt;"",Master_Data!S609&lt;&gt;"",Master_Data!R610&lt;&gt;"",Master_Data!S610&lt;&gt;""),1,0.5))</f>
        <v/>
      </c>
      <c r="P609" s="19">
        <f>IF(G609="","",IF(N609="Conflicts","SW_CONFLICT",IF(OR(F609="GOC",F609="OWC",F609="GWC"),"DIRECT_FLUID_TRANSITION","TRANSITION_INTERVAL")))</f>
        <v/>
      </c>
      <c r="Q609" s="19">
        <f>IF(G609="","",IF(N609="Conflicts","Investigate contact interpretation / saturation behaviour",IF(OR(F609="OWC",F609="GOC",F609="GWC"),"Candidate contact — validate with logs, pressure and dynamic evidence","Transition zone — do not force to a sharp contact")))</f>
        <v/>
      </c>
    </row>
    <row r="610">
      <c r="A610" s="19">
        <f>IF(AND(Master_Data!A610&lt;&gt;"",Master_Data!A610=Master_Data!A611),Master_Data!A610,"")</f>
        <v/>
      </c>
      <c r="B610" s="19">
        <f>IF($A610="","",Master_Data!B610)</f>
        <v/>
      </c>
      <c r="C610" s="19">
        <f>IF($A610="","",Master_Data!B611)</f>
        <v/>
      </c>
      <c r="D610" s="19">
        <f>IF($A610="","",Master_Data!Q610)</f>
        <v/>
      </c>
      <c r="E610" s="19">
        <f>IF($A610="","",Master_Data!Q611)</f>
        <v/>
      </c>
      <c r="F610" s="19">
        <f>IF($A610="","",IF(AND(D610="GAS",E610="OIL"),"GOC",IF(AND(D610="OIL",E610="WATER"),"OWC",IF(AND(D610="GAS",E610="WATER"),"GWC",IF(AND(D610="OIL",E610="OIL_WATER"),"OWC_TRANSITION",IF(AND(D610="OIL_WATER",E610="WATER"),"OWC_TRANSITION",IF(AND(D610="GAS",E610="GAS_WATER"),"GOC_TRANSITION",IF(AND(D610="GAS_WATER",E610="OIL"),"GOC_TRANSITION",IF(OR(D610="OIL_WATER",D610="GAS_WATER"),"TRANSITION_INTERVAL","")))))))))</f>
        <v/>
      </c>
      <c r="G610" s="20">
        <f>IF(OR(F610="",Master_Data!R610="",Master_Data!S610=""),"",IF(RIGHT(F610,10)="TRANSITION",AVERAGE(Master_Data!R610:Master_Data!S610),AVERAGE(Master_Data!S610,Master_Data!R611)))</f>
        <v/>
      </c>
      <c r="H610" s="20">
        <f>IF(G610="","",MAX(Settings!$B$4,Settings!$B$5*AVERAGE(IF(Master_Data!O610&lt;&gt;"",Master_Data!O610,Master_Data!H610),IF(Master_Data!O611&lt;&gt;"",Master_Data!O611,Master_Data!H611))))</f>
        <v/>
      </c>
      <c r="I610" s="20">
        <f>IF(G610="","",G610-H610)</f>
        <v/>
      </c>
      <c r="J610" s="20">
        <f>IF(G610="","",G610+H610)</f>
        <v/>
      </c>
      <c r="K610" s="20">
        <f>IF($A610="","",Master_Data!G610)</f>
        <v/>
      </c>
      <c r="L610" s="20">
        <f>IF($A610="","",Master_Data!G611)</f>
        <v/>
      </c>
      <c r="M610" s="20">
        <f>IF(AND(ISNUMBER(K610),ISNUMBER(L610)),L610-K610,"")</f>
        <v/>
      </c>
      <c r="N610" s="19">
        <f>IF(G610="","",IF(AND(ISNUMBER(K610),ISNUMBER(L610)),IF(OR(F610="GOC",F610="OWC",F610="GWC",F610="OWC_TRANSITION",F610="GOC_TRANSITION"),IF(L610&gt;=K610,"Supports","Conflicts"),"N/A"),"No Sw"))</f>
        <v/>
      </c>
      <c r="O610" s="20">
        <f>IF(G610="","",Settings!$B$6*IF(OR(F610="GOC",F610="OWC",F610="GWC"),1,0.7)+Settings!$B$7*IF(N610="Supports",1,IF(N610="Conflicts",0,0.5))+Settings!$B$8*IF(AND(Master_Data!R610&lt;&gt;"",Master_Data!S610&lt;&gt;"",Master_Data!R611&lt;&gt;"",Master_Data!S611&lt;&gt;""),1,0.5))</f>
        <v/>
      </c>
      <c r="P610" s="19">
        <f>IF(G610="","",IF(N610="Conflicts","SW_CONFLICT",IF(OR(F610="GOC",F610="OWC",F610="GWC"),"DIRECT_FLUID_TRANSITION","TRANSITION_INTERVAL")))</f>
        <v/>
      </c>
      <c r="Q610" s="19">
        <f>IF(G610="","",IF(N610="Conflicts","Investigate contact interpretation / saturation behaviour",IF(OR(F610="OWC",F610="GOC",F610="GWC"),"Candidate contact — validate with logs, pressure and dynamic evidence","Transition zone — do not force to a sharp contact")))</f>
        <v/>
      </c>
    </row>
    <row r="611">
      <c r="A611" s="19">
        <f>IF(AND(Master_Data!A611&lt;&gt;"",Master_Data!A611=Master_Data!A612),Master_Data!A611,"")</f>
        <v/>
      </c>
      <c r="B611" s="19">
        <f>IF($A611="","",Master_Data!B611)</f>
        <v/>
      </c>
      <c r="C611" s="19">
        <f>IF($A611="","",Master_Data!B612)</f>
        <v/>
      </c>
      <c r="D611" s="19">
        <f>IF($A611="","",Master_Data!Q611)</f>
        <v/>
      </c>
      <c r="E611" s="19">
        <f>IF($A611="","",Master_Data!Q612)</f>
        <v/>
      </c>
      <c r="F611" s="19">
        <f>IF($A611="","",IF(AND(D611="GAS",E611="OIL"),"GOC",IF(AND(D611="OIL",E611="WATER"),"OWC",IF(AND(D611="GAS",E611="WATER"),"GWC",IF(AND(D611="OIL",E611="OIL_WATER"),"OWC_TRANSITION",IF(AND(D611="OIL_WATER",E611="WATER"),"OWC_TRANSITION",IF(AND(D611="GAS",E611="GAS_WATER"),"GOC_TRANSITION",IF(AND(D611="GAS_WATER",E611="OIL"),"GOC_TRANSITION",IF(OR(D611="OIL_WATER",D611="GAS_WATER"),"TRANSITION_INTERVAL","")))))))))</f>
        <v/>
      </c>
      <c r="G611" s="20">
        <f>IF(OR(F611="",Master_Data!R611="",Master_Data!S611=""),"",IF(RIGHT(F611,10)="TRANSITION",AVERAGE(Master_Data!R611:Master_Data!S611),AVERAGE(Master_Data!S611,Master_Data!R612)))</f>
        <v/>
      </c>
      <c r="H611" s="20">
        <f>IF(G611="","",MAX(Settings!$B$4,Settings!$B$5*AVERAGE(IF(Master_Data!O611&lt;&gt;"",Master_Data!O611,Master_Data!H611),IF(Master_Data!O612&lt;&gt;"",Master_Data!O612,Master_Data!H612))))</f>
        <v/>
      </c>
      <c r="I611" s="20">
        <f>IF(G611="","",G611-H611)</f>
        <v/>
      </c>
      <c r="J611" s="20">
        <f>IF(G611="","",G611+H611)</f>
        <v/>
      </c>
      <c r="K611" s="20">
        <f>IF($A611="","",Master_Data!G611)</f>
        <v/>
      </c>
      <c r="L611" s="20">
        <f>IF($A611="","",Master_Data!G612)</f>
        <v/>
      </c>
      <c r="M611" s="20">
        <f>IF(AND(ISNUMBER(K611),ISNUMBER(L611)),L611-K611,"")</f>
        <v/>
      </c>
      <c r="N611" s="19">
        <f>IF(G611="","",IF(AND(ISNUMBER(K611),ISNUMBER(L611)),IF(OR(F611="GOC",F611="OWC",F611="GWC",F611="OWC_TRANSITION",F611="GOC_TRANSITION"),IF(L611&gt;=K611,"Supports","Conflicts"),"N/A"),"No Sw"))</f>
        <v/>
      </c>
      <c r="O611" s="20">
        <f>IF(G611="","",Settings!$B$6*IF(OR(F611="GOC",F611="OWC",F611="GWC"),1,0.7)+Settings!$B$7*IF(N611="Supports",1,IF(N611="Conflicts",0,0.5))+Settings!$B$8*IF(AND(Master_Data!R611&lt;&gt;"",Master_Data!S611&lt;&gt;"",Master_Data!R612&lt;&gt;"",Master_Data!S612&lt;&gt;""),1,0.5))</f>
        <v/>
      </c>
      <c r="P611" s="19">
        <f>IF(G611="","",IF(N611="Conflicts","SW_CONFLICT",IF(OR(F611="GOC",F611="OWC",F611="GWC"),"DIRECT_FLUID_TRANSITION","TRANSITION_INTERVAL")))</f>
        <v/>
      </c>
      <c r="Q611" s="19">
        <f>IF(G611="","",IF(N611="Conflicts","Investigate contact interpretation / saturation behaviour",IF(OR(F611="OWC",F611="GOC",F611="GWC"),"Candidate contact — validate with logs, pressure and dynamic evidence","Transition zone — do not force to a sharp contact")))</f>
        <v/>
      </c>
    </row>
    <row r="612">
      <c r="A612" s="19">
        <f>IF(AND(Master_Data!A612&lt;&gt;"",Master_Data!A612=Master_Data!A613),Master_Data!A612,"")</f>
        <v/>
      </c>
      <c r="B612" s="19">
        <f>IF($A612="","",Master_Data!B612)</f>
        <v/>
      </c>
      <c r="C612" s="19">
        <f>IF($A612="","",Master_Data!B613)</f>
        <v/>
      </c>
      <c r="D612" s="19">
        <f>IF($A612="","",Master_Data!Q612)</f>
        <v/>
      </c>
      <c r="E612" s="19">
        <f>IF($A612="","",Master_Data!Q613)</f>
        <v/>
      </c>
      <c r="F612" s="19">
        <f>IF($A612="","",IF(AND(D612="GAS",E612="OIL"),"GOC",IF(AND(D612="OIL",E612="WATER"),"OWC",IF(AND(D612="GAS",E612="WATER"),"GWC",IF(AND(D612="OIL",E612="OIL_WATER"),"OWC_TRANSITION",IF(AND(D612="OIL_WATER",E612="WATER"),"OWC_TRANSITION",IF(AND(D612="GAS",E612="GAS_WATER"),"GOC_TRANSITION",IF(AND(D612="GAS_WATER",E612="OIL"),"GOC_TRANSITION",IF(OR(D612="OIL_WATER",D612="GAS_WATER"),"TRANSITION_INTERVAL","")))))))))</f>
        <v/>
      </c>
      <c r="G612" s="20">
        <f>IF(OR(F612="",Master_Data!R612="",Master_Data!S612=""),"",IF(RIGHT(F612,10)="TRANSITION",AVERAGE(Master_Data!R612:Master_Data!S612),AVERAGE(Master_Data!S612,Master_Data!R613)))</f>
        <v/>
      </c>
      <c r="H612" s="20">
        <f>IF(G612="","",MAX(Settings!$B$4,Settings!$B$5*AVERAGE(IF(Master_Data!O612&lt;&gt;"",Master_Data!O612,Master_Data!H612),IF(Master_Data!O613&lt;&gt;"",Master_Data!O613,Master_Data!H613))))</f>
        <v/>
      </c>
      <c r="I612" s="20">
        <f>IF(G612="","",G612-H612)</f>
        <v/>
      </c>
      <c r="J612" s="20">
        <f>IF(G612="","",G612+H612)</f>
        <v/>
      </c>
      <c r="K612" s="20">
        <f>IF($A612="","",Master_Data!G612)</f>
        <v/>
      </c>
      <c r="L612" s="20">
        <f>IF($A612="","",Master_Data!G613)</f>
        <v/>
      </c>
      <c r="M612" s="20">
        <f>IF(AND(ISNUMBER(K612),ISNUMBER(L612)),L612-K612,"")</f>
        <v/>
      </c>
      <c r="N612" s="19">
        <f>IF(G612="","",IF(AND(ISNUMBER(K612),ISNUMBER(L612)),IF(OR(F612="GOC",F612="OWC",F612="GWC",F612="OWC_TRANSITION",F612="GOC_TRANSITION"),IF(L612&gt;=K612,"Supports","Conflicts"),"N/A"),"No Sw"))</f>
        <v/>
      </c>
      <c r="O612" s="20">
        <f>IF(G612="","",Settings!$B$6*IF(OR(F612="GOC",F612="OWC",F612="GWC"),1,0.7)+Settings!$B$7*IF(N612="Supports",1,IF(N612="Conflicts",0,0.5))+Settings!$B$8*IF(AND(Master_Data!R612&lt;&gt;"",Master_Data!S612&lt;&gt;"",Master_Data!R613&lt;&gt;"",Master_Data!S613&lt;&gt;""),1,0.5))</f>
        <v/>
      </c>
      <c r="P612" s="19">
        <f>IF(G612="","",IF(N612="Conflicts","SW_CONFLICT",IF(OR(F612="GOC",F612="OWC",F612="GWC"),"DIRECT_FLUID_TRANSITION","TRANSITION_INTERVAL")))</f>
        <v/>
      </c>
      <c r="Q612" s="19">
        <f>IF(G612="","",IF(N612="Conflicts","Investigate contact interpretation / saturation behaviour",IF(OR(F612="OWC",F612="GOC",F612="GWC"),"Candidate contact — validate with logs, pressure and dynamic evidence","Transition zone — do not force to a sharp contact")))</f>
        <v/>
      </c>
    </row>
    <row r="613">
      <c r="A613" s="19">
        <f>IF(AND(Master_Data!A613&lt;&gt;"",Master_Data!A613=Master_Data!A614),Master_Data!A613,"")</f>
        <v/>
      </c>
      <c r="B613" s="19">
        <f>IF($A613="","",Master_Data!B613)</f>
        <v/>
      </c>
      <c r="C613" s="19">
        <f>IF($A613="","",Master_Data!B614)</f>
        <v/>
      </c>
      <c r="D613" s="19">
        <f>IF($A613="","",Master_Data!Q613)</f>
        <v/>
      </c>
      <c r="E613" s="19">
        <f>IF($A613="","",Master_Data!Q614)</f>
        <v/>
      </c>
      <c r="F613" s="19">
        <f>IF($A613="","",IF(AND(D613="GAS",E613="OIL"),"GOC",IF(AND(D613="OIL",E613="WATER"),"OWC",IF(AND(D613="GAS",E613="WATER"),"GWC",IF(AND(D613="OIL",E613="OIL_WATER"),"OWC_TRANSITION",IF(AND(D613="OIL_WATER",E613="WATER"),"OWC_TRANSITION",IF(AND(D613="GAS",E613="GAS_WATER"),"GOC_TRANSITION",IF(AND(D613="GAS_WATER",E613="OIL"),"GOC_TRANSITION",IF(OR(D613="OIL_WATER",D613="GAS_WATER"),"TRANSITION_INTERVAL","")))))))))</f>
        <v/>
      </c>
      <c r="G613" s="20">
        <f>IF(OR(F613="",Master_Data!R613="",Master_Data!S613=""),"",IF(RIGHT(F613,10)="TRANSITION",AVERAGE(Master_Data!R613:Master_Data!S613),AVERAGE(Master_Data!S613,Master_Data!R614)))</f>
        <v/>
      </c>
      <c r="H613" s="20">
        <f>IF(G613="","",MAX(Settings!$B$4,Settings!$B$5*AVERAGE(IF(Master_Data!O613&lt;&gt;"",Master_Data!O613,Master_Data!H613),IF(Master_Data!O614&lt;&gt;"",Master_Data!O614,Master_Data!H614))))</f>
        <v/>
      </c>
      <c r="I613" s="20">
        <f>IF(G613="","",G613-H613)</f>
        <v/>
      </c>
      <c r="J613" s="20">
        <f>IF(G613="","",G613+H613)</f>
        <v/>
      </c>
      <c r="K613" s="20">
        <f>IF($A613="","",Master_Data!G613)</f>
        <v/>
      </c>
      <c r="L613" s="20">
        <f>IF($A613="","",Master_Data!G614)</f>
        <v/>
      </c>
      <c r="M613" s="20">
        <f>IF(AND(ISNUMBER(K613),ISNUMBER(L613)),L613-K613,"")</f>
        <v/>
      </c>
      <c r="N613" s="19">
        <f>IF(G613="","",IF(AND(ISNUMBER(K613),ISNUMBER(L613)),IF(OR(F613="GOC",F613="OWC",F613="GWC",F613="OWC_TRANSITION",F613="GOC_TRANSITION"),IF(L613&gt;=K613,"Supports","Conflicts"),"N/A"),"No Sw"))</f>
        <v/>
      </c>
      <c r="O613" s="20">
        <f>IF(G613="","",Settings!$B$6*IF(OR(F613="GOC",F613="OWC",F613="GWC"),1,0.7)+Settings!$B$7*IF(N613="Supports",1,IF(N613="Conflicts",0,0.5))+Settings!$B$8*IF(AND(Master_Data!R613&lt;&gt;"",Master_Data!S613&lt;&gt;"",Master_Data!R614&lt;&gt;"",Master_Data!S614&lt;&gt;""),1,0.5))</f>
        <v/>
      </c>
      <c r="P613" s="19">
        <f>IF(G613="","",IF(N613="Conflicts","SW_CONFLICT",IF(OR(F613="GOC",F613="OWC",F613="GWC"),"DIRECT_FLUID_TRANSITION","TRANSITION_INTERVAL")))</f>
        <v/>
      </c>
      <c r="Q613" s="19">
        <f>IF(G613="","",IF(N613="Conflicts","Investigate contact interpretation / saturation behaviour",IF(OR(F613="OWC",F613="GOC",F613="GWC"),"Candidate contact — validate with logs, pressure and dynamic evidence","Transition zone — do not force to a sharp contact")))</f>
        <v/>
      </c>
    </row>
    <row r="614">
      <c r="A614" s="19">
        <f>IF(AND(Master_Data!A614&lt;&gt;"",Master_Data!A614=Master_Data!A615),Master_Data!A614,"")</f>
        <v/>
      </c>
      <c r="B614" s="19">
        <f>IF($A614="","",Master_Data!B614)</f>
        <v/>
      </c>
      <c r="C614" s="19">
        <f>IF($A614="","",Master_Data!B615)</f>
        <v/>
      </c>
      <c r="D614" s="19">
        <f>IF($A614="","",Master_Data!Q614)</f>
        <v/>
      </c>
      <c r="E614" s="19">
        <f>IF($A614="","",Master_Data!Q615)</f>
        <v/>
      </c>
      <c r="F614" s="19">
        <f>IF($A614="","",IF(AND(D614="GAS",E614="OIL"),"GOC",IF(AND(D614="OIL",E614="WATER"),"OWC",IF(AND(D614="GAS",E614="WATER"),"GWC",IF(AND(D614="OIL",E614="OIL_WATER"),"OWC_TRANSITION",IF(AND(D614="OIL_WATER",E614="WATER"),"OWC_TRANSITION",IF(AND(D614="GAS",E614="GAS_WATER"),"GOC_TRANSITION",IF(AND(D614="GAS_WATER",E614="OIL"),"GOC_TRANSITION",IF(OR(D614="OIL_WATER",D614="GAS_WATER"),"TRANSITION_INTERVAL","")))))))))</f>
        <v/>
      </c>
      <c r="G614" s="20">
        <f>IF(OR(F614="",Master_Data!R614="",Master_Data!S614=""),"",IF(RIGHT(F614,10)="TRANSITION",AVERAGE(Master_Data!R614:Master_Data!S614),AVERAGE(Master_Data!S614,Master_Data!R615)))</f>
        <v/>
      </c>
      <c r="H614" s="20">
        <f>IF(G614="","",MAX(Settings!$B$4,Settings!$B$5*AVERAGE(IF(Master_Data!O614&lt;&gt;"",Master_Data!O614,Master_Data!H614),IF(Master_Data!O615&lt;&gt;"",Master_Data!O615,Master_Data!H615))))</f>
        <v/>
      </c>
      <c r="I614" s="20">
        <f>IF(G614="","",G614-H614)</f>
        <v/>
      </c>
      <c r="J614" s="20">
        <f>IF(G614="","",G614+H614)</f>
        <v/>
      </c>
      <c r="K614" s="20">
        <f>IF($A614="","",Master_Data!G614)</f>
        <v/>
      </c>
      <c r="L614" s="20">
        <f>IF($A614="","",Master_Data!G615)</f>
        <v/>
      </c>
      <c r="M614" s="20">
        <f>IF(AND(ISNUMBER(K614),ISNUMBER(L614)),L614-K614,"")</f>
        <v/>
      </c>
      <c r="N614" s="19">
        <f>IF(G614="","",IF(AND(ISNUMBER(K614),ISNUMBER(L614)),IF(OR(F614="GOC",F614="OWC",F614="GWC",F614="OWC_TRANSITION",F614="GOC_TRANSITION"),IF(L614&gt;=K614,"Supports","Conflicts"),"N/A"),"No Sw"))</f>
        <v/>
      </c>
      <c r="O614" s="20">
        <f>IF(G614="","",Settings!$B$6*IF(OR(F614="GOC",F614="OWC",F614="GWC"),1,0.7)+Settings!$B$7*IF(N614="Supports",1,IF(N614="Conflicts",0,0.5))+Settings!$B$8*IF(AND(Master_Data!R614&lt;&gt;"",Master_Data!S614&lt;&gt;"",Master_Data!R615&lt;&gt;"",Master_Data!S615&lt;&gt;""),1,0.5))</f>
        <v/>
      </c>
      <c r="P614" s="19">
        <f>IF(G614="","",IF(N614="Conflicts","SW_CONFLICT",IF(OR(F614="GOC",F614="OWC",F614="GWC"),"DIRECT_FLUID_TRANSITION","TRANSITION_INTERVAL")))</f>
        <v/>
      </c>
      <c r="Q614" s="19">
        <f>IF(G614="","",IF(N614="Conflicts","Investigate contact interpretation / saturation behaviour",IF(OR(F614="OWC",F614="GOC",F614="GWC"),"Candidate contact — validate with logs, pressure and dynamic evidence","Transition zone — do not force to a sharp contact")))</f>
        <v/>
      </c>
    </row>
    <row r="615">
      <c r="A615" s="19">
        <f>IF(AND(Master_Data!A615&lt;&gt;"",Master_Data!A615=Master_Data!A616),Master_Data!A615,"")</f>
        <v/>
      </c>
      <c r="B615" s="19">
        <f>IF($A615="","",Master_Data!B615)</f>
        <v/>
      </c>
      <c r="C615" s="19">
        <f>IF($A615="","",Master_Data!B616)</f>
        <v/>
      </c>
      <c r="D615" s="19">
        <f>IF($A615="","",Master_Data!Q615)</f>
        <v/>
      </c>
      <c r="E615" s="19">
        <f>IF($A615="","",Master_Data!Q616)</f>
        <v/>
      </c>
      <c r="F615" s="19">
        <f>IF($A615="","",IF(AND(D615="GAS",E615="OIL"),"GOC",IF(AND(D615="OIL",E615="WATER"),"OWC",IF(AND(D615="GAS",E615="WATER"),"GWC",IF(AND(D615="OIL",E615="OIL_WATER"),"OWC_TRANSITION",IF(AND(D615="OIL_WATER",E615="WATER"),"OWC_TRANSITION",IF(AND(D615="GAS",E615="GAS_WATER"),"GOC_TRANSITION",IF(AND(D615="GAS_WATER",E615="OIL"),"GOC_TRANSITION",IF(OR(D615="OIL_WATER",D615="GAS_WATER"),"TRANSITION_INTERVAL","")))))))))</f>
        <v/>
      </c>
      <c r="G615" s="20">
        <f>IF(OR(F615="",Master_Data!R615="",Master_Data!S615=""),"",IF(RIGHT(F615,10)="TRANSITION",AVERAGE(Master_Data!R615:Master_Data!S615),AVERAGE(Master_Data!S615,Master_Data!R616)))</f>
        <v/>
      </c>
      <c r="H615" s="20">
        <f>IF(G615="","",MAX(Settings!$B$4,Settings!$B$5*AVERAGE(IF(Master_Data!O615&lt;&gt;"",Master_Data!O615,Master_Data!H615),IF(Master_Data!O616&lt;&gt;"",Master_Data!O616,Master_Data!H616))))</f>
        <v/>
      </c>
      <c r="I615" s="20">
        <f>IF(G615="","",G615-H615)</f>
        <v/>
      </c>
      <c r="J615" s="20">
        <f>IF(G615="","",G615+H615)</f>
        <v/>
      </c>
      <c r="K615" s="20">
        <f>IF($A615="","",Master_Data!G615)</f>
        <v/>
      </c>
      <c r="L615" s="20">
        <f>IF($A615="","",Master_Data!G616)</f>
        <v/>
      </c>
      <c r="M615" s="20">
        <f>IF(AND(ISNUMBER(K615),ISNUMBER(L615)),L615-K615,"")</f>
        <v/>
      </c>
      <c r="N615" s="19">
        <f>IF(G615="","",IF(AND(ISNUMBER(K615),ISNUMBER(L615)),IF(OR(F615="GOC",F615="OWC",F615="GWC",F615="OWC_TRANSITION",F615="GOC_TRANSITION"),IF(L615&gt;=K615,"Supports","Conflicts"),"N/A"),"No Sw"))</f>
        <v/>
      </c>
      <c r="O615" s="20">
        <f>IF(G615="","",Settings!$B$6*IF(OR(F615="GOC",F615="OWC",F615="GWC"),1,0.7)+Settings!$B$7*IF(N615="Supports",1,IF(N615="Conflicts",0,0.5))+Settings!$B$8*IF(AND(Master_Data!R615&lt;&gt;"",Master_Data!S615&lt;&gt;"",Master_Data!R616&lt;&gt;"",Master_Data!S616&lt;&gt;""),1,0.5))</f>
        <v/>
      </c>
      <c r="P615" s="19">
        <f>IF(G615="","",IF(N615="Conflicts","SW_CONFLICT",IF(OR(F615="GOC",F615="OWC",F615="GWC"),"DIRECT_FLUID_TRANSITION","TRANSITION_INTERVAL")))</f>
        <v/>
      </c>
      <c r="Q615" s="19">
        <f>IF(G615="","",IF(N615="Conflicts","Investigate contact interpretation / saturation behaviour",IF(OR(F615="OWC",F615="GOC",F615="GWC"),"Candidate contact — validate with logs, pressure and dynamic evidence","Transition zone — do not force to a sharp contact")))</f>
        <v/>
      </c>
    </row>
    <row r="616">
      <c r="A616" s="19">
        <f>IF(AND(Master_Data!A616&lt;&gt;"",Master_Data!A616=Master_Data!A617),Master_Data!A616,"")</f>
        <v/>
      </c>
      <c r="B616" s="19">
        <f>IF($A616="","",Master_Data!B616)</f>
        <v/>
      </c>
      <c r="C616" s="19">
        <f>IF($A616="","",Master_Data!B617)</f>
        <v/>
      </c>
      <c r="D616" s="19">
        <f>IF($A616="","",Master_Data!Q616)</f>
        <v/>
      </c>
      <c r="E616" s="19">
        <f>IF($A616="","",Master_Data!Q617)</f>
        <v/>
      </c>
      <c r="F616" s="19">
        <f>IF($A616="","",IF(AND(D616="GAS",E616="OIL"),"GOC",IF(AND(D616="OIL",E616="WATER"),"OWC",IF(AND(D616="GAS",E616="WATER"),"GWC",IF(AND(D616="OIL",E616="OIL_WATER"),"OWC_TRANSITION",IF(AND(D616="OIL_WATER",E616="WATER"),"OWC_TRANSITION",IF(AND(D616="GAS",E616="GAS_WATER"),"GOC_TRANSITION",IF(AND(D616="GAS_WATER",E616="OIL"),"GOC_TRANSITION",IF(OR(D616="OIL_WATER",D616="GAS_WATER"),"TRANSITION_INTERVAL","")))))))))</f>
        <v/>
      </c>
      <c r="G616" s="20">
        <f>IF(OR(F616="",Master_Data!R616="",Master_Data!S616=""),"",IF(RIGHT(F616,10)="TRANSITION",AVERAGE(Master_Data!R616:Master_Data!S616),AVERAGE(Master_Data!S616,Master_Data!R617)))</f>
        <v/>
      </c>
      <c r="H616" s="20">
        <f>IF(G616="","",MAX(Settings!$B$4,Settings!$B$5*AVERAGE(IF(Master_Data!O616&lt;&gt;"",Master_Data!O616,Master_Data!H616),IF(Master_Data!O617&lt;&gt;"",Master_Data!O617,Master_Data!H617))))</f>
        <v/>
      </c>
      <c r="I616" s="20">
        <f>IF(G616="","",G616-H616)</f>
        <v/>
      </c>
      <c r="J616" s="20">
        <f>IF(G616="","",G616+H616)</f>
        <v/>
      </c>
      <c r="K616" s="20">
        <f>IF($A616="","",Master_Data!G616)</f>
        <v/>
      </c>
      <c r="L616" s="20">
        <f>IF($A616="","",Master_Data!G617)</f>
        <v/>
      </c>
      <c r="M616" s="20">
        <f>IF(AND(ISNUMBER(K616),ISNUMBER(L616)),L616-K616,"")</f>
        <v/>
      </c>
      <c r="N616" s="19">
        <f>IF(G616="","",IF(AND(ISNUMBER(K616),ISNUMBER(L616)),IF(OR(F616="GOC",F616="OWC",F616="GWC",F616="OWC_TRANSITION",F616="GOC_TRANSITION"),IF(L616&gt;=K616,"Supports","Conflicts"),"N/A"),"No Sw"))</f>
        <v/>
      </c>
      <c r="O616" s="20">
        <f>IF(G616="","",Settings!$B$6*IF(OR(F616="GOC",F616="OWC",F616="GWC"),1,0.7)+Settings!$B$7*IF(N616="Supports",1,IF(N616="Conflicts",0,0.5))+Settings!$B$8*IF(AND(Master_Data!R616&lt;&gt;"",Master_Data!S616&lt;&gt;"",Master_Data!R617&lt;&gt;"",Master_Data!S617&lt;&gt;""),1,0.5))</f>
        <v/>
      </c>
      <c r="P616" s="19">
        <f>IF(G616="","",IF(N616="Conflicts","SW_CONFLICT",IF(OR(F616="GOC",F616="OWC",F616="GWC"),"DIRECT_FLUID_TRANSITION","TRANSITION_INTERVAL")))</f>
        <v/>
      </c>
      <c r="Q616" s="19">
        <f>IF(G616="","",IF(N616="Conflicts","Investigate contact interpretation / saturation behaviour",IF(OR(F616="OWC",F616="GOC",F616="GWC"),"Candidate contact — validate with logs, pressure and dynamic evidence","Transition zone — do not force to a sharp contact")))</f>
        <v/>
      </c>
    </row>
    <row r="617">
      <c r="A617" s="19">
        <f>IF(AND(Master_Data!A617&lt;&gt;"",Master_Data!A617=Master_Data!A618),Master_Data!A617,"")</f>
        <v/>
      </c>
      <c r="B617" s="19">
        <f>IF($A617="","",Master_Data!B617)</f>
        <v/>
      </c>
      <c r="C617" s="19">
        <f>IF($A617="","",Master_Data!B618)</f>
        <v/>
      </c>
      <c r="D617" s="19">
        <f>IF($A617="","",Master_Data!Q617)</f>
        <v/>
      </c>
      <c r="E617" s="19">
        <f>IF($A617="","",Master_Data!Q618)</f>
        <v/>
      </c>
      <c r="F617" s="19">
        <f>IF($A617="","",IF(AND(D617="GAS",E617="OIL"),"GOC",IF(AND(D617="OIL",E617="WATER"),"OWC",IF(AND(D617="GAS",E617="WATER"),"GWC",IF(AND(D617="OIL",E617="OIL_WATER"),"OWC_TRANSITION",IF(AND(D617="OIL_WATER",E617="WATER"),"OWC_TRANSITION",IF(AND(D617="GAS",E617="GAS_WATER"),"GOC_TRANSITION",IF(AND(D617="GAS_WATER",E617="OIL"),"GOC_TRANSITION",IF(OR(D617="OIL_WATER",D617="GAS_WATER"),"TRANSITION_INTERVAL","")))))))))</f>
        <v/>
      </c>
      <c r="G617" s="20">
        <f>IF(OR(F617="",Master_Data!R617="",Master_Data!S617=""),"",IF(RIGHT(F617,10)="TRANSITION",AVERAGE(Master_Data!R617:Master_Data!S617),AVERAGE(Master_Data!S617,Master_Data!R618)))</f>
        <v/>
      </c>
      <c r="H617" s="20">
        <f>IF(G617="","",MAX(Settings!$B$4,Settings!$B$5*AVERAGE(IF(Master_Data!O617&lt;&gt;"",Master_Data!O617,Master_Data!H617),IF(Master_Data!O618&lt;&gt;"",Master_Data!O618,Master_Data!H618))))</f>
        <v/>
      </c>
      <c r="I617" s="20">
        <f>IF(G617="","",G617-H617)</f>
        <v/>
      </c>
      <c r="J617" s="20">
        <f>IF(G617="","",G617+H617)</f>
        <v/>
      </c>
      <c r="K617" s="20">
        <f>IF($A617="","",Master_Data!G617)</f>
        <v/>
      </c>
      <c r="L617" s="20">
        <f>IF($A617="","",Master_Data!G618)</f>
        <v/>
      </c>
      <c r="M617" s="20">
        <f>IF(AND(ISNUMBER(K617),ISNUMBER(L617)),L617-K617,"")</f>
        <v/>
      </c>
      <c r="N617" s="19">
        <f>IF(G617="","",IF(AND(ISNUMBER(K617),ISNUMBER(L617)),IF(OR(F617="GOC",F617="OWC",F617="GWC",F617="OWC_TRANSITION",F617="GOC_TRANSITION"),IF(L617&gt;=K617,"Supports","Conflicts"),"N/A"),"No Sw"))</f>
        <v/>
      </c>
      <c r="O617" s="20">
        <f>IF(G617="","",Settings!$B$6*IF(OR(F617="GOC",F617="OWC",F617="GWC"),1,0.7)+Settings!$B$7*IF(N617="Supports",1,IF(N617="Conflicts",0,0.5))+Settings!$B$8*IF(AND(Master_Data!R617&lt;&gt;"",Master_Data!S617&lt;&gt;"",Master_Data!R618&lt;&gt;"",Master_Data!S618&lt;&gt;""),1,0.5))</f>
        <v/>
      </c>
      <c r="P617" s="19">
        <f>IF(G617="","",IF(N617="Conflicts","SW_CONFLICT",IF(OR(F617="GOC",F617="OWC",F617="GWC"),"DIRECT_FLUID_TRANSITION","TRANSITION_INTERVAL")))</f>
        <v/>
      </c>
      <c r="Q617" s="19">
        <f>IF(G617="","",IF(N617="Conflicts","Investigate contact interpretation / saturation behaviour",IF(OR(F617="OWC",F617="GOC",F617="GWC"),"Candidate contact — validate with logs, pressure and dynamic evidence","Transition zone — do not force to a sharp contact")))</f>
        <v/>
      </c>
    </row>
    <row r="618">
      <c r="A618" s="19">
        <f>IF(AND(Master_Data!A618&lt;&gt;"",Master_Data!A618=Master_Data!A619),Master_Data!A618,"")</f>
        <v/>
      </c>
      <c r="B618" s="19">
        <f>IF($A618="","",Master_Data!B618)</f>
        <v/>
      </c>
      <c r="C618" s="19">
        <f>IF($A618="","",Master_Data!B619)</f>
        <v/>
      </c>
      <c r="D618" s="19">
        <f>IF($A618="","",Master_Data!Q618)</f>
        <v/>
      </c>
      <c r="E618" s="19">
        <f>IF($A618="","",Master_Data!Q619)</f>
        <v/>
      </c>
      <c r="F618" s="19">
        <f>IF($A618="","",IF(AND(D618="GAS",E618="OIL"),"GOC",IF(AND(D618="OIL",E618="WATER"),"OWC",IF(AND(D618="GAS",E618="WATER"),"GWC",IF(AND(D618="OIL",E618="OIL_WATER"),"OWC_TRANSITION",IF(AND(D618="OIL_WATER",E618="WATER"),"OWC_TRANSITION",IF(AND(D618="GAS",E618="GAS_WATER"),"GOC_TRANSITION",IF(AND(D618="GAS_WATER",E618="OIL"),"GOC_TRANSITION",IF(OR(D618="OIL_WATER",D618="GAS_WATER"),"TRANSITION_INTERVAL","")))))))))</f>
        <v/>
      </c>
      <c r="G618" s="20">
        <f>IF(OR(F618="",Master_Data!R618="",Master_Data!S618=""),"",IF(RIGHT(F618,10)="TRANSITION",AVERAGE(Master_Data!R618:Master_Data!S618),AVERAGE(Master_Data!S618,Master_Data!R619)))</f>
        <v/>
      </c>
      <c r="H618" s="20">
        <f>IF(G618="","",MAX(Settings!$B$4,Settings!$B$5*AVERAGE(IF(Master_Data!O618&lt;&gt;"",Master_Data!O618,Master_Data!H618),IF(Master_Data!O619&lt;&gt;"",Master_Data!O619,Master_Data!H619))))</f>
        <v/>
      </c>
      <c r="I618" s="20">
        <f>IF(G618="","",G618-H618)</f>
        <v/>
      </c>
      <c r="J618" s="20">
        <f>IF(G618="","",G618+H618)</f>
        <v/>
      </c>
      <c r="K618" s="20">
        <f>IF($A618="","",Master_Data!G618)</f>
        <v/>
      </c>
      <c r="L618" s="20">
        <f>IF($A618="","",Master_Data!G619)</f>
        <v/>
      </c>
      <c r="M618" s="20">
        <f>IF(AND(ISNUMBER(K618),ISNUMBER(L618)),L618-K618,"")</f>
        <v/>
      </c>
      <c r="N618" s="19">
        <f>IF(G618="","",IF(AND(ISNUMBER(K618),ISNUMBER(L618)),IF(OR(F618="GOC",F618="OWC",F618="GWC",F618="OWC_TRANSITION",F618="GOC_TRANSITION"),IF(L618&gt;=K618,"Supports","Conflicts"),"N/A"),"No Sw"))</f>
        <v/>
      </c>
      <c r="O618" s="20">
        <f>IF(G618="","",Settings!$B$6*IF(OR(F618="GOC",F618="OWC",F618="GWC"),1,0.7)+Settings!$B$7*IF(N618="Supports",1,IF(N618="Conflicts",0,0.5))+Settings!$B$8*IF(AND(Master_Data!R618&lt;&gt;"",Master_Data!S618&lt;&gt;"",Master_Data!R619&lt;&gt;"",Master_Data!S619&lt;&gt;""),1,0.5))</f>
        <v/>
      </c>
      <c r="P618" s="19">
        <f>IF(G618="","",IF(N618="Conflicts","SW_CONFLICT",IF(OR(F618="GOC",F618="OWC",F618="GWC"),"DIRECT_FLUID_TRANSITION","TRANSITION_INTERVAL")))</f>
        <v/>
      </c>
      <c r="Q618" s="19">
        <f>IF(G618="","",IF(N618="Conflicts","Investigate contact interpretation / saturation behaviour",IF(OR(F618="OWC",F618="GOC",F618="GWC"),"Candidate contact — validate with logs, pressure and dynamic evidence","Transition zone — do not force to a sharp contact")))</f>
        <v/>
      </c>
    </row>
    <row r="619">
      <c r="A619" s="19">
        <f>IF(AND(Master_Data!A619&lt;&gt;"",Master_Data!A619=Master_Data!A620),Master_Data!A619,"")</f>
        <v/>
      </c>
      <c r="B619" s="19">
        <f>IF($A619="","",Master_Data!B619)</f>
        <v/>
      </c>
      <c r="C619" s="19">
        <f>IF($A619="","",Master_Data!B620)</f>
        <v/>
      </c>
      <c r="D619" s="19">
        <f>IF($A619="","",Master_Data!Q619)</f>
        <v/>
      </c>
      <c r="E619" s="19">
        <f>IF($A619="","",Master_Data!Q620)</f>
        <v/>
      </c>
      <c r="F619" s="19">
        <f>IF($A619="","",IF(AND(D619="GAS",E619="OIL"),"GOC",IF(AND(D619="OIL",E619="WATER"),"OWC",IF(AND(D619="GAS",E619="WATER"),"GWC",IF(AND(D619="OIL",E619="OIL_WATER"),"OWC_TRANSITION",IF(AND(D619="OIL_WATER",E619="WATER"),"OWC_TRANSITION",IF(AND(D619="GAS",E619="GAS_WATER"),"GOC_TRANSITION",IF(AND(D619="GAS_WATER",E619="OIL"),"GOC_TRANSITION",IF(OR(D619="OIL_WATER",D619="GAS_WATER"),"TRANSITION_INTERVAL","")))))))))</f>
        <v/>
      </c>
      <c r="G619" s="20">
        <f>IF(OR(F619="",Master_Data!R619="",Master_Data!S619=""),"",IF(RIGHT(F619,10)="TRANSITION",AVERAGE(Master_Data!R619:Master_Data!S619),AVERAGE(Master_Data!S619,Master_Data!R620)))</f>
        <v/>
      </c>
      <c r="H619" s="20">
        <f>IF(G619="","",MAX(Settings!$B$4,Settings!$B$5*AVERAGE(IF(Master_Data!O619&lt;&gt;"",Master_Data!O619,Master_Data!H619),IF(Master_Data!O620&lt;&gt;"",Master_Data!O620,Master_Data!H620))))</f>
        <v/>
      </c>
      <c r="I619" s="20">
        <f>IF(G619="","",G619-H619)</f>
        <v/>
      </c>
      <c r="J619" s="20">
        <f>IF(G619="","",G619+H619)</f>
        <v/>
      </c>
      <c r="K619" s="20">
        <f>IF($A619="","",Master_Data!G619)</f>
        <v/>
      </c>
      <c r="L619" s="20">
        <f>IF($A619="","",Master_Data!G620)</f>
        <v/>
      </c>
      <c r="M619" s="20">
        <f>IF(AND(ISNUMBER(K619),ISNUMBER(L619)),L619-K619,"")</f>
        <v/>
      </c>
      <c r="N619" s="19">
        <f>IF(G619="","",IF(AND(ISNUMBER(K619),ISNUMBER(L619)),IF(OR(F619="GOC",F619="OWC",F619="GWC",F619="OWC_TRANSITION",F619="GOC_TRANSITION"),IF(L619&gt;=K619,"Supports","Conflicts"),"N/A"),"No Sw"))</f>
        <v/>
      </c>
      <c r="O619" s="20">
        <f>IF(G619="","",Settings!$B$6*IF(OR(F619="GOC",F619="OWC",F619="GWC"),1,0.7)+Settings!$B$7*IF(N619="Supports",1,IF(N619="Conflicts",0,0.5))+Settings!$B$8*IF(AND(Master_Data!R619&lt;&gt;"",Master_Data!S619&lt;&gt;"",Master_Data!R620&lt;&gt;"",Master_Data!S620&lt;&gt;""),1,0.5))</f>
        <v/>
      </c>
      <c r="P619" s="19">
        <f>IF(G619="","",IF(N619="Conflicts","SW_CONFLICT",IF(OR(F619="GOC",F619="OWC",F619="GWC"),"DIRECT_FLUID_TRANSITION","TRANSITION_INTERVAL")))</f>
        <v/>
      </c>
      <c r="Q619" s="19">
        <f>IF(G619="","",IF(N619="Conflicts","Investigate contact interpretation / saturation behaviour",IF(OR(F619="OWC",F619="GOC",F619="GWC"),"Candidate contact — validate with logs, pressure and dynamic evidence","Transition zone — do not force to a sharp contact")))</f>
        <v/>
      </c>
    </row>
    <row r="620">
      <c r="A620" s="19">
        <f>IF(AND(Master_Data!A620&lt;&gt;"",Master_Data!A620=Master_Data!A621),Master_Data!A620,"")</f>
        <v/>
      </c>
      <c r="B620" s="19">
        <f>IF($A620="","",Master_Data!B620)</f>
        <v/>
      </c>
      <c r="C620" s="19">
        <f>IF($A620="","",Master_Data!B621)</f>
        <v/>
      </c>
      <c r="D620" s="19">
        <f>IF($A620="","",Master_Data!Q620)</f>
        <v/>
      </c>
      <c r="E620" s="19">
        <f>IF($A620="","",Master_Data!Q621)</f>
        <v/>
      </c>
      <c r="F620" s="19">
        <f>IF($A620="","",IF(AND(D620="GAS",E620="OIL"),"GOC",IF(AND(D620="OIL",E620="WATER"),"OWC",IF(AND(D620="GAS",E620="WATER"),"GWC",IF(AND(D620="OIL",E620="OIL_WATER"),"OWC_TRANSITION",IF(AND(D620="OIL_WATER",E620="WATER"),"OWC_TRANSITION",IF(AND(D620="GAS",E620="GAS_WATER"),"GOC_TRANSITION",IF(AND(D620="GAS_WATER",E620="OIL"),"GOC_TRANSITION",IF(OR(D620="OIL_WATER",D620="GAS_WATER"),"TRANSITION_INTERVAL","")))))))))</f>
        <v/>
      </c>
      <c r="G620" s="20">
        <f>IF(OR(F620="",Master_Data!R620="",Master_Data!S620=""),"",IF(RIGHT(F620,10)="TRANSITION",AVERAGE(Master_Data!R620:Master_Data!S620),AVERAGE(Master_Data!S620,Master_Data!R621)))</f>
        <v/>
      </c>
      <c r="H620" s="20">
        <f>IF(G620="","",MAX(Settings!$B$4,Settings!$B$5*AVERAGE(IF(Master_Data!O620&lt;&gt;"",Master_Data!O620,Master_Data!H620),IF(Master_Data!O621&lt;&gt;"",Master_Data!O621,Master_Data!H621))))</f>
        <v/>
      </c>
      <c r="I620" s="20">
        <f>IF(G620="","",G620-H620)</f>
        <v/>
      </c>
      <c r="J620" s="20">
        <f>IF(G620="","",G620+H620)</f>
        <v/>
      </c>
      <c r="K620" s="20">
        <f>IF($A620="","",Master_Data!G620)</f>
        <v/>
      </c>
      <c r="L620" s="20">
        <f>IF($A620="","",Master_Data!G621)</f>
        <v/>
      </c>
      <c r="M620" s="20">
        <f>IF(AND(ISNUMBER(K620),ISNUMBER(L620)),L620-K620,"")</f>
        <v/>
      </c>
      <c r="N620" s="19">
        <f>IF(G620="","",IF(AND(ISNUMBER(K620),ISNUMBER(L620)),IF(OR(F620="GOC",F620="OWC",F620="GWC",F620="OWC_TRANSITION",F620="GOC_TRANSITION"),IF(L620&gt;=K620,"Supports","Conflicts"),"N/A"),"No Sw"))</f>
        <v/>
      </c>
      <c r="O620" s="20">
        <f>IF(G620="","",Settings!$B$6*IF(OR(F620="GOC",F620="OWC",F620="GWC"),1,0.7)+Settings!$B$7*IF(N620="Supports",1,IF(N620="Conflicts",0,0.5))+Settings!$B$8*IF(AND(Master_Data!R620&lt;&gt;"",Master_Data!S620&lt;&gt;"",Master_Data!R621&lt;&gt;"",Master_Data!S621&lt;&gt;""),1,0.5))</f>
        <v/>
      </c>
      <c r="P620" s="19">
        <f>IF(G620="","",IF(N620="Conflicts","SW_CONFLICT",IF(OR(F620="GOC",F620="OWC",F620="GWC"),"DIRECT_FLUID_TRANSITION","TRANSITION_INTERVAL")))</f>
        <v/>
      </c>
      <c r="Q620" s="19">
        <f>IF(G620="","",IF(N620="Conflicts","Investigate contact interpretation / saturation behaviour",IF(OR(F620="OWC",F620="GOC",F620="GWC"),"Candidate contact — validate with logs, pressure and dynamic evidence","Transition zone — do not force to a sharp contact")))</f>
        <v/>
      </c>
    </row>
    <row r="621">
      <c r="A621" s="19">
        <f>IF(AND(Master_Data!A621&lt;&gt;"",Master_Data!A621=Master_Data!A622),Master_Data!A621,"")</f>
        <v/>
      </c>
      <c r="B621" s="19">
        <f>IF($A621="","",Master_Data!B621)</f>
        <v/>
      </c>
      <c r="C621" s="19">
        <f>IF($A621="","",Master_Data!B622)</f>
        <v/>
      </c>
      <c r="D621" s="19">
        <f>IF($A621="","",Master_Data!Q621)</f>
        <v/>
      </c>
      <c r="E621" s="19">
        <f>IF($A621="","",Master_Data!Q622)</f>
        <v/>
      </c>
      <c r="F621" s="19">
        <f>IF($A621="","",IF(AND(D621="GAS",E621="OIL"),"GOC",IF(AND(D621="OIL",E621="WATER"),"OWC",IF(AND(D621="GAS",E621="WATER"),"GWC",IF(AND(D621="OIL",E621="OIL_WATER"),"OWC_TRANSITION",IF(AND(D621="OIL_WATER",E621="WATER"),"OWC_TRANSITION",IF(AND(D621="GAS",E621="GAS_WATER"),"GOC_TRANSITION",IF(AND(D621="GAS_WATER",E621="OIL"),"GOC_TRANSITION",IF(OR(D621="OIL_WATER",D621="GAS_WATER"),"TRANSITION_INTERVAL","")))))))))</f>
        <v/>
      </c>
      <c r="G621" s="20">
        <f>IF(OR(F621="",Master_Data!R621="",Master_Data!S621=""),"",IF(RIGHT(F621,10)="TRANSITION",AVERAGE(Master_Data!R621:Master_Data!S621),AVERAGE(Master_Data!S621,Master_Data!R622)))</f>
        <v/>
      </c>
      <c r="H621" s="20">
        <f>IF(G621="","",MAX(Settings!$B$4,Settings!$B$5*AVERAGE(IF(Master_Data!O621&lt;&gt;"",Master_Data!O621,Master_Data!H621),IF(Master_Data!O622&lt;&gt;"",Master_Data!O622,Master_Data!H622))))</f>
        <v/>
      </c>
      <c r="I621" s="20">
        <f>IF(G621="","",G621-H621)</f>
        <v/>
      </c>
      <c r="J621" s="20">
        <f>IF(G621="","",G621+H621)</f>
        <v/>
      </c>
      <c r="K621" s="20">
        <f>IF($A621="","",Master_Data!G621)</f>
        <v/>
      </c>
      <c r="L621" s="20">
        <f>IF($A621="","",Master_Data!G622)</f>
        <v/>
      </c>
      <c r="M621" s="20">
        <f>IF(AND(ISNUMBER(K621),ISNUMBER(L621)),L621-K621,"")</f>
        <v/>
      </c>
      <c r="N621" s="19">
        <f>IF(G621="","",IF(AND(ISNUMBER(K621),ISNUMBER(L621)),IF(OR(F621="GOC",F621="OWC",F621="GWC",F621="OWC_TRANSITION",F621="GOC_TRANSITION"),IF(L621&gt;=K621,"Supports","Conflicts"),"N/A"),"No Sw"))</f>
        <v/>
      </c>
      <c r="O621" s="20">
        <f>IF(G621="","",Settings!$B$6*IF(OR(F621="GOC",F621="OWC",F621="GWC"),1,0.7)+Settings!$B$7*IF(N621="Supports",1,IF(N621="Conflicts",0,0.5))+Settings!$B$8*IF(AND(Master_Data!R621&lt;&gt;"",Master_Data!S621&lt;&gt;"",Master_Data!R622&lt;&gt;"",Master_Data!S622&lt;&gt;""),1,0.5))</f>
        <v/>
      </c>
      <c r="P621" s="19">
        <f>IF(G621="","",IF(N621="Conflicts","SW_CONFLICT",IF(OR(F621="GOC",F621="OWC",F621="GWC"),"DIRECT_FLUID_TRANSITION","TRANSITION_INTERVAL")))</f>
        <v/>
      </c>
      <c r="Q621" s="19">
        <f>IF(G621="","",IF(N621="Conflicts","Investigate contact interpretation / saturation behaviour",IF(OR(F621="OWC",F621="GOC",F621="GWC"),"Candidate contact — validate with logs, pressure and dynamic evidence","Transition zone — do not force to a sharp contact")))</f>
        <v/>
      </c>
    </row>
    <row r="622">
      <c r="A622" s="19">
        <f>IF(AND(Master_Data!A622&lt;&gt;"",Master_Data!A622=Master_Data!A623),Master_Data!A622,"")</f>
        <v/>
      </c>
      <c r="B622" s="19">
        <f>IF($A622="","",Master_Data!B622)</f>
        <v/>
      </c>
      <c r="C622" s="19">
        <f>IF($A622="","",Master_Data!B623)</f>
        <v/>
      </c>
      <c r="D622" s="19">
        <f>IF($A622="","",Master_Data!Q622)</f>
        <v/>
      </c>
      <c r="E622" s="19">
        <f>IF($A622="","",Master_Data!Q623)</f>
        <v/>
      </c>
      <c r="F622" s="19">
        <f>IF($A622="","",IF(AND(D622="GAS",E622="OIL"),"GOC",IF(AND(D622="OIL",E622="WATER"),"OWC",IF(AND(D622="GAS",E622="WATER"),"GWC",IF(AND(D622="OIL",E622="OIL_WATER"),"OWC_TRANSITION",IF(AND(D622="OIL_WATER",E622="WATER"),"OWC_TRANSITION",IF(AND(D622="GAS",E622="GAS_WATER"),"GOC_TRANSITION",IF(AND(D622="GAS_WATER",E622="OIL"),"GOC_TRANSITION",IF(OR(D622="OIL_WATER",D622="GAS_WATER"),"TRANSITION_INTERVAL","")))))))))</f>
        <v/>
      </c>
      <c r="G622" s="20">
        <f>IF(OR(F622="",Master_Data!R622="",Master_Data!S622=""),"",IF(RIGHT(F622,10)="TRANSITION",AVERAGE(Master_Data!R622:Master_Data!S622),AVERAGE(Master_Data!S622,Master_Data!R623)))</f>
        <v/>
      </c>
      <c r="H622" s="20">
        <f>IF(G622="","",MAX(Settings!$B$4,Settings!$B$5*AVERAGE(IF(Master_Data!O622&lt;&gt;"",Master_Data!O622,Master_Data!H622),IF(Master_Data!O623&lt;&gt;"",Master_Data!O623,Master_Data!H623))))</f>
        <v/>
      </c>
      <c r="I622" s="20">
        <f>IF(G622="","",G622-H622)</f>
        <v/>
      </c>
      <c r="J622" s="20">
        <f>IF(G622="","",G622+H622)</f>
        <v/>
      </c>
      <c r="K622" s="20">
        <f>IF($A622="","",Master_Data!G622)</f>
        <v/>
      </c>
      <c r="L622" s="20">
        <f>IF($A622="","",Master_Data!G623)</f>
        <v/>
      </c>
      <c r="M622" s="20">
        <f>IF(AND(ISNUMBER(K622),ISNUMBER(L622)),L622-K622,"")</f>
        <v/>
      </c>
      <c r="N622" s="19">
        <f>IF(G622="","",IF(AND(ISNUMBER(K622),ISNUMBER(L622)),IF(OR(F622="GOC",F622="OWC",F622="GWC",F622="OWC_TRANSITION",F622="GOC_TRANSITION"),IF(L622&gt;=K622,"Supports","Conflicts"),"N/A"),"No Sw"))</f>
        <v/>
      </c>
      <c r="O622" s="20">
        <f>IF(G622="","",Settings!$B$6*IF(OR(F622="GOC",F622="OWC",F622="GWC"),1,0.7)+Settings!$B$7*IF(N622="Supports",1,IF(N622="Conflicts",0,0.5))+Settings!$B$8*IF(AND(Master_Data!R622&lt;&gt;"",Master_Data!S622&lt;&gt;"",Master_Data!R623&lt;&gt;"",Master_Data!S623&lt;&gt;""),1,0.5))</f>
        <v/>
      </c>
      <c r="P622" s="19">
        <f>IF(G622="","",IF(N622="Conflicts","SW_CONFLICT",IF(OR(F622="GOC",F622="OWC",F622="GWC"),"DIRECT_FLUID_TRANSITION","TRANSITION_INTERVAL")))</f>
        <v/>
      </c>
      <c r="Q622" s="19">
        <f>IF(G622="","",IF(N622="Conflicts","Investigate contact interpretation / saturation behaviour",IF(OR(F622="OWC",F622="GOC",F622="GWC"),"Candidate contact — validate with logs, pressure and dynamic evidence","Transition zone — do not force to a sharp contact")))</f>
        <v/>
      </c>
    </row>
    <row r="623">
      <c r="A623" s="19">
        <f>IF(AND(Master_Data!A623&lt;&gt;"",Master_Data!A623=Master_Data!A624),Master_Data!A623,"")</f>
        <v/>
      </c>
      <c r="B623" s="19">
        <f>IF($A623="","",Master_Data!B623)</f>
        <v/>
      </c>
      <c r="C623" s="19">
        <f>IF($A623="","",Master_Data!B624)</f>
        <v/>
      </c>
      <c r="D623" s="19">
        <f>IF($A623="","",Master_Data!Q623)</f>
        <v/>
      </c>
      <c r="E623" s="19">
        <f>IF($A623="","",Master_Data!Q624)</f>
        <v/>
      </c>
      <c r="F623" s="19">
        <f>IF($A623="","",IF(AND(D623="GAS",E623="OIL"),"GOC",IF(AND(D623="OIL",E623="WATER"),"OWC",IF(AND(D623="GAS",E623="WATER"),"GWC",IF(AND(D623="OIL",E623="OIL_WATER"),"OWC_TRANSITION",IF(AND(D623="OIL_WATER",E623="WATER"),"OWC_TRANSITION",IF(AND(D623="GAS",E623="GAS_WATER"),"GOC_TRANSITION",IF(AND(D623="GAS_WATER",E623="OIL"),"GOC_TRANSITION",IF(OR(D623="OIL_WATER",D623="GAS_WATER"),"TRANSITION_INTERVAL","")))))))))</f>
        <v/>
      </c>
      <c r="G623" s="20">
        <f>IF(OR(F623="",Master_Data!R623="",Master_Data!S623=""),"",IF(RIGHT(F623,10)="TRANSITION",AVERAGE(Master_Data!R623:Master_Data!S623),AVERAGE(Master_Data!S623,Master_Data!R624)))</f>
        <v/>
      </c>
      <c r="H623" s="20">
        <f>IF(G623="","",MAX(Settings!$B$4,Settings!$B$5*AVERAGE(IF(Master_Data!O623&lt;&gt;"",Master_Data!O623,Master_Data!H623),IF(Master_Data!O624&lt;&gt;"",Master_Data!O624,Master_Data!H624))))</f>
        <v/>
      </c>
      <c r="I623" s="20">
        <f>IF(G623="","",G623-H623)</f>
        <v/>
      </c>
      <c r="J623" s="20">
        <f>IF(G623="","",G623+H623)</f>
        <v/>
      </c>
      <c r="K623" s="20">
        <f>IF($A623="","",Master_Data!G623)</f>
        <v/>
      </c>
      <c r="L623" s="20">
        <f>IF($A623="","",Master_Data!G624)</f>
        <v/>
      </c>
      <c r="M623" s="20">
        <f>IF(AND(ISNUMBER(K623),ISNUMBER(L623)),L623-K623,"")</f>
        <v/>
      </c>
      <c r="N623" s="19">
        <f>IF(G623="","",IF(AND(ISNUMBER(K623),ISNUMBER(L623)),IF(OR(F623="GOC",F623="OWC",F623="GWC",F623="OWC_TRANSITION",F623="GOC_TRANSITION"),IF(L623&gt;=K623,"Supports","Conflicts"),"N/A"),"No Sw"))</f>
        <v/>
      </c>
      <c r="O623" s="20">
        <f>IF(G623="","",Settings!$B$6*IF(OR(F623="GOC",F623="OWC",F623="GWC"),1,0.7)+Settings!$B$7*IF(N623="Supports",1,IF(N623="Conflicts",0,0.5))+Settings!$B$8*IF(AND(Master_Data!R623&lt;&gt;"",Master_Data!S623&lt;&gt;"",Master_Data!R624&lt;&gt;"",Master_Data!S624&lt;&gt;""),1,0.5))</f>
        <v/>
      </c>
      <c r="P623" s="19">
        <f>IF(G623="","",IF(N623="Conflicts","SW_CONFLICT",IF(OR(F623="GOC",F623="OWC",F623="GWC"),"DIRECT_FLUID_TRANSITION","TRANSITION_INTERVAL")))</f>
        <v/>
      </c>
      <c r="Q623" s="19">
        <f>IF(G623="","",IF(N623="Conflicts","Investigate contact interpretation / saturation behaviour",IF(OR(F623="OWC",F623="GOC",F623="GWC"),"Candidate contact — validate with logs, pressure and dynamic evidence","Transition zone — do not force to a sharp contact")))</f>
        <v/>
      </c>
    </row>
    <row r="624">
      <c r="A624" s="19">
        <f>IF(AND(Master_Data!A624&lt;&gt;"",Master_Data!A624=Master_Data!A625),Master_Data!A624,"")</f>
        <v/>
      </c>
      <c r="B624" s="19">
        <f>IF($A624="","",Master_Data!B624)</f>
        <v/>
      </c>
      <c r="C624" s="19">
        <f>IF($A624="","",Master_Data!B625)</f>
        <v/>
      </c>
      <c r="D624" s="19">
        <f>IF($A624="","",Master_Data!Q624)</f>
        <v/>
      </c>
      <c r="E624" s="19">
        <f>IF($A624="","",Master_Data!Q625)</f>
        <v/>
      </c>
      <c r="F624" s="19">
        <f>IF($A624="","",IF(AND(D624="GAS",E624="OIL"),"GOC",IF(AND(D624="OIL",E624="WATER"),"OWC",IF(AND(D624="GAS",E624="WATER"),"GWC",IF(AND(D624="OIL",E624="OIL_WATER"),"OWC_TRANSITION",IF(AND(D624="OIL_WATER",E624="WATER"),"OWC_TRANSITION",IF(AND(D624="GAS",E624="GAS_WATER"),"GOC_TRANSITION",IF(AND(D624="GAS_WATER",E624="OIL"),"GOC_TRANSITION",IF(OR(D624="OIL_WATER",D624="GAS_WATER"),"TRANSITION_INTERVAL","")))))))))</f>
        <v/>
      </c>
      <c r="G624" s="20">
        <f>IF(OR(F624="",Master_Data!R624="",Master_Data!S624=""),"",IF(RIGHT(F624,10)="TRANSITION",AVERAGE(Master_Data!R624:Master_Data!S624),AVERAGE(Master_Data!S624,Master_Data!R625)))</f>
        <v/>
      </c>
      <c r="H624" s="20">
        <f>IF(G624="","",MAX(Settings!$B$4,Settings!$B$5*AVERAGE(IF(Master_Data!O624&lt;&gt;"",Master_Data!O624,Master_Data!H624),IF(Master_Data!O625&lt;&gt;"",Master_Data!O625,Master_Data!H625))))</f>
        <v/>
      </c>
      <c r="I624" s="20">
        <f>IF(G624="","",G624-H624)</f>
        <v/>
      </c>
      <c r="J624" s="20">
        <f>IF(G624="","",G624+H624)</f>
        <v/>
      </c>
      <c r="K624" s="20">
        <f>IF($A624="","",Master_Data!G624)</f>
        <v/>
      </c>
      <c r="L624" s="20">
        <f>IF($A624="","",Master_Data!G625)</f>
        <v/>
      </c>
      <c r="M624" s="20">
        <f>IF(AND(ISNUMBER(K624),ISNUMBER(L624)),L624-K624,"")</f>
        <v/>
      </c>
      <c r="N624" s="19">
        <f>IF(G624="","",IF(AND(ISNUMBER(K624),ISNUMBER(L624)),IF(OR(F624="GOC",F624="OWC",F624="GWC",F624="OWC_TRANSITION",F624="GOC_TRANSITION"),IF(L624&gt;=K624,"Supports","Conflicts"),"N/A"),"No Sw"))</f>
        <v/>
      </c>
      <c r="O624" s="20">
        <f>IF(G624="","",Settings!$B$6*IF(OR(F624="GOC",F624="OWC",F624="GWC"),1,0.7)+Settings!$B$7*IF(N624="Supports",1,IF(N624="Conflicts",0,0.5))+Settings!$B$8*IF(AND(Master_Data!R624&lt;&gt;"",Master_Data!S624&lt;&gt;"",Master_Data!R625&lt;&gt;"",Master_Data!S625&lt;&gt;""),1,0.5))</f>
        <v/>
      </c>
      <c r="P624" s="19">
        <f>IF(G624="","",IF(N624="Conflicts","SW_CONFLICT",IF(OR(F624="GOC",F624="OWC",F624="GWC"),"DIRECT_FLUID_TRANSITION","TRANSITION_INTERVAL")))</f>
        <v/>
      </c>
      <c r="Q624" s="19">
        <f>IF(G624="","",IF(N624="Conflicts","Investigate contact interpretation / saturation behaviour",IF(OR(F624="OWC",F624="GOC",F624="GWC"),"Candidate contact — validate with logs, pressure and dynamic evidence","Transition zone — do not force to a sharp contact")))</f>
        <v/>
      </c>
    </row>
    <row r="625">
      <c r="A625" s="19">
        <f>IF(AND(Master_Data!A625&lt;&gt;"",Master_Data!A625=Master_Data!A626),Master_Data!A625,"")</f>
        <v/>
      </c>
      <c r="B625" s="19">
        <f>IF($A625="","",Master_Data!B625)</f>
        <v/>
      </c>
      <c r="C625" s="19">
        <f>IF($A625="","",Master_Data!B626)</f>
        <v/>
      </c>
      <c r="D625" s="19">
        <f>IF($A625="","",Master_Data!Q625)</f>
        <v/>
      </c>
      <c r="E625" s="19">
        <f>IF($A625="","",Master_Data!Q626)</f>
        <v/>
      </c>
      <c r="F625" s="19">
        <f>IF($A625="","",IF(AND(D625="GAS",E625="OIL"),"GOC",IF(AND(D625="OIL",E625="WATER"),"OWC",IF(AND(D625="GAS",E625="WATER"),"GWC",IF(AND(D625="OIL",E625="OIL_WATER"),"OWC_TRANSITION",IF(AND(D625="OIL_WATER",E625="WATER"),"OWC_TRANSITION",IF(AND(D625="GAS",E625="GAS_WATER"),"GOC_TRANSITION",IF(AND(D625="GAS_WATER",E625="OIL"),"GOC_TRANSITION",IF(OR(D625="OIL_WATER",D625="GAS_WATER"),"TRANSITION_INTERVAL","")))))))))</f>
        <v/>
      </c>
      <c r="G625" s="20">
        <f>IF(OR(F625="",Master_Data!R625="",Master_Data!S625=""),"",IF(RIGHT(F625,10)="TRANSITION",AVERAGE(Master_Data!R625:Master_Data!S625),AVERAGE(Master_Data!S625,Master_Data!R626)))</f>
        <v/>
      </c>
      <c r="H625" s="20">
        <f>IF(G625="","",MAX(Settings!$B$4,Settings!$B$5*AVERAGE(IF(Master_Data!O625&lt;&gt;"",Master_Data!O625,Master_Data!H625),IF(Master_Data!O626&lt;&gt;"",Master_Data!O626,Master_Data!H626))))</f>
        <v/>
      </c>
      <c r="I625" s="20">
        <f>IF(G625="","",G625-H625)</f>
        <v/>
      </c>
      <c r="J625" s="20">
        <f>IF(G625="","",G625+H625)</f>
        <v/>
      </c>
      <c r="K625" s="20">
        <f>IF($A625="","",Master_Data!G625)</f>
        <v/>
      </c>
      <c r="L625" s="20">
        <f>IF($A625="","",Master_Data!G626)</f>
        <v/>
      </c>
      <c r="M625" s="20">
        <f>IF(AND(ISNUMBER(K625),ISNUMBER(L625)),L625-K625,"")</f>
        <v/>
      </c>
      <c r="N625" s="19">
        <f>IF(G625="","",IF(AND(ISNUMBER(K625),ISNUMBER(L625)),IF(OR(F625="GOC",F625="OWC",F625="GWC",F625="OWC_TRANSITION",F625="GOC_TRANSITION"),IF(L625&gt;=K625,"Supports","Conflicts"),"N/A"),"No Sw"))</f>
        <v/>
      </c>
      <c r="O625" s="20">
        <f>IF(G625="","",Settings!$B$6*IF(OR(F625="GOC",F625="OWC",F625="GWC"),1,0.7)+Settings!$B$7*IF(N625="Supports",1,IF(N625="Conflicts",0,0.5))+Settings!$B$8*IF(AND(Master_Data!R625&lt;&gt;"",Master_Data!S625&lt;&gt;"",Master_Data!R626&lt;&gt;"",Master_Data!S626&lt;&gt;""),1,0.5))</f>
        <v/>
      </c>
      <c r="P625" s="19">
        <f>IF(G625="","",IF(N625="Conflicts","SW_CONFLICT",IF(OR(F625="GOC",F625="OWC",F625="GWC"),"DIRECT_FLUID_TRANSITION","TRANSITION_INTERVAL")))</f>
        <v/>
      </c>
      <c r="Q625" s="19">
        <f>IF(G625="","",IF(N625="Conflicts","Investigate contact interpretation / saturation behaviour",IF(OR(F625="OWC",F625="GOC",F625="GWC"),"Candidate contact — validate with logs, pressure and dynamic evidence","Transition zone — do not force to a sharp contact")))</f>
        <v/>
      </c>
    </row>
    <row r="626">
      <c r="A626" s="19">
        <f>IF(AND(Master_Data!A626&lt;&gt;"",Master_Data!A626=Master_Data!A627),Master_Data!A626,"")</f>
        <v/>
      </c>
      <c r="B626" s="19">
        <f>IF($A626="","",Master_Data!B626)</f>
        <v/>
      </c>
      <c r="C626" s="19">
        <f>IF($A626="","",Master_Data!B627)</f>
        <v/>
      </c>
      <c r="D626" s="19">
        <f>IF($A626="","",Master_Data!Q626)</f>
        <v/>
      </c>
      <c r="E626" s="19">
        <f>IF($A626="","",Master_Data!Q627)</f>
        <v/>
      </c>
      <c r="F626" s="19">
        <f>IF($A626="","",IF(AND(D626="GAS",E626="OIL"),"GOC",IF(AND(D626="OIL",E626="WATER"),"OWC",IF(AND(D626="GAS",E626="WATER"),"GWC",IF(AND(D626="OIL",E626="OIL_WATER"),"OWC_TRANSITION",IF(AND(D626="OIL_WATER",E626="WATER"),"OWC_TRANSITION",IF(AND(D626="GAS",E626="GAS_WATER"),"GOC_TRANSITION",IF(AND(D626="GAS_WATER",E626="OIL"),"GOC_TRANSITION",IF(OR(D626="OIL_WATER",D626="GAS_WATER"),"TRANSITION_INTERVAL","")))))))))</f>
        <v/>
      </c>
      <c r="G626" s="20">
        <f>IF(OR(F626="",Master_Data!R626="",Master_Data!S626=""),"",IF(RIGHT(F626,10)="TRANSITION",AVERAGE(Master_Data!R626:Master_Data!S626),AVERAGE(Master_Data!S626,Master_Data!R627)))</f>
        <v/>
      </c>
      <c r="H626" s="20">
        <f>IF(G626="","",MAX(Settings!$B$4,Settings!$B$5*AVERAGE(IF(Master_Data!O626&lt;&gt;"",Master_Data!O626,Master_Data!H626),IF(Master_Data!O627&lt;&gt;"",Master_Data!O627,Master_Data!H627))))</f>
        <v/>
      </c>
      <c r="I626" s="20">
        <f>IF(G626="","",G626-H626)</f>
        <v/>
      </c>
      <c r="J626" s="20">
        <f>IF(G626="","",G626+H626)</f>
        <v/>
      </c>
      <c r="K626" s="20">
        <f>IF($A626="","",Master_Data!G626)</f>
        <v/>
      </c>
      <c r="L626" s="20">
        <f>IF($A626="","",Master_Data!G627)</f>
        <v/>
      </c>
      <c r="M626" s="20">
        <f>IF(AND(ISNUMBER(K626),ISNUMBER(L626)),L626-K626,"")</f>
        <v/>
      </c>
      <c r="N626" s="19">
        <f>IF(G626="","",IF(AND(ISNUMBER(K626),ISNUMBER(L626)),IF(OR(F626="GOC",F626="OWC",F626="GWC",F626="OWC_TRANSITION",F626="GOC_TRANSITION"),IF(L626&gt;=K626,"Supports","Conflicts"),"N/A"),"No Sw"))</f>
        <v/>
      </c>
      <c r="O626" s="20">
        <f>IF(G626="","",Settings!$B$6*IF(OR(F626="GOC",F626="OWC",F626="GWC"),1,0.7)+Settings!$B$7*IF(N626="Supports",1,IF(N626="Conflicts",0,0.5))+Settings!$B$8*IF(AND(Master_Data!R626&lt;&gt;"",Master_Data!S626&lt;&gt;"",Master_Data!R627&lt;&gt;"",Master_Data!S627&lt;&gt;""),1,0.5))</f>
        <v/>
      </c>
      <c r="P626" s="19">
        <f>IF(G626="","",IF(N626="Conflicts","SW_CONFLICT",IF(OR(F626="GOC",F626="OWC",F626="GWC"),"DIRECT_FLUID_TRANSITION","TRANSITION_INTERVAL")))</f>
        <v/>
      </c>
      <c r="Q626" s="19">
        <f>IF(G626="","",IF(N626="Conflicts","Investigate contact interpretation / saturation behaviour",IF(OR(F626="OWC",F626="GOC",F626="GWC"),"Candidate contact — validate with logs, pressure and dynamic evidence","Transition zone — do not force to a sharp contact")))</f>
        <v/>
      </c>
    </row>
    <row r="627">
      <c r="A627" s="19">
        <f>IF(AND(Master_Data!A627&lt;&gt;"",Master_Data!A627=Master_Data!A628),Master_Data!A627,"")</f>
        <v/>
      </c>
      <c r="B627" s="19">
        <f>IF($A627="","",Master_Data!B627)</f>
        <v/>
      </c>
      <c r="C627" s="19">
        <f>IF($A627="","",Master_Data!B628)</f>
        <v/>
      </c>
      <c r="D627" s="19">
        <f>IF($A627="","",Master_Data!Q627)</f>
        <v/>
      </c>
      <c r="E627" s="19">
        <f>IF($A627="","",Master_Data!Q628)</f>
        <v/>
      </c>
      <c r="F627" s="19">
        <f>IF($A627="","",IF(AND(D627="GAS",E627="OIL"),"GOC",IF(AND(D627="OIL",E627="WATER"),"OWC",IF(AND(D627="GAS",E627="WATER"),"GWC",IF(AND(D627="OIL",E627="OIL_WATER"),"OWC_TRANSITION",IF(AND(D627="OIL_WATER",E627="WATER"),"OWC_TRANSITION",IF(AND(D627="GAS",E627="GAS_WATER"),"GOC_TRANSITION",IF(AND(D627="GAS_WATER",E627="OIL"),"GOC_TRANSITION",IF(OR(D627="OIL_WATER",D627="GAS_WATER"),"TRANSITION_INTERVAL","")))))))))</f>
        <v/>
      </c>
      <c r="G627" s="20">
        <f>IF(OR(F627="",Master_Data!R627="",Master_Data!S627=""),"",IF(RIGHT(F627,10)="TRANSITION",AVERAGE(Master_Data!R627:Master_Data!S627),AVERAGE(Master_Data!S627,Master_Data!R628)))</f>
        <v/>
      </c>
      <c r="H627" s="20">
        <f>IF(G627="","",MAX(Settings!$B$4,Settings!$B$5*AVERAGE(IF(Master_Data!O627&lt;&gt;"",Master_Data!O627,Master_Data!H627),IF(Master_Data!O628&lt;&gt;"",Master_Data!O628,Master_Data!H628))))</f>
        <v/>
      </c>
      <c r="I627" s="20">
        <f>IF(G627="","",G627-H627)</f>
        <v/>
      </c>
      <c r="J627" s="20">
        <f>IF(G627="","",G627+H627)</f>
        <v/>
      </c>
      <c r="K627" s="20">
        <f>IF($A627="","",Master_Data!G627)</f>
        <v/>
      </c>
      <c r="L627" s="20">
        <f>IF($A627="","",Master_Data!G628)</f>
        <v/>
      </c>
      <c r="M627" s="20">
        <f>IF(AND(ISNUMBER(K627),ISNUMBER(L627)),L627-K627,"")</f>
        <v/>
      </c>
      <c r="N627" s="19">
        <f>IF(G627="","",IF(AND(ISNUMBER(K627),ISNUMBER(L627)),IF(OR(F627="GOC",F627="OWC",F627="GWC",F627="OWC_TRANSITION",F627="GOC_TRANSITION"),IF(L627&gt;=K627,"Supports","Conflicts"),"N/A"),"No Sw"))</f>
        <v/>
      </c>
      <c r="O627" s="20">
        <f>IF(G627="","",Settings!$B$6*IF(OR(F627="GOC",F627="OWC",F627="GWC"),1,0.7)+Settings!$B$7*IF(N627="Supports",1,IF(N627="Conflicts",0,0.5))+Settings!$B$8*IF(AND(Master_Data!R627&lt;&gt;"",Master_Data!S627&lt;&gt;"",Master_Data!R628&lt;&gt;"",Master_Data!S628&lt;&gt;""),1,0.5))</f>
        <v/>
      </c>
      <c r="P627" s="19">
        <f>IF(G627="","",IF(N627="Conflicts","SW_CONFLICT",IF(OR(F627="GOC",F627="OWC",F627="GWC"),"DIRECT_FLUID_TRANSITION","TRANSITION_INTERVAL")))</f>
        <v/>
      </c>
      <c r="Q627" s="19">
        <f>IF(G627="","",IF(N627="Conflicts","Investigate contact interpretation / saturation behaviour",IF(OR(F627="OWC",F627="GOC",F627="GWC"),"Candidate contact — validate with logs, pressure and dynamic evidence","Transition zone — do not force to a sharp contact")))</f>
        <v/>
      </c>
    </row>
    <row r="628">
      <c r="A628" s="19">
        <f>IF(AND(Master_Data!A628&lt;&gt;"",Master_Data!A628=Master_Data!A629),Master_Data!A628,"")</f>
        <v/>
      </c>
      <c r="B628" s="19">
        <f>IF($A628="","",Master_Data!B628)</f>
        <v/>
      </c>
      <c r="C628" s="19">
        <f>IF($A628="","",Master_Data!B629)</f>
        <v/>
      </c>
      <c r="D628" s="19">
        <f>IF($A628="","",Master_Data!Q628)</f>
        <v/>
      </c>
      <c r="E628" s="19">
        <f>IF($A628="","",Master_Data!Q629)</f>
        <v/>
      </c>
      <c r="F628" s="19">
        <f>IF($A628="","",IF(AND(D628="GAS",E628="OIL"),"GOC",IF(AND(D628="OIL",E628="WATER"),"OWC",IF(AND(D628="GAS",E628="WATER"),"GWC",IF(AND(D628="OIL",E628="OIL_WATER"),"OWC_TRANSITION",IF(AND(D628="OIL_WATER",E628="WATER"),"OWC_TRANSITION",IF(AND(D628="GAS",E628="GAS_WATER"),"GOC_TRANSITION",IF(AND(D628="GAS_WATER",E628="OIL"),"GOC_TRANSITION",IF(OR(D628="OIL_WATER",D628="GAS_WATER"),"TRANSITION_INTERVAL","")))))))))</f>
        <v/>
      </c>
      <c r="G628" s="20">
        <f>IF(OR(F628="",Master_Data!R628="",Master_Data!S628=""),"",IF(RIGHT(F628,10)="TRANSITION",AVERAGE(Master_Data!R628:Master_Data!S628),AVERAGE(Master_Data!S628,Master_Data!R629)))</f>
        <v/>
      </c>
      <c r="H628" s="20">
        <f>IF(G628="","",MAX(Settings!$B$4,Settings!$B$5*AVERAGE(IF(Master_Data!O628&lt;&gt;"",Master_Data!O628,Master_Data!H628),IF(Master_Data!O629&lt;&gt;"",Master_Data!O629,Master_Data!H629))))</f>
        <v/>
      </c>
      <c r="I628" s="20">
        <f>IF(G628="","",G628-H628)</f>
        <v/>
      </c>
      <c r="J628" s="20">
        <f>IF(G628="","",G628+H628)</f>
        <v/>
      </c>
      <c r="K628" s="20">
        <f>IF($A628="","",Master_Data!G628)</f>
        <v/>
      </c>
      <c r="L628" s="20">
        <f>IF($A628="","",Master_Data!G629)</f>
        <v/>
      </c>
      <c r="M628" s="20">
        <f>IF(AND(ISNUMBER(K628),ISNUMBER(L628)),L628-K628,"")</f>
        <v/>
      </c>
      <c r="N628" s="19">
        <f>IF(G628="","",IF(AND(ISNUMBER(K628),ISNUMBER(L628)),IF(OR(F628="GOC",F628="OWC",F628="GWC",F628="OWC_TRANSITION",F628="GOC_TRANSITION"),IF(L628&gt;=K628,"Supports","Conflicts"),"N/A"),"No Sw"))</f>
        <v/>
      </c>
      <c r="O628" s="20">
        <f>IF(G628="","",Settings!$B$6*IF(OR(F628="GOC",F628="OWC",F628="GWC"),1,0.7)+Settings!$B$7*IF(N628="Supports",1,IF(N628="Conflicts",0,0.5))+Settings!$B$8*IF(AND(Master_Data!R628&lt;&gt;"",Master_Data!S628&lt;&gt;"",Master_Data!R629&lt;&gt;"",Master_Data!S629&lt;&gt;""),1,0.5))</f>
        <v/>
      </c>
      <c r="P628" s="19">
        <f>IF(G628="","",IF(N628="Conflicts","SW_CONFLICT",IF(OR(F628="GOC",F628="OWC",F628="GWC"),"DIRECT_FLUID_TRANSITION","TRANSITION_INTERVAL")))</f>
        <v/>
      </c>
      <c r="Q628" s="19">
        <f>IF(G628="","",IF(N628="Conflicts","Investigate contact interpretation / saturation behaviour",IF(OR(F628="OWC",F628="GOC",F628="GWC"),"Candidate contact — validate with logs, pressure and dynamic evidence","Transition zone — do not force to a sharp contact")))</f>
        <v/>
      </c>
    </row>
    <row r="629">
      <c r="A629" s="19">
        <f>IF(AND(Master_Data!A629&lt;&gt;"",Master_Data!A629=Master_Data!A630),Master_Data!A629,"")</f>
        <v/>
      </c>
      <c r="B629" s="19">
        <f>IF($A629="","",Master_Data!B629)</f>
        <v/>
      </c>
      <c r="C629" s="19">
        <f>IF($A629="","",Master_Data!B630)</f>
        <v/>
      </c>
      <c r="D629" s="19">
        <f>IF($A629="","",Master_Data!Q629)</f>
        <v/>
      </c>
      <c r="E629" s="19">
        <f>IF($A629="","",Master_Data!Q630)</f>
        <v/>
      </c>
      <c r="F629" s="19">
        <f>IF($A629="","",IF(AND(D629="GAS",E629="OIL"),"GOC",IF(AND(D629="OIL",E629="WATER"),"OWC",IF(AND(D629="GAS",E629="WATER"),"GWC",IF(AND(D629="OIL",E629="OIL_WATER"),"OWC_TRANSITION",IF(AND(D629="OIL_WATER",E629="WATER"),"OWC_TRANSITION",IF(AND(D629="GAS",E629="GAS_WATER"),"GOC_TRANSITION",IF(AND(D629="GAS_WATER",E629="OIL"),"GOC_TRANSITION",IF(OR(D629="OIL_WATER",D629="GAS_WATER"),"TRANSITION_INTERVAL","")))))))))</f>
        <v/>
      </c>
      <c r="G629" s="20">
        <f>IF(OR(F629="",Master_Data!R629="",Master_Data!S629=""),"",IF(RIGHT(F629,10)="TRANSITION",AVERAGE(Master_Data!R629:Master_Data!S629),AVERAGE(Master_Data!S629,Master_Data!R630)))</f>
        <v/>
      </c>
      <c r="H629" s="20">
        <f>IF(G629="","",MAX(Settings!$B$4,Settings!$B$5*AVERAGE(IF(Master_Data!O629&lt;&gt;"",Master_Data!O629,Master_Data!H629),IF(Master_Data!O630&lt;&gt;"",Master_Data!O630,Master_Data!H630))))</f>
        <v/>
      </c>
      <c r="I629" s="20">
        <f>IF(G629="","",G629-H629)</f>
        <v/>
      </c>
      <c r="J629" s="20">
        <f>IF(G629="","",G629+H629)</f>
        <v/>
      </c>
      <c r="K629" s="20">
        <f>IF($A629="","",Master_Data!G629)</f>
        <v/>
      </c>
      <c r="L629" s="20">
        <f>IF($A629="","",Master_Data!G630)</f>
        <v/>
      </c>
      <c r="M629" s="20">
        <f>IF(AND(ISNUMBER(K629),ISNUMBER(L629)),L629-K629,"")</f>
        <v/>
      </c>
      <c r="N629" s="19">
        <f>IF(G629="","",IF(AND(ISNUMBER(K629),ISNUMBER(L629)),IF(OR(F629="GOC",F629="OWC",F629="GWC",F629="OWC_TRANSITION",F629="GOC_TRANSITION"),IF(L629&gt;=K629,"Supports","Conflicts"),"N/A"),"No Sw"))</f>
        <v/>
      </c>
      <c r="O629" s="20">
        <f>IF(G629="","",Settings!$B$6*IF(OR(F629="GOC",F629="OWC",F629="GWC"),1,0.7)+Settings!$B$7*IF(N629="Supports",1,IF(N629="Conflicts",0,0.5))+Settings!$B$8*IF(AND(Master_Data!R629&lt;&gt;"",Master_Data!S629&lt;&gt;"",Master_Data!R630&lt;&gt;"",Master_Data!S630&lt;&gt;""),1,0.5))</f>
        <v/>
      </c>
      <c r="P629" s="19">
        <f>IF(G629="","",IF(N629="Conflicts","SW_CONFLICT",IF(OR(F629="GOC",F629="OWC",F629="GWC"),"DIRECT_FLUID_TRANSITION","TRANSITION_INTERVAL")))</f>
        <v/>
      </c>
      <c r="Q629" s="19">
        <f>IF(G629="","",IF(N629="Conflicts","Investigate contact interpretation / saturation behaviour",IF(OR(F629="OWC",F629="GOC",F629="GWC"),"Candidate contact — validate with logs, pressure and dynamic evidence","Transition zone — do not force to a sharp contact")))</f>
        <v/>
      </c>
    </row>
    <row r="630">
      <c r="A630" s="19">
        <f>IF(AND(Master_Data!A630&lt;&gt;"",Master_Data!A630=Master_Data!A631),Master_Data!A630,"")</f>
        <v/>
      </c>
      <c r="B630" s="19">
        <f>IF($A630="","",Master_Data!B630)</f>
        <v/>
      </c>
      <c r="C630" s="19">
        <f>IF($A630="","",Master_Data!B631)</f>
        <v/>
      </c>
      <c r="D630" s="19">
        <f>IF($A630="","",Master_Data!Q630)</f>
        <v/>
      </c>
      <c r="E630" s="19">
        <f>IF($A630="","",Master_Data!Q631)</f>
        <v/>
      </c>
      <c r="F630" s="19">
        <f>IF($A630="","",IF(AND(D630="GAS",E630="OIL"),"GOC",IF(AND(D630="OIL",E630="WATER"),"OWC",IF(AND(D630="GAS",E630="WATER"),"GWC",IF(AND(D630="OIL",E630="OIL_WATER"),"OWC_TRANSITION",IF(AND(D630="OIL_WATER",E630="WATER"),"OWC_TRANSITION",IF(AND(D630="GAS",E630="GAS_WATER"),"GOC_TRANSITION",IF(AND(D630="GAS_WATER",E630="OIL"),"GOC_TRANSITION",IF(OR(D630="OIL_WATER",D630="GAS_WATER"),"TRANSITION_INTERVAL","")))))))))</f>
        <v/>
      </c>
      <c r="G630" s="20">
        <f>IF(OR(F630="",Master_Data!R630="",Master_Data!S630=""),"",IF(RIGHT(F630,10)="TRANSITION",AVERAGE(Master_Data!R630:Master_Data!S630),AVERAGE(Master_Data!S630,Master_Data!R631)))</f>
        <v/>
      </c>
      <c r="H630" s="20">
        <f>IF(G630="","",MAX(Settings!$B$4,Settings!$B$5*AVERAGE(IF(Master_Data!O630&lt;&gt;"",Master_Data!O630,Master_Data!H630),IF(Master_Data!O631&lt;&gt;"",Master_Data!O631,Master_Data!H631))))</f>
        <v/>
      </c>
      <c r="I630" s="20">
        <f>IF(G630="","",G630-H630)</f>
        <v/>
      </c>
      <c r="J630" s="20">
        <f>IF(G630="","",G630+H630)</f>
        <v/>
      </c>
      <c r="K630" s="20">
        <f>IF($A630="","",Master_Data!G630)</f>
        <v/>
      </c>
      <c r="L630" s="20">
        <f>IF($A630="","",Master_Data!G631)</f>
        <v/>
      </c>
      <c r="M630" s="20">
        <f>IF(AND(ISNUMBER(K630),ISNUMBER(L630)),L630-K630,"")</f>
        <v/>
      </c>
      <c r="N630" s="19">
        <f>IF(G630="","",IF(AND(ISNUMBER(K630),ISNUMBER(L630)),IF(OR(F630="GOC",F630="OWC",F630="GWC",F630="OWC_TRANSITION",F630="GOC_TRANSITION"),IF(L630&gt;=K630,"Supports","Conflicts"),"N/A"),"No Sw"))</f>
        <v/>
      </c>
      <c r="O630" s="20">
        <f>IF(G630="","",Settings!$B$6*IF(OR(F630="GOC",F630="OWC",F630="GWC"),1,0.7)+Settings!$B$7*IF(N630="Supports",1,IF(N630="Conflicts",0,0.5))+Settings!$B$8*IF(AND(Master_Data!R630&lt;&gt;"",Master_Data!S630&lt;&gt;"",Master_Data!R631&lt;&gt;"",Master_Data!S631&lt;&gt;""),1,0.5))</f>
        <v/>
      </c>
      <c r="P630" s="19">
        <f>IF(G630="","",IF(N630="Conflicts","SW_CONFLICT",IF(OR(F630="GOC",F630="OWC",F630="GWC"),"DIRECT_FLUID_TRANSITION","TRANSITION_INTERVAL")))</f>
        <v/>
      </c>
      <c r="Q630" s="19">
        <f>IF(G630="","",IF(N630="Conflicts","Investigate contact interpretation / saturation behaviour",IF(OR(F630="OWC",F630="GOC",F630="GWC"),"Candidate contact — validate with logs, pressure and dynamic evidence","Transition zone — do not force to a sharp contact")))</f>
        <v/>
      </c>
    </row>
    <row r="631">
      <c r="A631" s="19">
        <f>IF(AND(Master_Data!A631&lt;&gt;"",Master_Data!A631=Master_Data!A632),Master_Data!A631,"")</f>
        <v/>
      </c>
      <c r="B631" s="19">
        <f>IF($A631="","",Master_Data!B631)</f>
        <v/>
      </c>
      <c r="C631" s="19">
        <f>IF($A631="","",Master_Data!B632)</f>
        <v/>
      </c>
      <c r="D631" s="19">
        <f>IF($A631="","",Master_Data!Q631)</f>
        <v/>
      </c>
      <c r="E631" s="19">
        <f>IF($A631="","",Master_Data!Q632)</f>
        <v/>
      </c>
      <c r="F631" s="19">
        <f>IF($A631="","",IF(AND(D631="GAS",E631="OIL"),"GOC",IF(AND(D631="OIL",E631="WATER"),"OWC",IF(AND(D631="GAS",E631="WATER"),"GWC",IF(AND(D631="OIL",E631="OIL_WATER"),"OWC_TRANSITION",IF(AND(D631="OIL_WATER",E631="WATER"),"OWC_TRANSITION",IF(AND(D631="GAS",E631="GAS_WATER"),"GOC_TRANSITION",IF(AND(D631="GAS_WATER",E631="OIL"),"GOC_TRANSITION",IF(OR(D631="OIL_WATER",D631="GAS_WATER"),"TRANSITION_INTERVAL","")))))))))</f>
        <v/>
      </c>
      <c r="G631" s="20">
        <f>IF(OR(F631="",Master_Data!R631="",Master_Data!S631=""),"",IF(RIGHT(F631,10)="TRANSITION",AVERAGE(Master_Data!R631:Master_Data!S631),AVERAGE(Master_Data!S631,Master_Data!R632)))</f>
        <v/>
      </c>
      <c r="H631" s="20">
        <f>IF(G631="","",MAX(Settings!$B$4,Settings!$B$5*AVERAGE(IF(Master_Data!O631&lt;&gt;"",Master_Data!O631,Master_Data!H631),IF(Master_Data!O632&lt;&gt;"",Master_Data!O632,Master_Data!H632))))</f>
        <v/>
      </c>
      <c r="I631" s="20">
        <f>IF(G631="","",G631-H631)</f>
        <v/>
      </c>
      <c r="J631" s="20">
        <f>IF(G631="","",G631+H631)</f>
        <v/>
      </c>
      <c r="K631" s="20">
        <f>IF($A631="","",Master_Data!G631)</f>
        <v/>
      </c>
      <c r="L631" s="20">
        <f>IF($A631="","",Master_Data!G632)</f>
        <v/>
      </c>
      <c r="M631" s="20">
        <f>IF(AND(ISNUMBER(K631),ISNUMBER(L631)),L631-K631,"")</f>
        <v/>
      </c>
      <c r="N631" s="19">
        <f>IF(G631="","",IF(AND(ISNUMBER(K631),ISNUMBER(L631)),IF(OR(F631="GOC",F631="OWC",F631="GWC",F631="OWC_TRANSITION",F631="GOC_TRANSITION"),IF(L631&gt;=K631,"Supports","Conflicts"),"N/A"),"No Sw"))</f>
        <v/>
      </c>
      <c r="O631" s="20">
        <f>IF(G631="","",Settings!$B$6*IF(OR(F631="GOC",F631="OWC",F631="GWC"),1,0.7)+Settings!$B$7*IF(N631="Supports",1,IF(N631="Conflicts",0,0.5))+Settings!$B$8*IF(AND(Master_Data!R631&lt;&gt;"",Master_Data!S631&lt;&gt;"",Master_Data!R632&lt;&gt;"",Master_Data!S632&lt;&gt;""),1,0.5))</f>
        <v/>
      </c>
      <c r="P631" s="19">
        <f>IF(G631="","",IF(N631="Conflicts","SW_CONFLICT",IF(OR(F631="GOC",F631="OWC",F631="GWC"),"DIRECT_FLUID_TRANSITION","TRANSITION_INTERVAL")))</f>
        <v/>
      </c>
      <c r="Q631" s="19">
        <f>IF(G631="","",IF(N631="Conflicts","Investigate contact interpretation / saturation behaviour",IF(OR(F631="OWC",F631="GOC",F631="GWC"),"Candidate contact — validate with logs, pressure and dynamic evidence","Transition zone — do not force to a sharp contact")))</f>
        <v/>
      </c>
    </row>
    <row r="632">
      <c r="A632" s="19">
        <f>IF(AND(Master_Data!A632&lt;&gt;"",Master_Data!A632=Master_Data!A633),Master_Data!A632,"")</f>
        <v/>
      </c>
      <c r="B632" s="19">
        <f>IF($A632="","",Master_Data!B632)</f>
        <v/>
      </c>
      <c r="C632" s="19">
        <f>IF($A632="","",Master_Data!B633)</f>
        <v/>
      </c>
      <c r="D632" s="19">
        <f>IF($A632="","",Master_Data!Q632)</f>
        <v/>
      </c>
      <c r="E632" s="19">
        <f>IF($A632="","",Master_Data!Q633)</f>
        <v/>
      </c>
      <c r="F632" s="19">
        <f>IF($A632="","",IF(AND(D632="GAS",E632="OIL"),"GOC",IF(AND(D632="OIL",E632="WATER"),"OWC",IF(AND(D632="GAS",E632="WATER"),"GWC",IF(AND(D632="OIL",E632="OIL_WATER"),"OWC_TRANSITION",IF(AND(D632="OIL_WATER",E632="WATER"),"OWC_TRANSITION",IF(AND(D632="GAS",E632="GAS_WATER"),"GOC_TRANSITION",IF(AND(D632="GAS_WATER",E632="OIL"),"GOC_TRANSITION",IF(OR(D632="OIL_WATER",D632="GAS_WATER"),"TRANSITION_INTERVAL","")))))))))</f>
        <v/>
      </c>
      <c r="G632" s="20">
        <f>IF(OR(F632="",Master_Data!R632="",Master_Data!S632=""),"",IF(RIGHT(F632,10)="TRANSITION",AVERAGE(Master_Data!R632:Master_Data!S632),AVERAGE(Master_Data!S632,Master_Data!R633)))</f>
        <v/>
      </c>
      <c r="H632" s="20">
        <f>IF(G632="","",MAX(Settings!$B$4,Settings!$B$5*AVERAGE(IF(Master_Data!O632&lt;&gt;"",Master_Data!O632,Master_Data!H632),IF(Master_Data!O633&lt;&gt;"",Master_Data!O633,Master_Data!H633))))</f>
        <v/>
      </c>
      <c r="I632" s="20">
        <f>IF(G632="","",G632-H632)</f>
        <v/>
      </c>
      <c r="J632" s="20">
        <f>IF(G632="","",G632+H632)</f>
        <v/>
      </c>
      <c r="K632" s="20">
        <f>IF($A632="","",Master_Data!G632)</f>
        <v/>
      </c>
      <c r="L632" s="20">
        <f>IF($A632="","",Master_Data!G633)</f>
        <v/>
      </c>
      <c r="M632" s="20">
        <f>IF(AND(ISNUMBER(K632),ISNUMBER(L632)),L632-K632,"")</f>
        <v/>
      </c>
      <c r="N632" s="19">
        <f>IF(G632="","",IF(AND(ISNUMBER(K632),ISNUMBER(L632)),IF(OR(F632="GOC",F632="OWC",F632="GWC",F632="OWC_TRANSITION",F632="GOC_TRANSITION"),IF(L632&gt;=K632,"Supports","Conflicts"),"N/A"),"No Sw"))</f>
        <v/>
      </c>
      <c r="O632" s="20">
        <f>IF(G632="","",Settings!$B$6*IF(OR(F632="GOC",F632="OWC",F632="GWC"),1,0.7)+Settings!$B$7*IF(N632="Supports",1,IF(N632="Conflicts",0,0.5))+Settings!$B$8*IF(AND(Master_Data!R632&lt;&gt;"",Master_Data!S632&lt;&gt;"",Master_Data!R633&lt;&gt;"",Master_Data!S633&lt;&gt;""),1,0.5))</f>
        <v/>
      </c>
      <c r="P632" s="19">
        <f>IF(G632="","",IF(N632="Conflicts","SW_CONFLICT",IF(OR(F632="GOC",F632="OWC",F632="GWC"),"DIRECT_FLUID_TRANSITION","TRANSITION_INTERVAL")))</f>
        <v/>
      </c>
      <c r="Q632" s="19">
        <f>IF(G632="","",IF(N632="Conflicts","Investigate contact interpretation / saturation behaviour",IF(OR(F632="OWC",F632="GOC",F632="GWC"),"Candidate contact — validate with logs, pressure and dynamic evidence","Transition zone — do not force to a sharp contact")))</f>
        <v/>
      </c>
    </row>
    <row r="633">
      <c r="A633" s="19">
        <f>IF(AND(Master_Data!A633&lt;&gt;"",Master_Data!A633=Master_Data!A634),Master_Data!A633,"")</f>
        <v/>
      </c>
      <c r="B633" s="19">
        <f>IF($A633="","",Master_Data!B633)</f>
        <v/>
      </c>
      <c r="C633" s="19">
        <f>IF($A633="","",Master_Data!B634)</f>
        <v/>
      </c>
      <c r="D633" s="19">
        <f>IF($A633="","",Master_Data!Q633)</f>
        <v/>
      </c>
      <c r="E633" s="19">
        <f>IF($A633="","",Master_Data!Q634)</f>
        <v/>
      </c>
      <c r="F633" s="19">
        <f>IF($A633="","",IF(AND(D633="GAS",E633="OIL"),"GOC",IF(AND(D633="OIL",E633="WATER"),"OWC",IF(AND(D633="GAS",E633="WATER"),"GWC",IF(AND(D633="OIL",E633="OIL_WATER"),"OWC_TRANSITION",IF(AND(D633="OIL_WATER",E633="WATER"),"OWC_TRANSITION",IF(AND(D633="GAS",E633="GAS_WATER"),"GOC_TRANSITION",IF(AND(D633="GAS_WATER",E633="OIL"),"GOC_TRANSITION",IF(OR(D633="OIL_WATER",D633="GAS_WATER"),"TRANSITION_INTERVAL","")))))))))</f>
        <v/>
      </c>
      <c r="G633" s="20">
        <f>IF(OR(F633="",Master_Data!R633="",Master_Data!S633=""),"",IF(RIGHT(F633,10)="TRANSITION",AVERAGE(Master_Data!R633:Master_Data!S633),AVERAGE(Master_Data!S633,Master_Data!R634)))</f>
        <v/>
      </c>
      <c r="H633" s="20">
        <f>IF(G633="","",MAX(Settings!$B$4,Settings!$B$5*AVERAGE(IF(Master_Data!O633&lt;&gt;"",Master_Data!O633,Master_Data!H633),IF(Master_Data!O634&lt;&gt;"",Master_Data!O634,Master_Data!H634))))</f>
        <v/>
      </c>
      <c r="I633" s="20">
        <f>IF(G633="","",G633-H633)</f>
        <v/>
      </c>
      <c r="J633" s="20">
        <f>IF(G633="","",G633+H633)</f>
        <v/>
      </c>
      <c r="K633" s="20">
        <f>IF($A633="","",Master_Data!G633)</f>
        <v/>
      </c>
      <c r="L633" s="20">
        <f>IF($A633="","",Master_Data!G634)</f>
        <v/>
      </c>
      <c r="M633" s="20">
        <f>IF(AND(ISNUMBER(K633),ISNUMBER(L633)),L633-K633,"")</f>
        <v/>
      </c>
      <c r="N633" s="19">
        <f>IF(G633="","",IF(AND(ISNUMBER(K633),ISNUMBER(L633)),IF(OR(F633="GOC",F633="OWC",F633="GWC",F633="OWC_TRANSITION",F633="GOC_TRANSITION"),IF(L633&gt;=K633,"Supports","Conflicts"),"N/A"),"No Sw"))</f>
        <v/>
      </c>
      <c r="O633" s="20">
        <f>IF(G633="","",Settings!$B$6*IF(OR(F633="GOC",F633="OWC",F633="GWC"),1,0.7)+Settings!$B$7*IF(N633="Supports",1,IF(N633="Conflicts",0,0.5))+Settings!$B$8*IF(AND(Master_Data!R633&lt;&gt;"",Master_Data!S633&lt;&gt;"",Master_Data!R634&lt;&gt;"",Master_Data!S634&lt;&gt;""),1,0.5))</f>
        <v/>
      </c>
      <c r="P633" s="19">
        <f>IF(G633="","",IF(N633="Conflicts","SW_CONFLICT",IF(OR(F633="GOC",F633="OWC",F633="GWC"),"DIRECT_FLUID_TRANSITION","TRANSITION_INTERVAL")))</f>
        <v/>
      </c>
      <c r="Q633" s="19">
        <f>IF(G633="","",IF(N633="Conflicts","Investigate contact interpretation / saturation behaviour",IF(OR(F633="OWC",F633="GOC",F633="GWC"),"Candidate contact — validate with logs, pressure and dynamic evidence","Transition zone — do not force to a sharp contact")))</f>
        <v/>
      </c>
    </row>
    <row r="634">
      <c r="A634" s="19">
        <f>IF(AND(Master_Data!A634&lt;&gt;"",Master_Data!A634=Master_Data!A635),Master_Data!A634,"")</f>
        <v/>
      </c>
      <c r="B634" s="19">
        <f>IF($A634="","",Master_Data!B634)</f>
        <v/>
      </c>
      <c r="C634" s="19">
        <f>IF($A634="","",Master_Data!B635)</f>
        <v/>
      </c>
      <c r="D634" s="19">
        <f>IF($A634="","",Master_Data!Q634)</f>
        <v/>
      </c>
      <c r="E634" s="19">
        <f>IF($A634="","",Master_Data!Q635)</f>
        <v/>
      </c>
      <c r="F634" s="19">
        <f>IF($A634="","",IF(AND(D634="GAS",E634="OIL"),"GOC",IF(AND(D634="OIL",E634="WATER"),"OWC",IF(AND(D634="GAS",E634="WATER"),"GWC",IF(AND(D634="OIL",E634="OIL_WATER"),"OWC_TRANSITION",IF(AND(D634="OIL_WATER",E634="WATER"),"OWC_TRANSITION",IF(AND(D634="GAS",E634="GAS_WATER"),"GOC_TRANSITION",IF(AND(D634="GAS_WATER",E634="OIL"),"GOC_TRANSITION",IF(OR(D634="OIL_WATER",D634="GAS_WATER"),"TRANSITION_INTERVAL","")))))))))</f>
        <v/>
      </c>
      <c r="G634" s="20">
        <f>IF(OR(F634="",Master_Data!R634="",Master_Data!S634=""),"",IF(RIGHT(F634,10)="TRANSITION",AVERAGE(Master_Data!R634:Master_Data!S634),AVERAGE(Master_Data!S634,Master_Data!R635)))</f>
        <v/>
      </c>
      <c r="H634" s="20">
        <f>IF(G634="","",MAX(Settings!$B$4,Settings!$B$5*AVERAGE(IF(Master_Data!O634&lt;&gt;"",Master_Data!O634,Master_Data!H634),IF(Master_Data!O635&lt;&gt;"",Master_Data!O635,Master_Data!H635))))</f>
        <v/>
      </c>
      <c r="I634" s="20">
        <f>IF(G634="","",G634-H634)</f>
        <v/>
      </c>
      <c r="J634" s="20">
        <f>IF(G634="","",G634+H634)</f>
        <v/>
      </c>
      <c r="K634" s="20">
        <f>IF($A634="","",Master_Data!G634)</f>
        <v/>
      </c>
      <c r="L634" s="20">
        <f>IF($A634="","",Master_Data!G635)</f>
        <v/>
      </c>
      <c r="M634" s="20">
        <f>IF(AND(ISNUMBER(K634),ISNUMBER(L634)),L634-K634,"")</f>
        <v/>
      </c>
      <c r="N634" s="19">
        <f>IF(G634="","",IF(AND(ISNUMBER(K634),ISNUMBER(L634)),IF(OR(F634="GOC",F634="OWC",F634="GWC",F634="OWC_TRANSITION",F634="GOC_TRANSITION"),IF(L634&gt;=K634,"Supports","Conflicts"),"N/A"),"No Sw"))</f>
        <v/>
      </c>
      <c r="O634" s="20">
        <f>IF(G634="","",Settings!$B$6*IF(OR(F634="GOC",F634="OWC",F634="GWC"),1,0.7)+Settings!$B$7*IF(N634="Supports",1,IF(N634="Conflicts",0,0.5))+Settings!$B$8*IF(AND(Master_Data!R634&lt;&gt;"",Master_Data!S634&lt;&gt;"",Master_Data!R635&lt;&gt;"",Master_Data!S635&lt;&gt;""),1,0.5))</f>
        <v/>
      </c>
      <c r="P634" s="19">
        <f>IF(G634="","",IF(N634="Conflicts","SW_CONFLICT",IF(OR(F634="GOC",F634="OWC",F634="GWC"),"DIRECT_FLUID_TRANSITION","TRANSITION_INTERVAL")))</f>
        <v/>
      </c>
      <c r="Q634" s="19">
        <f>IF(G634="","",IF(N634="Conflicts","Investigate contact interpretation / saturation behaviour",IF(OR(F634="OWC",F634="GOC",F634="GWC"),"Candidate contact — validate with logs, pressure and dynamic evidence","Transition zone — do not force to a sharp contact")))</f>
        <v/>
      </c>
    </row>
    <row r="635">
      <c r="A635" s="19">
        <f>IF(AND(Master_Data!A635&lt;&gt;"",Master_Data!A635=Master_Data!A636),Master_Data!A635,"")</f>
        <v/>
      </c>
      <c r="B635" s="19">
        <f>IF($A635="","",Master_Data!B635)</f>
        <v/>
      </c>
      <c r="C635" s="19">
        <f>IF($A635="","",Master_Data!B636)</f>
        <v/>
      </c>
      <c r="D635" s="19">
        <f>IF($A635="","",Master_Data!Q635)</f>
        <v/>
      </c>
      <c r="E635" s="19">
        <f>IF($A635="","",Master_Data!Q636)</f>
        <v/>
      </c>
      <c r="F635" s="19">
        <f>IF($A635="","",IF(AND(D635="GAS",E635="OIL"),"GOC",IF(AND(D635="OIL",E635="WATER"),"OWC",IF(AND(D635="GAS",E635="WATER"),"GWC",IF(AND(D635="OIL",E635="OIL_WATER"),"OWC_TRANSITION",IF(AND(D635="OIL_WATER",E635="WATER"),"OWC_TRANSITION",IF(AND(D635="GAS",E635="GAS_WATER"),"GOC_TRANSITION",IF(AND(D635="GAS_WATER",E635="OIL"),"GOC_TRANSITION",IF(OR(D635="OIL_WATER",D635="GAS_WATER"),"TRANSITION_INTERVAL","")))))))))</f>
        <v/>
      </c>
      <c r="G635" s="20">
        <f>IF(OR(F635="",Master_Data!R635="",Master_Data!S635=""),"",IF(RIGHT(F635,10)="TRANSITION",AVERAGE(Master_Data!R635:Master_Data!S635),AVERAGE(Master_Data!S635,Master_Data!R636)))</f>
        <v/>
      </c>
      <c r="H635" s="20">
        <f>IF(G635="","",MAX(Settings!$B$4,Settings!$B$5*AVERAGE(IF(Master_Data!O635&lt;&gt;"",Master_Data!O635,Master_Data!H635),IF(Master_Data!O636&lt;&gt;"",Master_Data!O636,Master_Data!H636))))</f>
        <v/>
      </c>
      <c r="I635" s="20">
        <f>IF(G635="","",G635-H635)</f>
        <v/>
      </c>
      <c r="J635" s="20">
        <f>IF(G635="","",G635+H635)</f>
        <v/>
      </c>
      <c r="K635" s="20">
        <f>IF($A635="","",Master_Data!G635)</f>
        <v/>
      </c>
      <c r="L635" s="20">
        <f>IF($A635="","",Master_Data!G636)</f>
        <v/>
      </c>
      <c r="M635" s="20">
        <f>IF(AND(ISNUMBER(K635),ISNUMBER(L635)),L635-K635,"")</f>
        <v/>
      </c>
      <c r="N635" s="19">
        <f>IF(G635="","",IF(AND(ISNUMBER(K635),ISNUMBER(L635)),IF(OR(F635="GOC",F635="OWC",F635="GWC",F635="OWC_TRANSITION",F635="GOC_TRANSITION"),IF(L635&gt;=K635,"Supports","Conflicts"),"N/A"),"No Sw"))</f>
        <v/>
      </c>
      <c r="O635" s="20">
        <f>IF(G635="","",Settings!$B$6*IF(OR(F635="GOC",F635="OWC",F635="GWC"),1,0.7)+Settings!$B$7*IF(N635="Supports",1,IF(N635="Conflicts",0,0.5))+Settings!$B$8*IF(AND(Master_Data!R635&lt;&gt;"",Master_Data!S635&lt;&gt;"",Master_Data!R636&lt;&gt;"",Master_Data!S636&lt;&gt;""),1,0.5))</f>
        <v/>
      </c>
      <c r="P635" s="19">
        <f>IF(G635="","",IF(N635="Conflicts","SW_CONFLICT",IF(OR(F635="GOC",F635="OWC",F635="GWC"),"DIRECT_FLUID_TRANSITION","TRANSITION_INTERVAL")))</f>
        <v/>
      </c>
      <c r="Q635" s="19">
        <f>IF(G635="","",IF(N635="Conflicts","Investigate contact interpretation / saturation behaviour",IF(OR(F635="OWC",F635="GOC",F635="GWC"),"Candidate contact — validate with logs, pressure and dynamic evidence","Transition zone — do not force to a sharp contact")))</f>
        <v/>
      </c>
    </row>
    <row r="636">
      <c r="A636" s="19">
        <f>IF(AND(Master_Data!A636&lt;&gt;"",Master_Data!A636=Master_Data!A637),Master_Data!A636,"")</f>
        <v/>
      </c>
      <c r="B636" s="19">
        <f>IF($A636="","",Master_Data!B636)</f>
        <v/>
      </c>
      <c r="C636" s="19">
        <f>IF($A636="","",Master_Data!B637)</f>
        <v/>
      </c>
      <c r="D636" s="19">
        <f>IF($A636="","",Master_Data!Q636)</f>
        <v/>
      </c>
      <c r="E636" s="19">
        <f>IF($A636="","",Master_Data!Q637)</f>
        <v/>
      </c>
      <c r="F636" s="19">
        <f>IF($A636="","",IF(AND(D636="GAS",E636="OIL"),"GOC",IF(AND(D636="OIL",E636="WATER"),"OWC",IF(AND(D636="GAS",E636="WATER"),"GWC",IF(AND(D636="OIL",E636="OIL_WATER"),"OWC_TRANSITION",IF(AND(D636="OIL_WATER",E636="WATER"),"OWC_TRANSITION",IF(AND(D636="GAS",E636="GAS_WATER"),"GOC_TRANSITION",IF(AND(D636="GAS_WATER",E636="OIL"),"GOC_TRANSITION",IF(OR(D636="OIL_WATER",D636="GAS_WATER"),"TRANSITION_INTERVAL","")))))))))</f>
        <v/>
      </c>
      <c r="G636" s="20">
        <f>IF(OR(F636="",Master_Data!R636="",Master_Data!S636=""),"",IF(RIGHT(F636,10)="TRANSITION",AVERAGE(Master_Data!R636:Master_Data!S636),AVERAGE(Master_Data!S636,Master_Data!R637)))</f>
        <v/>
      </c>
      <c r="H636" s="20">
        <f>IF(G636="","",MAX(Settings!$B$4,Settings!$B$5*AVERAGE(IF(Master_Data!O636&lt;&gt;"",Master_Data!O636,Master_Data!H636),IF(Master_Data!O637&lt;&gt;"",Master_Data!O637,Master_Data!H637))))</f>
        <v/>
      </c>
      <c r="I636" s="20">
        <f>IF(G636="","",G636-H636)</f>
        <v/>
      </c>
      <c r="J636" s="20">
        <f>IF(G636="","",G636+H636)</f>
        <v/>
      </c>
      <c r="K636" s="20">
        <f>IF($A636="","",Master_Data!G636)</f>
        <v/>
      </c>
      <c r="L636" s="20">
        <f>IF($A636="","",Master_Data!G637)</f>
        <v/>
      </c>
      <c r="M636" s="20">
        <f>IF(AND(ISNUMBER(K636),ISNUMBER(L636)),L636-K636,"")</f>
        <v/>
      </c>
      <c r="N636" s="19">
        <f>IF(G636="","",IF(AND(ISNUMBER(K636),ISNUMBER(L636)),IF(OR(F636="GOC",F636="OWC",F636="GWC",F636="OWC_TRANSITION",F636="GOC_TRANSITION"),IF(L636&gt;=K636,"Supports","Conflicts"),"N/A"),"No Sw"))</f>
        <v/>
      </c>
      <c r="O636" s="20">
        <f>IF(G636="","",Settings!$B$6*IF(OR(F636="GOC",F636="OWC",F636="GWC"),1,0.7)+Settings!$B$7*IF(N636="Supports",1,IF(N636="Conflicts",0,0.5))+Settings!$B$8*IF(AND(Master_Data!R636&lt;&gt;"",Master_Data!S636&lt;&gt;"",Master_Data!R637&lt;&gt;"",Master_Data!S637&lt;&gt;""),1,0.5))</f>
        <v/>
      </c>
      <c r="P636" s="19">
        <f>IF(G636="","",IF(N636="Conflicts","SW_CONFLICT",IF(OR(F636="GOC",F636="OWC",F636="GWC"),"DIRECT_FLUID_TRANSITION","TRANSITION_INTERVAL")))</f>
        <v/>
      </c>
      <c r="Q636" s="19">
        <f>IF(G636="","",IF(N636="Conflicts","Investigate contact interpretation / saturation behaviour",IF(OR(F636="OWC",F636="GOC",F636="GWC"),"Candidate contact — validate with logs, pressure and dynamic evidence","Transition zone — do not force to a sharp contact")))</f>
        <v/>
      </c>
    </row>
    <row r="637">
      <c r="A637" s="19">
        <f>IF(AND(Master_Data!A637&lt;&gt;"",Master_Data!A637=Master_Data!A638),Master_Data!A637,"")</f>
        <v/>
      </c>
      <c r="B637" s="19">
        <f>IF($A637="","",Master_Data!B637)</f>
        <v/>
      </c>
      <c r="C637" s="19">
        <f>IF($A637="","",Master_Data!B638)</f>
        <v/>
      </c>
      <c r="D637" s="19">
        <f>IF($A637="","",Master_Data!Q637)</f>
        <v/>
      </c>
      <c r="E637" s="19">
        <f>IF($A637="","",Master_Data!Q638)</f>
        <v/>
      </c>
      <c r="F637" s="19">
        <f>IF($A637="","",IF(AND(D637="GAS",E637="OIL"),"GOC",IF(AND(D637="OIL",E637="WATER"),"OWC",IF(AND(D637="GAS",E637="WATER"),"GWC",IF(AND(D637="OIL",E637="OIL_WATER"),"OWC_TRANSITION",IF(AND(D637="OIL_WATER",E637="WATER"),"OWC_TRANSITION",IF(AND(D637="GAS",E637="GAS_WATER"),"GOC_TRANSITION",IF(AND(D637="GAS_WATER",E637="OIL"),"GOC_TRANSITION",IF(OR(D637="OIL_WATER",D637="GAS_WATER"),"TRANSITION_INTERVAL","")))))))))</f>
        <v/>
      </c>
      <c r="G637" s="20">
        <f>IF(OR(F637="",Master_Data!R637="",Master_Data!S637=""),"",IF(RIGHT(F637,10)="TRANSITION",AVERAGE(Master_Data!R637:Master_Data!S637),AVERAGE(Master_Data!S637,Master_Data!R638)))</f>
        <v/>
      </c>
      <c r="H637" s="20">
        <f>IF(G637="","",MAX(Settings!$B$4,Settings!$B$5*AVERAGE(IF(Master_Data!O637&lt;&gt;"",Master_Data!O637,Master_Data!H637),IF(Master_Data!O638&lt;&gt;"",Master_Data!O638,Master_Data!H638))))</f>
        <v/>
      </c>
      <c r="I637" s="20">
        <f>IF(G637="","",G637-H637)</f>
        <v/>
      </c>
      <c r="J637" s="20">
        <f>IF(G637="","",G637+H637)</f>
        <v/>
      </c>
      <c r="K637" s="20">
        <f>IF($A637="","",Master_Data!G637)</f>
        <v/>
      </c>
      <c r="L637" s="20">
        <f>IF($A637="","",Master_Data!G638)</f>
        <v/>
      </c>
      <c r="M637" s="20">
        <f>IF(AND(ISNUMBER(K637),ISNUMBER(L637)),L637-K637,"")</f>
        <v/>
      </c>
      <c r="N637" s="19">
        <f>IF(G637="","",IF(AND(ISNUMBER(K637),ISNUMBER(L637)),IF(OR(F637="GOC",F637="OWC",F637="GWC",F637="OWC_TRANSITION",F637="GOC_TRANSITION"),IF(L637&gt;=K637,"Supports","Conflicts"),"N/A"),"No Sw"))</f>
        <v/>
      </c>
      <c r="O637" s="20">
        <f>IF(G637="","",Settings!$B$6*IF(OR(F637="GOC",F637="OWC",F637="GWC"),1,0.7)+Settings!$B$7*IF(N637="Supports",1,IF(N637="Conflicts",0,0.5))+Settings!$B$8*IF(AND(Master_Data!R637&lt;&gt;"",Master_Data!S637&lt;&gt;"",Master_Data!R638&lt;&gt;"",Master_Data!S638&lt;&gt;""),1,0.5))</f>
        <v/>
      </c>
      <c r="P637" s="19">
        <f>IF(G637="","",IF(N637="Conflicts","SW_CONFLICT",IF(OR(F637="GOC",F637="OWC",F637="GWC"),"DIRECT_FLUID_TRANSITION","TRANSITION_INTERVAL")))</f>
        <v/>
      </c>
      <c r="Q637" s="19">
        <f>IF(G637="","",IF(N637="Conflicts","Investigate contact interpretation / saturation behaviour",IF(OR(F637="OWC",F637="GOC",F637="GWC"),"Candidate contact — validate with logs, pressure and dynamic evidence","Transition zone — do not force to a sharp contact")))</f>
        <v/>
      </c>
    </row>
    <row r="638">
      <c r="A638" s="19">
        <f>IF(AND(Master_Data!A638&lt;&gt;"",Master_Data!A638=Master_Data!A639),Master_Data!A638,"")</f>
        <v/>
      </c>
      <c r="B638" s="19">
        <f>IF($A638="","",Master_Data!B638)</f>
        <v/>
      </c>
      <c r="C638" s="19">
        <f>IF($A638="","",Master_Data!B639)</f>
        <v/>
      </c>
      <c r="D638" s="19">
        <f>IF($A638="","",Master_Data!Q638)</f>
        <v/>
      </c>
      <c r="E638" s="19">
        <f>IF($A638="","",Master_Data!Q639)</f>
        <v/>
      </c>
      <c r="F638" s="19">
        <f>IF($A638="","",IF(AND(D638="GAS",E638="OIL"),"GOC",IF(AND(D638="OIL",E638="WATER"),"OWC",IF(AND(D638="GAS",E638="WATER"),"GWC",IF(AND(D638="OIL",E638="OIL_WATER"),"OWC_TRANSITION",IF(AND(D638="OIL_WATER",E638="WATER"),"OWC_TRANSITION",IF(AND(D638="GAS",E638="GAS_WATER"),"GOC_TRANSITION",IF(AND(D638="GAS_WATER",E638="OIL"),"GOC_TRANSITION",IF(OR(D638="OIL_WATER",D638="GAS_WATER"),"TRANSITION_INTERVAL","")))))))))</f>
        <v/>
      </c>
      <c r="G638" s="20">
        <f>IF(OR(F638="",Master_Data!R638="",Master_Data!S638=""),"",IF(RIGHT(F638,10)="TRANSITION",AVERAGE(Master_Data!R638:Master_Data!S638),AVERAGE(Master_Data!S638,Master_Data!R639)))</f>
        <v/>
      </c>
      <c r="H638" s="20">
        <f>IF(G638="","",MAX(Settings!$B$4,Settings!$B$5*AVERAGE(IF(Master_Data!O638&lt;&gt;"",Master_Data!O638,Master_Data!H638),IF(Master_Data!O639&lt;&gt;"",Master_Data!O639,Master_Data!H639))))</f>
        <v/>
      </c>
      <c r="I638" s="20">
        <f>IF(G638="","",G638-H638)</f>
        <v/>
      </c>
      <c r="J638" s="20">
        <f>IF(G638="","",G638+H638)</f>
        <v/>
      </c>
      <c r="K638" s="20">
        <f>IF($A638="","",Master_Data!G638)</f>
        <v/>
      </c>
      <c r="L638" s="20">
        <f>IF($A638="","",Master_Data!G639)</f>
        <v/>
      </c>
      <c r="M638" s="20">
        <f>IF(AND(ISNUMBER(K638),ISNUMBER(L638)),L638-K638,"")</f>
        <v/>
      </c>
      <c r="N638" s="19">
        <f>IF(G638="","",IF(AND(ISNUMBER(K638),ISNUMBER(L638)),IF(OR(F638="GOC",F638="OWC",F638="GWC",F638="OWC_TRANSITION",F638="GOC_TRANSITION"),IF(L638&gt;=K638,"Supports","Conflicts"),"N/A"),"No Sw"))</f>
        <v/>
      </c>
      <c r="O638" s="20">
        <f>IF(G638="","",Settings!$B$6*IF(OR(F638="GOC",F638="OWC",F638="GWC"),1,0.7)+Settings!$B$7*IF(N638="Supports",1,IF(N638="Conflicts",0,0.5))+Settings!$B$8*IF(AND(Master_Data!R638&lt;&gt;"",Master_Data!S638&lt;&gt;"",Master_Data!R639&lt;&gt;"",Master_Data!S639&lt;&gt;""),1,0.5))</f>
        <v/>
      </c>
      <c r="P638" s="19">
        <f>IF(G638="","",IF(N638="Conflicts","SW_CONFLICT",IF(OR(F638="GOC",F638="OWC",F638="GWC"),"DIRECT_FLUID_TRANSITION","TRANSITION_INTERVAL")))</f>
        <v/>
      </c>
      <c r="Q638" s="19">
        <f>IF(G638="","",IF(N638="Conflicts","Investigate contact interpretation / saturation behaviour",IF(OR(F638="OWC",F638="GOC",F638="GWC"),"Candidate contact — validate with logs, pressure and dynamic evidence","Transition zone — do not force to a sharp contact")))</f>
        <v/>
      </c>
    </row>
    <row r="639">
      <c r="A639" s="19">
        <f>IF(AND(Master_Data!A639&lt;&gt;"",Master_Data!A639=Master_Data!A640),Master_Data!A639,"")</f>
        <v/>
      </c>
      <c r="B639" s="19">
        <f>IF($A639="","",Master_Data!B639)</f>
        <v/>
      </c>
      <c r="C639" s="19">
        <f>IF($A639="","",Master_Data!B640)</f>
        <v/>
      </c>
      <c r="D639" s="19">
        <f>IF($A639="","",Master_Data!Q639)</f>
        <v/>
      </c>
      <c r="E639" s="19">
        <f>IF($A639="","",Master_Data!Q640)</f>
        <v/>
      </c>
      <c r="F639" s="19">
        <f>IF($A639="","",IF(AND(D639="GAS",E639="OIL"),"GOC",IF(AND(D639="OIL",E639="WATER"),"OWC",IF(AND(D639="GAS",E639="WATER"),"GWC",IF(AND(D639="OIL",E639="OIL_WATER"),"OWC_TRANSITION",IF(AND(D639="OIL_WATER",E639="WATER"),"OWC_TRANSITION",IF(AND(D639="GAS",E639="GAS_WATER"),"GOC_TRANSITION",IF(AND(D639="GAS_WATER",E639="OIL"),"GOC_TRANSITION",IF(OR(D639="OIL_WATER",D639="GAS_WATER"),"TRANSITION_INTERVAL","")))))))))</f>
        <v/>
      </c>
      <c r="G639" s="20">
        <f>IF(OR(F639="",Master_Data!R639="",Master_Data!S639=""),"",IF(RIGHT(F639,10)="TRANSITION",AVERAGE(Master_Data!R639:Master_Data!S639),AVERAGE(Master_Data!S639,Master_Data!R640)))</f>
        <v/>
      </c>
      <c r="H639" s="20">
        <f>IF(G639="","",MAX(Settings!$B$4,Settings!$B$5*AVERAGE(IF(Master_Data!O639&lt;&gt;"",Master_Data!O639,Master_Data!H639),IF(Master_Data!O640&lt;&gt;"",Master_Data!O640,Master_Data!H640))))</f>
        <v/>
      </c>
      <c r="I639" s="20">
        <f>IF(G639="","",G639-H639)</f>
        <v/>
      </c>
      <c r="J639" s="20">
        <f>IF(G639="","",G639+H639)</f>
        <v/>
      </c>
      <c r="K639" s="20">
        <f>IF($A639="","",Master_Data!G639)</f>
        <v/>
      </c>
      <c r="L639" s="20">
        <f>IF($A639="","",Master_Data!G640)</f>
        <v/>
      </c>
      <c r="M639" s="20">
        <f>IF(AND(ISNUMBER(K639),ISNUMBER(L639)),L639-K639,"")</f>
        <v/>
      </c>
      <c r="N639" s="19">
        <f>IF(G639="","",IF(AND(ISNUMBER(K639),ISNUMBER(L639)),IF(OR(F639="GOC",F639="OWC",F639="GWC",F639="OWC_TRANSITION",F639="GOC_TRANSITION"),IF(L639&gt;=K639,"Supports","Conflicts"),"N/A"),"No Sw"))</f>
        <v/>
      </c>
      <c r="O639" s="20">
        <f>IF(G639="","",Settings!$B$6*IF(OR(F639="GOC",F639="OWC",F639="GWC"),1,0.7)+Settings!$B$7*IF(N639="Supports",1,IF(N639="Conflicts",0,0.5))+Settings!$B$8*IF(AND(Master_Data!R639&lt;&gt;"",Master_Data!S639&lt;&gt;"",Master_Data!R640&lt;&gt;"",Master_Data!S640&lt;&gt;""),1,0.5))</f>
        <v/>
      </c>
      <c r="P639" s="19">
        <f>IF(G639="","",IF(N639="Conflicts","SW_CONFLICT",IF(OR(F639="GOC",F639="OWC",F639="GWC"),"DIRECT_FLUID_TRANSITION","TRANSITION_INTERVAL")))</f>
        <v/>
      </c>
      <c r="Q639" s="19">
        <f>IF(G639="","",IF(N639="Conflicts","Investigate contact interpretation / saturation behaviour",IF(OR(F639="OWC",F639="GOC",F639="GWC"),"Candidate contact — validate with logs, pressure and dynamic evidence","Transition zone — do not force to a sharp contact")))</f>
        <v/>
      </c>
    </row>
    <row r="640">
      <c r="A640" s="19">
        <f>IF(AND(Master_Data!A640&lt;&gt;"",Master_Data!A640=Master_Data!A641),Master_Data!A640,"")</f>
        <v/>
      </c>
      <c r="B640" s="19">
        <f>IF($A640="","",Master_Data!B640)</f>
        <v/>
      </c>
      <c r="C640" s="19">
        <f>IF($A640="","",Master_Data!B641)</f>
        <v/>
      </c>
      <c r="D640" s="19">
        <f>IF($A640="","",Master_Data!Q640)</f>
        <v/>
      </c>
      <c r="E640" s="19">
        <f>IF($A640="","",Master_Data!Q641)</f>
        <v/>
      </c>
      <c r="F640" s="19">
        <f>IF($A640="","",IF(AND(D640="GAS",E640="OIL"),"GOC",IF(AND(D640="OIL",E640="WATER"),"OWC",IF(AND(D640="GAS",E640="WATER"),"GWC",IF(AND(D640="OIL",E640="OIL_WATER"),"OWC_TRANSITION",IF(AND(D640="OIL_WATER",E640="WATER"),"OWC_TRANSITION",IF(AND(D640="GAS",E640="GAS_WATER"),"GOC_TRANSITION",IF(AND(D640="GAS_WATER",E640="OIL"),"GOC_TRANSITION",IF(OR(D640="OIL_WATER",D640="GAS_WATER"),"TRANSITION_INTERVAL","")))))))))</f>
        <v/>
      </c>
      <c r="G640" s="20">
        <f>IF(OR(F640="",Master_Data!R640="",Master_Data!S640=""),"",IF(RIGHT(F640,10)="TRANSITION",AVERAGE(Master_Data!R640:Master_Data!S640),AVERAGE(Master_Data!S640,Master_Data!R641)))</f>
        <v/>
      </c>
      <c r="H640" s="20">
        <f>IF(G640="","",MAX(Settings!$B$4,Settings!$B$5*AVERAGE(IF(Master_Data!O640&lt;&gt;"",Master_Data!O640,Master_Data!H640),IF(Master_Data!O641&lt;&gt;"",Master_Data!O641,Master_Data!H641))))</f>
        <v/>
      </c>
      <c r="I640" s="20">
        <f>IF(G640="","",G640-H640)</f>
        <v/>
      </c>
      <c r="J640" s="20">
        <f>IF(G640="","",G640+H640)</f>
        <v/>
      </c>
      <c r="K640" s="20">
        <f>IF($A640="","",Master_Data!G640)</f>
        <v/>
      </c>
      <c r="L640" s="20">
        <f>IF($A640="","",Master_Data!G641)</f>
        <v/>
      </c>
      <c r="M640" s="20">
        <f>IF(AND(ISNUMBER(K640),ISNUMBER(L640)),L640-K640,"")</f>
        <v/>
      </c>
      <c r="N640" s="19">
        <f>IF(G640="","",IF(AND(ISNUMBER(K640),ISNUMBER(L640)),IF(OR(F640="GOC",F640="OWC",F640="GWC",F640="OWC_TRANSITION",F640="GOC_TRANSITION"),IF(L640&gt;=K640,"Supports","Conflicts"),"N/A"),"No Sw"))</f>
        <v/>
      </c>
      <c r="O640" s="20">
        <f>IF(G640="","",Settings!$B$6*IF(OR(F640="GOC",F640="OWC",F640="GWC"),1,0.7)+Settings!$B$7*IF(N640="Supports",1,IF(N640="Conflicts",0,0.5))+Settings!$B$8*IF(AND(Master_Data!R640&lt;&gt;"",Master_Data!S640&lt;&gt;"",Master_Data!R641&lt;&gt;"",Master_Data!S641&lt;&gt;""),1,0.5))</f>
        <v/>
      </c>
      <c r="P640" s="19">
        <f>IF(G640="","",IF(N640="Conflicts","SW_CONFLICT",IF(OR(F640="GOC",F640="OWC",F640="GWC"),"DIRECT_FLUID_TRANSITION","TRANSITION_INTERVAL")))</f>
        <v/>
      </c>
      <c r="Q640" s="19">
        <f>IF(G640="","",IF(N640="Conflicts","Investigate contact interpretation / saturation behaviour",IF(OR(F640="OWC",F640="GOC",F640="GWC"),"Candidate contact — validate with logs, pressure and dynamic evidence","Transition zone — do not force to a sharp contact")))</f>
        <v/>
      </c>
    </row>
    <row r="641">
      <c r="A641" s="19">
        <f>IF(AND(Master_Data!A641&lt;&gt;"",Master_Data!A641=Master_Data!A642),Master_Data!A641,"")</f>
        <v/>
      </c>
      <c r="B641" s="19">
        <f>IF($A641="","",Master_Data!B641)</f>
        <v/>
      </c>
      <c r="C641" s="19">
        <f>IF($A641="","",Master_Data!B642)</f>
        <v/>
      </c>
      <c r="D641" s="19">
        <f>IF($A641="","",Master_Data!Q641)</f>
        <v/>
      </c>
      <c r="E641" s="19">
        <f>IF($A641="","",Master_Data!Q642)</f>
        <v/>
      </c>
      <c r="F641" s="19">
        <f>IF($A641="","",IF(AND(D641="GAS",E641="OIL"),"GOC",IF(AND(D641="OIL",E641="WATER"),"OWC",IF(AND(D641="GAS",E641="WATER"),"GWC",IF(AND(D641="OIL",E641="OIL_WATER"),"OWC_TRANSITION",IF(AND(D641="OIL_WATER",E641="WATER"),"OWC_TRANSITION",IF(AND(D641="GAS",E641="GAS_WATER"),"GOC_TRANSITION",IF(AND(D641="GAS_WATER",E641="OIL"),"GOC_TRANSITION",IF(OR(D641="OIL_WATER",D641="GAS_WATER"),"TRANSITION_INTERVAL","")))))))))</f>
        <v/>
      </c>
      <c r="G641" s="20">
        <f>IF(OR(F641="",Master_Data!R641="",Master_Data!S641=""),"",IF(RIGHT(F641,10)="TRANSITION",AVERAGE(Master_Data!R641:Master_Data!S641),AVERAGE(Master_Data!S641,Master_Data!R642)))</f>
        <v/>
      </c>
      <c r="H641" s="20">
        <f>IF(G641="","",MAX(Settings!$B$4,Settings!$B$5*AVERAGE(IF(Master_Data!O641&lt;&gt;"",Master_Data!O641,Master_Data!H641),IF(Master_Data!O642&lt;&gt;"",Master_Data!O642,Master_Data!H642))))</f>
        <v/>
      </c>
      <c r="I641" s="20">
        <f>IF(G641="","",G641-H641)</f>
        <v/>
      </c>
      <c r="J641" s="20">
        <f>IF(G641="","",G641+H641)</f>
        <v/>
      </c>
      <c r="K641" s="20">
        <f>IF($A641="","",Master_Data!G641)</f>
        <v/>
      </c>
      <c r="L641" s="20">
        <f>IF($A641="","",Master_Data!G642)</f>
        <v/>
      </c>
      <c r="M641" s="20">
        <f>IF(AND(ISNUMBER(K641),ISNUMBER(L641)),L641-K641,"")</f>
        <v/>
      </c>
      <c r="N641" s="19">
        <f>IF(G641="","",IF(AND(ISNUMBER(K641),ISNUMBER(L641)),IF(OR(F641="GOC",F641="OWC",F641="GWC",F641="OWC_TRANSITION",F641="GOC_TRANSITION"),IF(L641&gt;=K641,"Supports","Conflicts"),"N/A"),"No Sw"))</f>
        <v/>
      </c>
      <c r="O641" s="20">
        <f>IF(G641="","",Settings!$B$6*IF(OR(F641="GOC",F641="OWC",F641="GWC"),1,0.7)+Settings!$B$7*IF(N641="Supports",1,IF(N641="Conflicts",0,0.5))+Settings!$B$8*IF(AND(Master_Data!R641&lt;&gt;"",Master_Data!S641&lt;&gt;"",Master_Data!R642&lt;&gt;"",Master_Data!S642&lt;&gt;""),1,0.5))</f>
        <v/>
      </c>
      <c r="P641" s="19">
        <f>IF(G641="","",IF(N641="Conflicts","SW_CONFLICT",IF(OR(F641="GOC",F641="OWC",F641="GWC"),"DIRECT_FLUID_TRANSITION","TRANSITION_INTERVAL")))</f>
        <v/>
      </c>
      <c r="Q641" s="19">
        <f>IF(G641="","",IF(N641="Conflicts","Investigate contact interpretation / saturation behaviour",IF(OR(F641="OWC",F641="GOC",F641="GWC"),"Candidate contact — validate with logs, pressure and dynamic evidence","Transition zone — do not force to a sharp contact")))</f>
        <v/>
      </c>
    </row>
    <row r="642">
      <c r="A642" s="19">
        <f>IF(AND(Master_Data!A642&lt;&gt;"",Master_Data!A642=Master_Data!A643),Master_Data!A642,"")</f>
        <v/>
      </c>
      <c r="B642" s="19">
        <f>IF($A642="","",Master_Data!B642)</f>
        <v/>
      </c>
      <c r="C642" s="19">
        <f>IF($A642="","",Master_Data!B643)</f>
        <v/>
      </c>
      <c r="D642" s="19">
        <f>IF($A642="","",Master_Data!Q642)</f>
        <v/>
      </c>
      <c r="E642" s="19">
        <f>IF($A642="","",Master_Data!Q643)</f>
        <v/>
      </c>
      <c r="F642" s="19">
        <f>IF($A642="","",IF(AND(D642="GAS",E642="OIL"),"GOC",IF(AND(D642="OIL",E642="WATER"),"OWC",IF(AND(D642="GAS",E642="WATER"),"GWC",IF(AND(D642="OIL",E642="OIL_WATER"),"OWC_TRANSITION",IF(AND(D642="OIL_WATER",E642="WATER"),"OWC_TRANSITION",IF(AND(D642="GAS",E642="GAS_WATER"),"GOC_TRANSITION",IF(AND(D642="GAS_WATER",E642="OIL"),"GOC_TRANSITION",IF(OR(D642="OIL_WATER",D642="GAS_WATER"),"TRANSITION_INTERVAL","")))))))))</f>
        <v/>
      </c>
      <c r="G642" s="20">
        <f>IF(OR(F642="",Master_Data!R642="",Master_Data!S642=""),"",IF(RIGHT(F642,10)="TRANSITION",AVERAGE(Master_Data!R642:Master_Data!S642),AVERAGE(Master_Data!S642,Master_Data!R643)))</f>
        <v/>
      </c>
      <c r="H642" s="20">
        <f>IF(G642="","",MAX(Settings!$B$4,Settings!$B$5*AVERAGE(IF(Master_Data!O642&lt;&gt;"",Master_Data!O642,Master_Data!H642),IF(Master_Data!O643&lt;&gt;"",Master_Data!O643,Master_Data!H643))))</f>
        <v/>
      </c>
      <c r="I642" s="20">
        <f>IF(G642="","",G642-H642)</f>
        <v/>
      </c>
      <c r="J642" s="20">
        <f>IF(G642="","",G642+H642)</f>
        <v/>
      </c>
      <c r="K642" s="20">
        <f>IF($A642="","",Master_Data!G642)</f>
        <v/>
      </c>
      <c r="L642" s="20">
        <f>IF($A642="","",Master_Data!G643)</f>
        <v/>
      </c>
      <c r="M642" s="20">
        <f>IF(AND(ISNUMBER(K642),ISNUMBER(L642)),L642-K642,"")</f>
        <v/>
      </c>
      <c r="N642" s="19">
        <f>IF(G642="","",IF(AND(ISNUMBER(K642),ISNUMBER(L642)),IF(OR(F642="GOC",F642="OWC",F642="GWC",F642="OWC_TRANSITION",F642="GOC_TRANSITION"),IF(L642&gt;=K642,"Supports","Conflicts"),"N/A"),"No Sw"))</f>
        <v/>
      </c>
      <c r="O642" s="20">
        <f>IF(G642="","",Settings!$B$6*IF(OR(F642="GOC",F642="OWC",F642="GWC"),1,0.7)+Settings!$B$7*IF(N642="Supports",1,IF(N642="Conflicts",0,0.5))+Settings!$B$8*IF(AND(Master_Data!R642&lt;&gt;"",Master_Data!S642&lt;&gt;"",Master_Data!R643&lt;&gt;"",Master_Data!S643&lt;&gt;""),1,0.5))</f>
        <v/>
      </c>
      <c r="P642" s="19">
        <f>IF(G642="","",IF(N642="Conflicts","SW_CONFLICT",IF(OR(F642="GOC",F642="OWC",F642="GWC"),"DIRECT_FLUID_TRANSITION","TRANSITION_INTERVAL")))</f>
        <v/>
      </c>
      <c r="Q642" s="19">
        <f>IF(G642="","",IF(N642="Conflicts","Investigate contact interpretation / saturation behaviour",IF(OR(F642="OWC",F642="GOC",F642="GWC"),"Candidate contact — validate with logs, pressure and dynamic evidence","Transition zone — do not force to a sharp contact")))</f>
        <v/>
      </c>
    </row>
    <row r="643">
      <c r="A643" s="19">
        <f>IF(AND(Master_Data!A643&lt;&gt;"",Master_Data!A643=Master_Data!A644),Master_Data!A643,"")</f>
        <v/>
      </c>
      <c r="B643" s="19">
        <f>IF($A643="","",Master_Data!B643)</f>
        <v/>
      </c>
      <c r="C643" s="19">
        <f>IF($A643="","",Master_Data!B644)</f>
        <v/>
      </c>
      <c r="D643" s="19">
        <f>IF($A643="","",Master_Data!Q643)</f>
        <v/>
      </c>
      <c r="E643" s="19">
        <f>IF($A643="","",Master_Data!Q644)</f>
        <v/>
      </c>
      <c r="F643" s="19">
        <f>IF($A643="","",IF(AND(D643="GAS",E643="OIL"),"GOC",IF(AND(D643="OIL",E643="WATER"),"OWC",IF(AND(D643="GAS",E643="WATER"),"GWC",IF(AND(D643="OIL",E643="OIL_WATER"),"OWC_TRANSITION",IF(AND(D643="OIL_WATER",E643="WATER"),"OWC_TRANSITION",IF(AND(D643="GAS",E643="GAS_WATER"),"GOC_TRANSITION",IF(AND(D643="GAS_WATER",E643="OIL"),"GOC_TRANSITION",IF(OR(D643="OIL_WATER",D643="GAS_WATER"),"TRANSITION_INTERVAL","")))))))))</f>
        <v/>
      </c>
      <c r="G643" s="20">
        <f>IF(OR(F643="",Master_Data!R643="",Master_Data!S643=""),"",IF(RIGHT(F643,10)="TRANSITION",AVERAGE(Master_Data!R643:Master_Data!S643),AVERAGE(Master_Data!S643,Master_Data!R644)))</f>
        <v/>
      </c>
      <c r="H643" s="20">
        <f>IF(G643="","",MAX(Settings!$B$4,Settings!$B$5*AVERAGE(IF(Master_Data!O643&lt;&gt;"",Master_Data!O643,Master_Data!H643),IF(Master_Data!O644&lt;&gt;"",Master_Data!O644,Master_Data!H644))))</f>
        <v/>
      </c>
      <c r="I643" s="20">
        <f>IF(G643="","",G643-H643)</f>
        <v/>
      </c>
      <c r="J643" s="20">
        <f>IF(G643="","",G643+H643)</f>
        <v/>
      </c>
      <c r="K643" s="20">
        <f>IF($A643="","",Master_Data!G643)</f>
        <v/>
      </c>
      <c r="L643" s="20">
        <f>IF($A643="","",Master_Data!G644)</f>
        <v/>
      </c>
      <c r="M643" s="20">
        <f>IF(AND(ISNUMBER(K643),ISNUMBER(L643)),L643-K643,"")</f>
        <v/>
      </c>
      <c r="N643" s="19">
        <f>IF(G643="","",IF(AND(ISNUMBER(K643),ISNUMBER(L643)),IF(OR(F643="GOC",F643="OWC",F643="GWC",F643="OWC_TRANSITION",F643="GOC_TRANSITION"),IF(L643&gt;=K643,"Supports","Conflicts"),"N/A"),"No Sw"))</f>
        <v/>
      </c>
      <c r="O643" s="20">
        <f>IF(G643="","",Settings!$B$6*IF(OR(F643="GOC",F643="OWC",F643="GWC"),1,0.7)+Settings!$B$7*IF(N643="Supports",1,IF(N643="Conflicts",0,0.5))+Settings!$B$8*IF(AND(Master_Data!R643&lt;&gt;"",Master_Data!S643&lt;&gt;"",Master_Data!R644&lt;&gt;"",Master_Data!S644&lt;&gt;""),1,0.5))</f>
        <v/>
      </c>
      <c r="P643" s="19">
        <f>IF(G643="","",IF(N643="Conflicts","SW_CONFLICT",IF(OR(F643="GOC",F643="OWC",F643="GWC"),"DIRECT_FLUID_TRANSITION","TRANSITION_INTERVAL")))</f>
        <v/>
      </c>
      <c r="Q643" s="19">
        <f>IF(G643="","",IF(N643="Conflicts","Investigate contact interpretation / saturation behaviour",IF(OR(F643="OWC",F643="GOC",F643="GWC"),"Candidate contact — validate with logs, pressure and dynamic evidence","Transition zone — do not force to a sharp contact")))</f>
        <v/>
      </c>
    </row>
    <row r="644">
      <c r="A644" s="19">
        <f>IF(AND(Master_Data!A644&lt;&gt;"",Master_Data!A644=Master_Data!A645),Master_Data!A644,"")</f>
        <v/>
      </c>
      <c r="B644" s="19">
        <f>IF($A644="","",Master_Data!B644)</f>
        <v/>
      </c>
      <c r="C644" s="19">
        <f>IF($A644="","",Master_Data!B645)</f>
        <v/>
      </c>
      <c r="D644" s="19">
        <f>IF($A644="","",Master_Data!Q644)</f>
        <v/>
      </c>
      <c r="E644" s="19">
        <f>IF($A644="","",Master_Data!Q645)</f>
        <v/>
      </c>
      <c r="F644" s="19">
        <f>IF($A644="","",IF(AND(D644="GAS",E644="OIL"),"GOC",IF(AND(D644="OIL",E644="WATER"),"OWC",IF(AND(D644="GAS",E644="WATER"),"GWC",IF(AND(D644="OIL",E644="OIL_WATER"),"OWC_TRANSITION",IF(AND(D644="OIL_WATER",E644="WATER"),"OWC_TRANSITION",IF(AND(D644="GAS",E644="GAS_WATER"),"GOC_TRANSITION",IF(AND(D644="GAS_WATER",E644="OIL"),"GOC_TRANSITION",IF(OR(D644="OIL_WATER",D644="GAS_WATER"),"TRANSITION_INTERVAL","")))))))))</f>
        <v/>
      </c>
      <c r="G644" s="20">
        <f>IF(OR(F644="",Master_Data!R644="",Master_Data!S644=""),"",IF(RIGHT(F644,10)="TRANSITION",AVERAGE(Master_Data!R644:Master_Data!S644),AVERAGE(Master_Data!S644,Master_Data!R645)))</f>
        <v/>
      </c>
      <c r="H644" s="20">
        <f>IF(G644="","",MAX(Settings!$B$4,Settings!$B$5*AVERAGE(IF(Master_Data!O644&lt;&gt;"",Master_Data!O644,Master_Data!H644),IF(Master_Data!O645&lt;&gt;"",Master_Data!O645,Master_Data!H645))))</f>
        <v/>
      </c>
      <c r="I644" s="20">
        <f>IF(G644="","",G644-H644)</f>
        <v/>
      </c>
      <c r="J644" s="20">
        <f>IF(G644="","",G644+H644)</f>
        <v/>
      </c>
      <c r="K644" s="20">
        <f>IF($A644="","",Master_Data!G644)</f>
        <v/>
      </c>
      <c r="L644" s="20">
        <f>IF($A644="","",Master_Data!G645)</f>
        <v/>
      </c>
      <c r="M644" s="20">
        <f>IF(AND(ISNUMBER(K644),ISNUMBER(L644)),L644-K644,"")</f>
        <v/>
      </c>
      <c r="N644" s="19">
        <f>IF(G644="","",IF(AND(ISNUMBER(K644),ISNUMBER(L644)),IF(OR(F644="GOC",F644="OWC",F644="GWC",F644="OWC_TRANSITION",F644="GOC_TRANSITION"),IF(L644&gt;=K644,"Supports","Conflicts"),"N/A"),"No Sw"))</f>
        <v/>
      </c>
      <c r="O644" s="20">
        <f>IF(G644="","",Settings!$B$6*IF(OR(F644="GOC",F644="OWC",F644="GWC"),1,0.7)+Settings!$B$7*IF(N644="Supports",1,IF(N644="Conflicts",0,0.5))+Settings!$B$8*IF(AND(Master_Data!R644&lt;&gt;"",Master_Data!S644&lt;&gt;"",Master_Data!R645&lt;&gt;"",Master_Data!S645&lt;&gt;""),1,0.5))</f>
        <v/>
      </c>
      <c r="P644" s="19">
        <f>IF(G644="","",IF(N644="Conflicts","SW_CONFLICT",IF(OR(F644="GOC",F644="OWC",F644="GWC"),"DIRECT_FLUID_TRANSITION","TRANSITION_INTERVAL")))</f>
        <v/>
      </c>
      <c r="Q644" s="19">
        <f>IF(G644="","",IF(N644="Conflicts","Investigate contact interpretation / saturation behaviour",IF(OR(F644="OWC",F644="GOC",F644="GWC"),"Candidate contact — validate with logs, pressure and dynamic evidence","Transition zone — do not force to a sharp contact")))</f>
        <v/>
      </c>
    </row>
    <row r="645">
      <c r="A645" s="19">
        <f>IF(AND(Master_Data!A645&lt;&gt;"",Master_Data!A645=Master_Data!A646),Master_Data!A645,"")</f>
        <v/>
      </c>
      <c r="B645" s="19">
        <f>IF($A645="","",Master_Data!B645)</f>
        <v/>
      </c>
      <c r="C645" s="19">
        <f>IF($A645="","",Master_Data!B646)</f>
        <v/>
      </c>
      <c r="D645" s="19">
        <f>IF($A645="","",Master_Data!Q645)</f>
        <v/>
      </c>
      <c r="E645" s="19">
        <f>IF($A645="","",Master_Data!Q646)</f>
        <v/>
      </c>
      <c r="F645" s="19">
        <f>IF($A645="","",IF(AND(D645="GAS",E645="OIL"),"GOC",IF(AND(D645="OIL",E645="WATER"),"OWC",IF(AND(D645="GAS",E645="WATER"),"GWC",IF(AND(D645="OIL",E645="OIL_WATER"),"OWC_TRANSITION",IF(AND(D645="OIL_WATER",E645="WATER"),"OWC_TRANSITION",IF(AND(D645="GAS",E645="GAS_WATER"),"GOC_TRANSITION",IF(AND(D645="GAS_WATER",E645="OIL"),"GOC_TRANSITION",IF(OR(D645="OIL_WATER",D645="GAS_WATER"),"TRANSITION_INTERVAL","")))))))))</f>
        <v/>
      </c>
      <c r="G645" s="20">
        <f>IF(OR(F645="",Master_Data!R645="",Master_Data!S645=""),"",IF(RIGHT(F645,10)="TRANSITION",AVERAGE(Master_Data!R645:Master_Data!S645),AVERAGE(Master_Data!S645,Master_Data!R646)))</f>
        <v/>
      </c>
      <c r="H645" s="20">
        <f>IF(G645="","",MAX(Settings!$B$4,Settings!$B$5*AVERAGE(IF(Master_Data!O645&lt;&gt;"",Master_Data!O645,Master_Data!H645),IF(Master_Data!O646&lt;&gt;"",Master_Data!O646,Master_Data!H646))))</f>
        <v/>
      </c>
      <c r="I645" s="20">
        <f>IF(G645="","",G645-H645)</f>
        <v/>
      </c>
      <c r="J645" s="20">
        <f>IF(G645="","",G645+H645)</f>
        <v/>
      </c>
      <c r="K645" s="20">
        <f>IF($A645="","",Master_Data!G645)</f>
        <v/>
      </c>
      <c r="L645" s="20">
        <f>IF($A645="","",Master_Data!G646)</f>
        <v/>
      </c>
      <c r="M645" s="20">
        <f>IF(AND(ISNUMBER(K645),ISNUMBER(L645)),L645-K645,"")</f>
        <v/>
      </c>
      <c r="N645" s="19">
        <f>IF(G645="","",IF(AND(ISNUMBER(K645),ISNUMBER(L645)),IF(OR(F645="GOC",F645="OWC",F645="GWC",F645="OWC_TRANSITION",F645="GOC_TRANSITION"),IF(L645&gt;=K645,"Supports","Conflicts"),"N/A"),"No Sw"))</f>
        <v/>
      </c>
      <c r="O645" s="20">
        <f>IF(G645="","",Settings!$B$6*IF(OR(F645="GOC",F645="OWC",F645="GWC"),1,0.7)+Settings!$B$7*IF(N645="Supports",1,IF(N645="Conflicts",0,0.5))+Settings!$B$8*IF(AND(Master_Data!R645&lt;&gt;"",Master_Data!S645&lt;&gt;"",Master_Data!R646&lt;&gt;"",Master_Data!S646&lt;&gt;""),1,0.5))</f>
        <v/>
      </c>
      <c r="P645" s="19">
        <f>IF(G645="","",IF(N645="Conflicts","SW_CONFLICT",IF(OR(F645="GOC",F645="OWC",F645="GWC"),"DIRECT_FLUID_TRANSITION","TRANSITION_INTERVAL")))</f>
        <v/>
      </c>
      <c r="Q645" s="19">
        <f>IF(G645="","",IF(N645="Conflicts","Investigate contact interpretation / saturation behaviour",IF(OR(F645="OWC",F645="GOC",F645="GWC"),"Candidate contact — validate with logs, pressure and dynamic evidence","Transition zone — do not force to a sharp contact")))</f>
        <v/>
      </c>
    </row>
    <row r="646">
      <c r="A646" s="19">
        <f>IF(AND(Master_Data!A646&lt;&gt;"",Master_Data!A646=Master_Data!A647),Master_Data!A646,"")</f>
        <v/>
      </c>
      <c r="B646" s="19">
        <f>IF($A646="","",Master_Data!B646)</f>
        <v/>
      </c>
      <c r="C646" s="19">
        <f>IF($A646="","",Master_Data!B647)</f>
        <v/>
      </c>
      <c r="D646" s="19">
        <f>IF($A646="","",Master_Data!Q646)</f>
        <v/>
      </c>
      <c r="E646" s="19">
        <f>IF($A646="","",Master_Data!Q647)</f>
        <v/>
      </c>
      <c r="F646" s="19">
        <f>IF($A646="","",IF(AND(D646="GAS",E646="OIL"),"GOC",IF(AND(D646="OIL",E646="WATER"),"OWC",IF(AND(D646="GAS",E646="WATER"),"GWC",IF(AND(D646="OIL",E646="OIL_WATER"),"OWC_TRANSITION",IF(AND(D646="OIL_WATER",E646="WATER"),"OWC_TRANSITION",IF(AND(D646="GAS",E646="GAS_WATER"),"GOC_TRANSITION",IF(AND(D646="GAS_WATER",E646="OIL"),"GOC_TRANSITION",IF(OR(D646="OIL_WATER",D646="GAS_WATER"),"TRANSITION_INTERVAL","")))))))))</f>
        <v/>
      </c>
      <c r="G646" s="20">
        <f>IF(OR(F646="",Master_Data!R646="",Master_Data!S646=""),"",IF(RIGHT(F646,10)="TRANSITION",AVERAGE(Master_Data!R646:Master_Data!S646),AVERAGE(Master_Data!S646,Master_Data!R647)))</f>
        <v/>
      </c>
      <c r="H646" s="20">
        <f>IF(G646="","",MAX(Settings!$B$4,Settings!$B$5*AVERAGE(IF(Master_Data!O646&lt;&gt;"",Master_Data!O646,Master_Data!H646),IF(Master_Data!O647&lt;&gt;"",Master_Data!O647,Master_Data!H647))))</f>
        <v/>
      </c>
      <c r="I646" s="20">
        <f>IF(G646="","",G646-H646)</f>
        <v/>
      </c>
      <c r="J646" s="20">
        <f>IF(G646="","",G646+H646)</f>
        <v/>
      </c>
      <c r="K646" s="20">
        <f>IF($A646="","",Master_Data!G646)</f>
        <v/>
      </c>
      <c r="L646" s="20">
        <f>IF($A646="","",Master_Data!G647)</f>
        <v/>
      </c>
      <c r="M646" s="20">
        <f>IF(AND(ISNUMBER(K646),ISNUMBER(L646)),L646-K646,"")</f>
        <v/>
      </c>
      <c r="N646" s="19">
        <f>IF(G646="","",IF(AND(ISNUMBER(K646),ISNUMBER(L646)),IF(OR(F646="GOC",F646="OWC",F646="GWC",F646="OWC_TRANSITION",F646="GOC_TRANSITION"),IF(L646&gt;=K646,"Supports","Conflicts"),"N/A"),"No Sw"))</f>
        <v/>
      </c>
      <c r="O646" s="20">
        <f>IF(G646="","",Settings!$B$6*IF(OR(F646="GOC",F646="OWC",F646="GWC"),1,0.7)+Settings!$B$7*IF(N646="Supports",1,IF(N646="Conflicts",0,0.5))+Settings!$B$8*IF(AND(Master_Data!R646&lt;&gt;"",Master_Data!S646&lt;&gt;"",Master_Data!R647&lt;&gt;"",Master_Data!S647&lt;&gt;""),1,0.5))</f>
        <v/>
      </c>
      <c r="P646" s="19">
        <f>IF(G646="","",IF(N646="Conflicts","SW_CONFLICT",IF(OR(F646="GOC",F646="OWC",F646="GWC"),"DIRECT_FLUID_TRANSITION","TRANSITION_INTERVAL")))</f>
        <v/>
      </c>
      <c r="Q646" s="19">
        <f>IF(G646="","",IF(N646="Conflicts","Investigate contact interpretation / saturation behaviour",IF(OR(F646="OWC",F646="GOC",F646="GWC"),"Candidate contact — validate with logs, pressure and dynamic evidence","Transition zone — do not force to a sharp contact")))</f>
        <v/>
      </c>
    </row>
    <row r="647">
      <c r="A647" s="19">
        <f>IF(AND(Master_Data!A647&lt;&gt;"",Master_Data!A647=Master_Data!A648),Master_Data!A647,"")</f>
        <v/>
      </c>
      <c r="B647" s="19">
        <f>IF($A647="","",Master_Data!B647)</f>
        <v/>
      </c>
      <c r="C647" s="19">
        <f>IF($A647="","",Master_Data!B648)</f>
        <v/>
      </c>
      <c r="D647" s="19">
        <f>IF($A647="","",Master_Data!Q647)</f>
        <v/>
      </c>
      <c r="E647" s="19">
        <f>IF($A647="","",Master_Data!Q648)</f>
        <v/>
      </c>
      <c r="F647" s="19">
        <f>IF($A647="","",IF(AND(D647="GAS",E647="OIL"),"GOC",IF(AND(D647="OIL",E647="WATER"),"OWC",IF(AND(D647="GAS",E647="WATER"),"GWC",IF(AND(D647="OIL",E647="OIL_WATER"),"OWC_TRANSITION",IF(AND(D647="OIL_WATER",E647="WATER"),"OWC_TRANSITION",IF(AND(D647="GAS",E647="GAS_WATER"),"GOC_TRANSITION",IF(AND(D647="GAS_WATER",E647="OIL"),"GOC_TRANSITION",IF(OR(D647="OIL_WATER",D647="GAS_WATER"),"TRANSITION_INTERVAL","")))))))))</f>
        <v/>
      </c>
      <c r="G647" s="20">
        <f>IF(OR(F647="",Master_Data!R647="",Master_Data!S647=""),"",IF(RIGHT(F647,10)="TRANSITION",AVERAGE(Master_Data!R647:Master_Data!S647),AVERAGE(Master_Data!S647,Master_Data!R648)))</f>
        <v/>
      </c>
      <c r="H647" s="20">
        <f>IF(G647="","",MAX(Settings!$B$4,Settings!$B$5*AVERAGE(IF(Master_Data!O647&lt;&gt;"",Master_Data!O647,Master_Data!H647),IF(Master_Data!O648&lt;&gt;"",Master_Data!O648,Master_Data!H648))))</f>
        <v/>
      </c>
      <c r="I647" s="20">
        <f>IF(G647="","",G647-H647)</f>
        <v/>
      </c>
      <c r="J647" s="20">
        <f>IF(G647="","",G647+H647)</f>
        <v/>
      </c>
      <c r="K647" s="20">
        <f>IF($A647="","",Master_Data!G647)</f>
        <v/>
      </c>
      <c r="L647" s="20">
        <f>IF($A647="","",Master_Data!G648)</f>
        <v/>
      </c>
      <c r="M647" s="20">
        <f>IF(AND(ISNUMBER(K647),ISNUMBER(L647)),L647-K647,"")</f>
        <v/>
      </c>
      <c r="N647" s="19">
        <f>IF(G647="","",IF(AND(ISNUMBER(K647),ISNUMBER(L647)),IF(OR(F647="GOC",F647="OWC",F647="GWC",F647="OWC_TRANSITION",F647="GOC_TRANSITION"),IF(L647&gt;=K647,"Supports","Conflicts"),"N/A"),"No Sw"))</f>
        <v/>
      </c>
      <c r="O647" s="20">
        <f>IF(G647="","",Settings!$B$6*IF(OR(F647="GOC",F647="OWC",F647="GWC"),1,0.7)+Settings!$B$7*IF(N647="Supports",1,IF(N647="Conflicts",0,0.5))+Settings!$B$8*IF(AND(Master_Data!R647&lt;&gt;"",Master_Data!S647&lt;&gt;"",Master_Data!R648&lt;&gt;"",Master_Data!S648&lt;&gt;""),1,0.5))</f>
        <v/>
      </c>
      <c r="P647" s="19">
        <f>IF(G647="","",IF(N647="Conflicts","SW_CONFLICT",IF(OR(F647="GOC",F647="OWC",F647="GWC"),"DIRECT_FLUID_TRANSITION","TRANSITION_INTERVAL")))</f>
        <v/>
      </c>
      <c r="Q647" s="19">
        <f>IF(G647="","",IF(N647="Conflicts","Investigate contact interpretation / saturation behaviour",IF(OR(F647="OWC",F647="GOC",F647="GWC"),"Candidate contact — validate with logs, pressure and dynamic evidence","Transition zone — do not force to a sharp contact")))</f>
        <v/>
      </c>
    </row>
    <row r="648">
      <c r="A648" s="19">
        <f>IF(AND(Master_Data!A648&lt;&gt;"",Master_Data!A648=Master_Data!A649),Master_Data!A648,"")</f>
        <v/>
      </c>
      <c r="B648" s="19">
        <f>IF($A648="","",Master_Data!B648)</f>
        <v/>
      </c>
      <c r="C648" s="19">
        <f>IF($A648="","",Master_Data!B649)</f>
        <v/>
      </c>
      <c r="D648" s="19">
        <f>IF($A648="","",Master_Data!Q648)</f>
        <v/>
      </c>
      <c r="E648" s="19">
        <f>IF($A648="","",Master_Data!Q649)</f>
        <v/>
      </c>
      <c r="F648" s="19">
        <f>IF($A648="","",IF(AND(D648="GAS",E648="OIL"),"GOC",IF(AND(D648="OIL",E648="WATER"),"OWC",IF(AND(D648="GAS",E648="WATER"),"GWC",IF(AND(D648="OIL",E648="OIL_WATER"),"OWC_TRANSITION",IF(AND(D648="OIL_WATER",E648="WATER"),"OWC_TRANSITION",IF(AND(D648="GAS",E648="GAS_WATER"),"GOC_TRANSITION",IF(AND(D648="GAS_WATER",E648="OIL"),"GOC_TRANSITION",IF(OR(D648="OIL_WATER",D648="GAS_WATER"),"TRANSITION_INTERVAL","")))))))))</f>
        <v/>
      </c>
      <c r="G648" s="20">
        <f>IF(OR(F648="",Master_Data!R648="",Master_Data!S648=""),"",IF(RIGHT(F648,10)="TRANSITION",AVERAGE(Master_Data!R648:Master_Data!S648),AVERAGE(Master_Data!S648,Master_Data!R649)))</f>
        <v/>
      </c>
      <c r="H648" s="20">
        <f>IF(G648="","",MAX(Settings!$B$4,Settings!$B$5*AVERAGE(IF(Master_Data!O648&lt;&gt;"",Master_Data!O648,Master_Data!H648),IF(Master_Data!O649&lt;&gt;"",Master_Data!O649,Master_Data!H649))))</f>
        <v/>
      </c>
      <c r="I648" s="20">
        <f>IF(G648="","",G648-H648)</f>
        <v/>
      </c>
      <c r="J648" s="20">
        <f>IF(G648="","",G648+H648)</f>
        <v/>
      </c>
      <c r="K648" s="20">
        <f>IF($A648="","",Master_Data!G648)</f>
        <v/>
      </c>
      <c r="L648" s="20">
        <f>IF($A648="","",Master_Data!G649)</f>
        <v/>
      </c>
      <c r="M648" s="20">
        <f>IF(AND(ISNUMBER(K648),ISNUMBER(L648)),L648-K648,"")</f>
        <v/>
      </c>
      <c r="N648" s="19">
        <f>IF(G648="","",IF(AND(ISNUMBER(K648),ISNUMBER(L648)),IF(OR(F648="GOC",F648="OWC",F648="GWC",F648="OWC_TRANSITION",F648="GOC_TRANSITION"),IF(L648&gt;=K648,"Supports","Conflicts"),"N/A"),"No Sw"))</f>
        <v/>
      </c>
      <c r="O648" s="20">
        <f>IF(G648="","",Settings!$B$6*IF(OR(F648="GOC",F648="OWC",F648="GWC"),1,0.7)+Settings!$B$7*IF(N648="Supports",1,IF(N648="Conflicts",0,0.5))+Settings!$B$8*IF(AND(Master_Data!R648&lt;&gt;"",Master_Data!S648&lt;&gt;"",Master_Data!R649&lt;&gt;"",Master_Data!S649&lt;&gt;""),1,0.5))</f>
        <v/>
      </c>
      <c r="P648" s="19">
        <f>IF(G648="","",IF(N648="Conflicts","SW_CONFLICT",IF(OR(F648="GOC",F648="OWC",F648="GWC"),"DIRECT_FLUID_TRANSITION","TRANSITION_INTERVAL")))</f>
        <v/>
      </c>
      <c r="Q648" s="19">
        <f>IF(G648="","",IF(N648="Conflicts","Investigate contact interpretation / saturation behaviour",IF(OR(F648="OWC",F648="GOC",F648="GWC"),"Candidate contact — validate with logs, pressure and dynamic evidence","Transition zone — do not force to a sharp contact")))</f>
        <v/>
      </c>
    </row>
    <row r="649">
      <c r="A649" s="19">
        <f>IF(AND(Master_Data!A649&lt;&gt;"",Master_Data!A649=Master_Data!A650),Master_Data!A649,"")</f>
        <v/>
      </c>
      <c r="B649" s="19">
        <f>IF($A649="","",Master_Data!B649)</f>
        <v/>
      </c>
      <c r="C649" s="19">
        <f>IF($A649="","",Master_Data!B650)</f>
        <v/>
      </c>
      <c r="D649" s="19">
        <f>IF($A649="","",Master_Data!Q649)</f>
        <v/>
      </c>
      <c r="E649" s="19">
        <f>IF($A649="","",Master_Data!Q650)</f>
        <v/>
      </c>
      <c r="F649" s="19">
        <f>IF($A649="","",IF(AND(D649="GAS",E649="OIL"),"GOC",IF(AND(D649="OIL",E649="WATER"),"OWC",IF(AND(D649="GAS",E649="WATER"),"GWC",IF(AND(D649="OIL",E649="OIL_WATER"),"OWC_TRANSITION",IF(AND(D649="OIL_WATER",E649="WATER"),"OWC_TRANSITION",IF(AND(D649="GAS",E649="GAS_WATER"),"GOC_TRANSITION",IF(AND(D649="GAS_WATER",E649="OIL"),"GOC_TRANSITION",IF(OR(D649="OIL_WATER",D649="GAS_WATER"),"TRANSITION_INTERVAL","")))))))))</f>
        <v/>
      </c>
      <c r="G649" s="20">
        <f>IF(OR(F649="",Master_Data!R649="",Master_Data!S649=""),"",IF(RIGHT(F649,10)="TRANSITION",AVERAGE(Master_Data!R649:Master_Data!S649),AVERAGE(Master_Data!S649,Master_Data!R650)))</f>
        <v/>
      </c>
      <c r="H649" s="20">
        <f>IF(G649="","",MAX(Settings!$B$4,Settings!$B$5*AVERAGE(IF(Master_Data!O649&lt;&gt;"",Master_Data!O649,Master_Data!H649),IF(Master_Data!O650&lt;&gt;"",Master_Data!O650,Master_Data!H650))))</f>
        <v/>
      </c>
      <c r="I649" s="20">
        <f>IF(G649="","",G649-H649)</f>
        <v/>
      </c>
      <c r="J649" s="20">
        <f>IF(G649="","",G649+H649)</f>
        <v/>
      </c>
      <c r="K649" s="20">
        <f>IF($A649="","",Master_Data!G649)</f>
        <v/>
      </c>
      <c r="L649" s="20">
        <f>IF($A649="","",Master_Data!G650)</f>
        <v/>
      </c>
      <c r="M649" s="20">
        <f>IF(AND(ISNUMBER(K649),ISNUMBER(L649)),L649-K649,"")</f>
        <v/>
      </c>
      <c r="N649" s="19">
        <f>IF(G649="","",IF(AND(ISNUMBER(K649),ISNUMBER(L649)),IF(OR(F649="GOC",F649="OWC",F649="GWC",F649="OWC_TRANSITION",F649="GOC_TRANSITION"),IF(L649&gt;=K649,"Supports","Conflicts"),"N/A"),"No Sw"))</f>
        <v/>
      </c>
      <c r="O649" s="20">
        <f>IF(G649="","",Settings!$B$6*IF(OR(F649="GOC",F649="OWC",F649="GWC"),1,0.7)+Settings!$B$7*IF(N649="Supports",1,IF(N649="Conflicts",0,0.5))+Settings!$B$8*IF(AND(Master_Data!R649&lt;&gt;"",Master_Data!S649&lt;&gt;"",Master_Data!R650&lt;&gt;"",Master_Data!S650&lt;&gt;""),1,0.5))</f>
        <v/>
      </c>
      <c r="P649" s="19">
        <f>IF(G649="","",IF(N649="Conflicts","SW_CONFLICT",IF(OR(F649="GOC",F649="OWC",F649="GWC"),"DIRECT_FLUID_TRANSITION","TRANSITION_INTERVAL")))</f>
        <v/>
      </c>
      <c r="Q649" s="19">
        <f>IF(G649="","",IF(N649="Conflicts","Investigate contact interpretation / saturation behaviour",IF(OR(F649="OWC",F649="GOC",F649="GWC"),"Candidate contact — validate with logs, pressure and dynamic evidence","Transition zone — do not force to a sharp contact")))</f>
        <v/>
      </c>
    </row>
    <row r="650">
      <c r="A650" s="19">
        <f>IF(AND(Master_Data!A650&lt;&gt;"",Master_Data!A650=Master_Data!A651),Master_Data!A650,"")</f>
        <v/>
      </c>
      <c r="B650" s="19">
        <f>IF($A650="","",Master_Data!B650)</f>
        <v/>
      </c>
      <c r="C650" s="19">
        <f>IF($A650="","",Master_Data!B651)</f>
        <v/>
      </c>
      <c r="D650" s="19">
        <f>IF($A650="","",Master_Data!Q650)</f>
        <v/>
      </c>
      <c r="E650" s="19">
        <f>IF($A650="","",Master_Data!Q651)</f>
        <v/>
      </c>
      <c r="F650" s="19">
        <f>IF($A650="","",IF(AND(D650="GAS",E650="OIL"),"GOC",IF(AND(D650="OIL",E650="WATER"),"OWC",IF(AND(D650="GAS",E650="WATER"),"GWC",IF(AND(D650="OIL",E650="OIL_WATER"),"OWC_TRANSITION",IF(AND(D650="OIL_WATER",E650="WATER"),"OWC_TRANSITION",IF(AND(D650="GAS",E650="GAS_WATER"),"GOC_TRANSITION",IF(AND(D650="GAS_WATER",E650="OIL"),"GOC_TRANSITION",IF(OR(D650="OIL_WATER",D650="GAS_WATER"),"TRANSITION_INTERVAL","")))))))))</f>
        <v/>
      </c>
      <c r="G650" s="20">
        <f>IF(OR(F650="",Master_Data!R650="",Master_Data!S650=""),"",IF(RIGHT(F650,10)="TRANSITION",AVERAGE(Master_Data!R650:Master_Data!S650),AVERAGE(Master_Data!S650,Master_Data!R651)))</f>
        <v/>
      </c>
      <c r="H650" s="20">
        <f>IF(G650="","",MAX(Settings!$B$4,Settings!$B$5*AVERAGE(IF(Master_Data!O650&lt;&gt;"",Master_Data!O650,Master_Data!H650),IF(Master_Data!O651&lt;&gt;"",Master_Data!O651,Master_Data!H651))))</f>
        <v/>
      </c>
      <c r="I650" s="20">
        <f>IF(G650="","",G650-H650)</f>
        <v/>
      </c>
      <c r="J650" s="20">
        <f>IF(G650="","",G650+H650)</f>
        <v/>
      </c>
      <c r="K650" s="20">
        <f>IF($A650="","",Master_Data!G650)</f>
        <v/>
      </c>
      <c r="L650" s="20">
        <f>IF($A650="","",Master_Data!G651)</f>
        <v/>
      </c>
      <c r="M650" s="20">
        <f>IF(AND(ISNUMBER(K650),ISNUMBER(L650)),L650-K650,"")</f>
        <v/>
      </c>
      <c r="N650" s="19">
        <f>IF(G650="","",IF(AND(ISNUMBER(K650),ISNUMBER(L650)),IF(OR(F650="GOC",F650="OWC",F650="GWC",F650="OWC_TRANSITION",F650="GOC_TRANSITION"),IF(L650&gt;=K650,"Supports","Conflicts"),"N/A"),"No Sw"))</f>
        <v/>
      </c>
      <c r="O650" s="20">
        <f>IF(G650="","",Settings!$B$6*IF(OR(F650="GOC",F650="OWC",F650="GWC"),1,0.7)+Settings!$B$7*IF(N650="Supports",1,IF(N650="Conflicts",0,0.5))+Settings!$B$8*IF(AND(Master_Data!R650&lt;&gt;"",Master_Data!S650&lt;&gt;"",Master_Data!R651&lt;&gt;"",Master_Data!S651&lt;&gt;""),1,0.5))</f>
        <v/>
      </c>
      <c r="P650" s="19">
        <f>IF(G650="","",IF(N650="Conflicts","SW_CONFLICT",IF(OR(F650="GOC",F650="OWC",F650="GWC"),"DIRECT_FLUID_TRANSITION","TRANSITION_INTERVAL")))</f>
        <v/>
      </c>
      <c r="Q650" s="19">
        <f>IF(G650="","",IF(N650="Conflicts","Investigate contact interpretation / saturation behaviour",IF(OR(F650="OWC",F650="GOC",F650="GWC"),"Candidate contact — validate with logs, pressure and dynamic evidence","Transition zone — do not force to a sharp contact")))</f>
        <v/>
      </c>
    </row>
    <row r="651">
      <c r="A651" s="19">
        <f>IF(AND(Master_Data!A651&lt;&gt;"",Master_Data!A651=Master_Data!A652),Master_Data!A651,"")</f>
        <v/>
      </c>
      <c r="B651" s="19">
        <f>IF($A651="","",Master_Data!B651)</f>
        <v/>
      </c>
      <c r="C651" s="19">
        <f>IF($A651="","",Master_Data!B652)</f>
        <v/>
      </c>
      <c r="D651" s="19">
        <f>IF($A651="","",Master_Data!Q651)</f>
        <v/>
      </c>
      <c r="E651" s="19">
        <f>IF($A651="","",Master_Data!Q652)</f>
        <v/>
      </c>
      <c r="F651" s="19">
        <f>IF($A651="","",IF(AND(D651="GAS",E651="OIL"),"GOC",IF(AND(D651="OIL",E651="WATER"),"OWC",IF(AND(D651="GAS",E651="WATER"),"GWC",IF(AND(D651="OIL",E651="OIL_WATER"),"OWC_TRANSITION",IF(AND(D651="OIL_WATER",E651="WATER"),"OWC_TRANSITION",IF(AND(D651="GAS",E651="GAS_WATER"),"GOC_TRANSITION",IF(AND(D651="GAS_WATER",E651="OIL"),"GOC_TRANSITION",IF(OR(D651="OIL_WATER",D651="GAS_WATER"),"TRANSITION_INTERVAL","")))))))))</f>
        <v/>
      </c>
      <c r="G651" s="20">
        <f>IF(OR(F651="",Master_Data!R651="",Master_Data!S651=""),"",IF(RIGHT(F651,10)="TRANSITION",AVERAGE(Master_Data!R651:Master_Data!S651),AVERAGE(Master_Data!S651,Master_Data!R652)))</f>
        <v/>
      </c>
      <c r="H651" s="20">
        <f>IF(G651="","",MAX(Settings!$B$4,Settings!$B$5*AVERAGE(IF(Master_Data!O651&lt;&gt;"",Master_Data!O651,Master_Data!H651),IF(Master_Data!O652&lt;&gt;"",Master_Data!O652,Master_Data!H652))))</f>
        <v/>
      </c>
      <c r="I651" s="20">
        <f>IF(G651="","",G651-H651)</f>
        <v/>
      </c>
      <c r="J651" s="20">
        <f>IF(G651="","",G651+H651)</f>
        <v/>
      </c>
      <c r="K651" s="20">
        <f>IF($A651="","",Master_Data!G651)</f>
        <v/>
      </c>
      <c r="L651" s="20">
        <f>IF($A651="","",Master_Data!G652)</f>
        <v/>
      </c>
      <c r="M651" s="20">
        <f>IF(AND(ISNUMBER(K651),ISNUMBER(L651)),L651-K651,"")</f>
        <v/>
      </c>
      <c r="N651" s="19">
        <f>IF(G651="","",IF(AND(ISNUMBER(K651),ISNUMBER(L651)),IF(OR(F651="GOC",F651="OWC",F651="GWC",F651="OWC_TRANSITION",F651="GOC_TRANSITION"),IF(L651&gt;=K651,"Supports","Conflicts"),"N/A"),"No Sw"))</f>
        <v/>
      </c>
      <c r="O651" s="20">
        <f>IF(G651="","",Settings!$B$6*IF(OR(F651="GOC",F651="OWC",F651="GWC"),1,0.7)+Settings!$B$7*IF(N651="Supports",1,IF(N651="Conflicts",0,0.5))+Settings!$B$8*IF(AND(Master_Data!R651&lt;&gt;"",Master_Data!S651&lt;&gt;"",Master_Data!R652&lt;&gt;"",Master_Data!S652&lt;&gt;""),1,0.5))</f>
        <v/>
      </c>
      <c r="P651" s="19">
        <f>IF(G651="","",IF(N651="Conflicts","SW_CONFLICT",IF(OR(F651="GOC",F651="OWC",F651="GWC"),"DIRECT_FLUID_TRANSITION","TRANSITION_INTERVAL")))</f>
        <v/>
      </c>
      <c r="Q651" s="19">
        <f>IF(G651="","",IF(N651="Conflicts","Investigate contact interpretation / saturation behaviour",IF(OR(F651="OWC",F651="GOC",F651="GWC"),"Candidate contact — validate with logs, pressure and dynamic evidence","Transition zone — do not force to a sharp contact")))</f>
        <v/>
      </c>
    </row>
    <row r="652">
      <c r="A652" s="19">
        <f>IF(AND(Master_Data!A652&lt;&gt;"",Master_Data!A652=Master_Data!A653),Master_Data!A652,"")</f>
        <v/>
      </c>
      <c r="B652" s="19">
        <f>IF($A652="","",Master_Data!B652)</f>
        <v/>
      </c>
      <c r="C652" s="19">
        <f>IF($A652="","",Master_Data!B653)</f>
        <v/>
      </c>
      <c r="D652" s="19">
        <f>IF($A652="","",Master_Data!Q652)</f>
        <v/>
      </c>
      <c r="E652" s="19">
        <f>IF($A652="","",Master_Data!Q653)</f>
        <v/>
      </c>
      <c r="F652" s="19">
        <f>IF($A652="","",IF(AND(D652="GAS",E652="OIL"),"GOC",IF(AND(D652="OIL",E652="WATER"),"OWC",IF(AND(D652="GAS",E652="WATER"),"GWC",IF(AND(D652="OIL",E652="OIL_WATER"),"OWC_TRANSITION",IF(AND(D652="OIL_WATER",E652="WATER"),"OWC_TRANSITION",IF(AND(D652="GAS",E652="GAS_WATER"),"GOC_TRANSITION",IF(AND(D652="GAS_WATER",E652="OIL"),"GOC_TRANSITION",IF(OR(D652="OIL_WATER",D652="GAS_WATER"),"TRANSITION_INTERVAL","")))))))))</f>
        <v/>
      </c>
      <c r="G652" s="20">
        <f>IF(OR(F652="",Master_Data!R652="",Master_Data!S652=""),"",IF(RIGHT(F652,10)="TRANSITION",AVERAGE(Master_Data!R652:Master_Data!S652),AVERAGE(Master_Data!S652,Master_Data!R653)))</f>
        <v/>
      </c>
      <c r="H652" s="20">
        <f>IF(G652="","",MAX(Settings!$B$4,Settings!$B$5*AVERAGE(IF(Master_Data!O652&lt;&gt;"",Master_Data!O652,Master_Data!H652),IF(Master_Data!O653&lt;&gt;"",Master_Data!O653,Master_Data!H653))))</f>
        <v/>
      </c>
      <c r="I652" s="20">
        <f>IF(G652="","",G652-H652)</f>
        <v/>
      </c>
      <c r="J652" s="20">
        <f>IF(G652="","",G652+H652)</f>
        <v/>
      </c>
      <c r="K652" s="20">
        <f>IF($A652="","",Master_Data!G652)</f>
        <v/>
      </c>
      <c r="L652" s="20">
        <f>IF($A652="","",Master_Data!G653)</f>
        <v/>
      </c>
      <c r="M652" s="20">
        <f>IF(AND(ISNUMBER(K652),ISNUMBER(L652)),L652-K652,"")</f>
        <v/>
      </c>
      <c r="N652" s="19">
        <f>IF(G652="","",IF(AND(ISNUMBER(K652),ISNUMBER(L652)),IF(OR(F652="GOC",F652="OWC",F652="GWC",F652="OWC_TRANSITION",F652="GOC_TRANSITION"),IF(L652&gt;=K652,"Supports","Conflicts"),"N/A"),"No Sw"))</f>
        <v/>
      </c>
      <c r="O652" s="20">
        <f>IF(G652="","",Settings!$B$6*IF(OR(F652="GOC",F652="OWC",F652="GWC"),1,0.7)+Settings!$B$7*IF(N652="Supports",1,IF(N652="Conflicts",0,0.5))+Settings!$B$8*IF(AND(Master_Data!R652&lt;&gt;"",Master_Data!S652&lt;&gt;"",Master_Data!R653&lt;&gt;"",Master_Data!S653&lt;&gt;""),1,0.5))</f>
        <v/>
      </c>
      <c r="P652" s="19">
        <f>IF(G652="","",IF(N652="Conflicts","SW_CONFLICT",IF(OR(F652="GOC",F652="OWC",F652="GWC"),"DIRECT_FLUID_TRANSITION","TRANSITION_INTERVAL")))</f>
        <v/>
      </c>
      <c r="Q652" s="19">
        <f>IF(G652="","",IF(N652="Conflicts","Investigate contact interpretation / saturation behaviour",IF(OR(F652="OWC",F652="GOC",F652="GWC"),"Candidate contact — validate with logs, pressure and dynamic evidence","Transition zone — do not force to a sharp contact")))</f>
        <v/>
      </c>
    </row>
    <row r="653">
      <c r="A653" s="19">
        <f>IF(AND(Master_Data!A653&lt;&gt;"",Master_Data!A653=Master_Data!A654),Master_Data!A653,"")</f>
        <v/>
      </c>
      <c r="B653" s="19">
        <f>IF($A653="","",Master_Data!B653)</f>
        <v/>
      </c>
      <c r="C653" s="19">
        <f>IF($A653="","",Master_Data!B654)</f>
        <v/>
      </c>
      <c r="D653" s="19">
        <f>IF($A653="","",Master_Data!Q653)</f>
        <v/>
      </c>
      <c r="E653" s="19">
        <f>IF($A653="","",Master_Data!Q654)</f>
        <v/>
      </c>
      <c r="F653" s="19">
        <f>IF($A653="","",IF(AND(D653="GAS",E653="OIL"),"GOC",IF(AND(D653="OIL",E653="WATER"),"OWC",IF(AND(D653="GAS",E653="WATER"),"GWC",IF(AND(D653="OIL",E653="OIL_WATER"),"OWC_TRANSITION",IF(AND(D653="OIL_WATER",E653="WATER"),"OWC_TRANSITION",IF(AND(D653="GAS",E653="GAS_WATER"),"GOC_TRANSITION",IF(AND(D653="GAS_WATER",E653="OIL"),"GOC_TRANSITION",IF(OR(D653="OIL_WATER",D653="GAS_WATER"),"TRANSITION_INTERVAL","")))))))))</f>
        <v/>
      </c>
      <c r="G653" s="20">
        <f>IF(OR(F653="",Master_Data!R653="",Master_Data!S653=""),"",IF(RIGHT(F653,10)="TRANSITION",AVERAGE(Master_Data!R653:Master_Data!S653),AVERAGE(Master_Data!S653,Master_Data!R654)))</f>
        <v/>
      </c>
      <c r="H653" s="20">
        <f>IF(G653="","",MAX(Settings!$B$4,Settings!$B$5*AVERAGE(IF(Master_Data!O653&lt;&gt;"",Master_Data!O653,Master_Data!H653),IF(Master_Data!O654&lt;&gt;"",Master_Data!O654,Master_Data!H654))))</f>
        <v/>
      </c>
      <c r="I653" s="20">
        <f>IF(G653="","",G653-H653)</f>
        <v/>
      </c>
      <c r="J653" s="20">
        <f>IF(G653="","",G653+H653)</f>
        <v/>
      </c>
      <c r="K653" s="20">
        <f>IF($A653="","",Master_Data!G653)</f>
        <v/>
      </c>
      <c r="L653" s="20">
        <f>IF($A653="","",Master_Data!G654)</f>
        <v/>
      </c>
      <c r="M653" s="20">
        <f>IF(AND(ISNUMBER(K653),ISNUMBER(L653)),L653-K653,"")</f>
        <v/>
      </c>
      <c r="N653" s="19">
        <f>IF(G653="","",IF(AND(ISNUMBER(K653),ISNUMBER(L653)),IF(OR(F653="GOC",F653="OWC",F653="GWC",F653="OWC_TRANSITION",F653="GOC_TRANSITION"),IF(L653&gt;=K653,"Supports","Conflicts"),"N/A"),"No Sw"))</f>
        <v/>
      </c>
      <c r="O653" s="20">
        <f>IF(G653="","",Settings!$B$6*IF(OR(F653="GOC",F653="OWC",F653="GWC"),1,0.7)+Settings!$B$7*IF(N653="Supports",1,IF(N653="Conflicts",0,0.5))+Settings!$B$8*IF(AND(Master_Data!R653&lt;&gt;"",Master_Data!S653&lt;&gt;"",Master_Data!R654&lt;&gt;"",Master_Data!S654&lt;&gt;""),1,0.5))</f>
        <v/>
      </c>
      <c r="P653" s="19">
        <f>IF(G653="","",IF(N653="Conflicts","SW_CONFLICT",IF(OR(F653="GOC",F653="OWC",F653="GWC"),"DIRECT_FLUID_TRANSITION","TRANSITION_INTERVAL")))</f>
        <v/>
      </c>
      <c r="Q653" s="19">
        <f>IF(G653="","",IF(N653="Conflicts","Investigate contact interpretation / saturation behaviour",IF(OR(F653="OWC",F653="GOC",F653="GWC"),"Candidate contact — validate with logs, pressure and dynamic evidence","Transition zone — do not force to a sharp contact")))</f>
        <v/>
      </c>
    </row>
    <row r="654">
      <c r="A654" s="19">
        <f>IF(AND(Master_Data!A654&lt;&gt;"",Master_Data!A654=Master_Data!A655),Master_Data!A654,"")</f>
        <v/>
      </c>
      <c r="B654" s="19">
        <f>IF($A654="","",Master_Data!B654)</f>
        <v/>
      </c>
      <c r="C654" s="19">
        <f>IF($A654="","",Master_Data!B655)</f>
        <v/>
      </c>
      <c r="D654" s="19">
        <f>IF($A654="","",Master_Data!Q654)</f>
        <v/>
      </c>
      <c r="E654" s="19">
        <f>IF($A654="","",Master_Data!Q655)</f>
        <v/>
      </c>
      <c r="F654" s="19">
        <f>IF($A654="","",IF(AND(D654="GAS",E654="OIL"),"GOC",IF(AND(D654="OIL",E654="WATER"),"OWC",IF(AND(D654="GAS",E654="WATER"),"GWC",IF(AND(D654="OIL",E654="OIL_WATER"),"OWC_TRANSITION",IF(AND(D654="OIL_WATER",E654="WATER"),"OWC_TRANSITION",IF(AND(D654="GAS",E654="GAS_WATER"),"GOC_TRANSITION",IF(AND(D654="GAS_WATER",E654="OIL"),"GOC_TRANSITION",IF(OR(D654="OIL_WATER",D654="GAS_WATER"),"TRANSITION_INTERVAL","")))))))))</f>
        <v/>
      </c>
      <c r="G654" s="20">
        <f>IF(OR(F654="",Master_Data!R654="",Master_Data!S654=""),"",IF(RIGHT(F654,10)="TRANSITION",AVERAGE(Master_Data!R654:Master_Data!S654),AVERAGE(Master_Data!S654,Master_Data!R655)))</f>
        <v/>
      </c>
      <c r="H654" s="20">
        <f>IF(G654="","",MAX(Settings!$B$4,Settings!$B$5*AVERAGE(IF(Master_Data!O654&lt;&gt;"",Master_Data!O654,Master_Data!H654),IF(Master_Data!O655&lt;&gt;"",Master_Data!O655,Master_Data!H655))))</f>
        <v/>
      </c>
      <c r="I654" s="20">
        <f>IF(G654="","",G654-H654)</f>
        <v/>
      </c>
      <c r="J654" s="20">
        <f>IF(G654="","",G654+H654)</f>
        <v/>
      </c>
      <c r="K654" s="20">
        <f>IF($A654="","",Master_Data!G654)</f>
        <v/>
      </c>
      <c r="L654" s="20">
        <f>IF($A654="","",Master_Data!G655)</f>
        <v/>
      </c>
      <c r="M654" s="20">
        <f>IF(AND(ISNUMBER(K654),ISNUMBER(L654)),L654-K654,"")</f>
        <v/>
      </c>
      <c r="N654" s="19">
        <f>IF(G654="","",IF(AND(ISNUMBER(K654),ISNUMBER(L654)),IF(OR(F654="GOC",F654="OWC",F654="GWC",F654="OWC_TRANSITION",F654="GOC_TRANSITION"),IF(L654&gt;=K654,"Supports","Conflicts"),"N/A"),"No Sw"))</f>
        <v/>
      </c>
      <c r="O654" s="20">
        <f>IF(G654="","",Settings!$B$6*IF(OR(F654="GOC",F654="OWC",F654="GWC"),1,0.7)+Settings!$B$7*IF(N654="Supports",1,IF(N654="Conflicts",0,0.5))+Settings!$B$8*IF(AND(Master_Data!R654&lt;&gt;"",Master_Data!S654&lt;&gt;"",Master_Data!R655&lt;&gt;"",Master_Data!S655&lt;&gt;""),1,0.5))</f>
        <v/>
      </c>
      <c r="P654" s="19">
        <f>IF(G654="","",IF(N654="Conflicts","SW_CONFLICT",IF(OR(F654="GOC",F654="OWC",F654="GWC"),"DIRECT_FLUID_TRANSITION","TRANSITION_INTERVAL")))</f>
        <v/>
      </c>
      <c r="Q654" s="19">
        <f>IF(G654="","",IF(N654="Conflicts","Investigate contact interpretation / saturation behaviour",IF(OR(F654="OWC",F654="GOC",F654="GWC"),"Candidate contact — validate with logs, pressure and dynamic evidence","Transition zone — do not force to a sharp contact")))</f>
        <v/>
      </c>
    </row>
    <row r="655">
      <c r="A655" s="19">
        <f>IF(AND(Master_Data!A655&lt;&gt;"",Master_Data!A655=Master_Data!A656),Master_Data!A655,"")</f>
        <v/>
      </c>
      <c r="B655" s="19">
        <f>IF($A655="","",Master_Data!B655)</f>
        <v/>
      </c>
      <c r="C655" s="19">
        <f>IF($A655="","",Master_Data!B656)</f>
        <v/>
      </c>
      <c r="D655" s="19">
        <f>IF($A655="","",Master_Data!Q655)</f>
        <v/>
      </c>
      <c r="E655" s="19">
        <f>IF($A655="","",Master_Data!Q656)</f>
        <v/>
      </c>
      <c r="F655" s="19">
        <f>IF($A655="","",IF(AND(D655="GAS",E655="OIL"),"GOC",IF(AND(D655="OIL",E655="WATER"),"OWC",IF(AND(D655="GAS",E655="WATER"),"GWC",IF(AND(D655="OIL",E655="OIL_WATER"),"OWC_TRANSITION",IF(AND(D655="OIL_WATER",E655="WATER"),"OWC_TRANSITION",IF(AND(D655="GAS",E655="GAS_WATER"),"GOC_TRANSITION",IF(AND(D655="GAS_WATER",E655="OIL"),"GOC_TRANSITION",IF(OR(D655="OIL_WATER",D655="GAS_WATER"),"TRANSITION_INTERVAL","")))))))))</f>
        <v/>
      </c>
      <c r="G655" s="20">
        <f>IF(OR(F655="",Master_Data!R655="",Master_Data!S655=""),"",IF(RIGHT(F655,10)="TRANSITION",AVERAGE(Master_Data!R655:Master_Data!S655),AVERAGE(Master_Data!S655,Master_Data!R656)))</f>
        <v/>
      </c>
      <c r="H655" s="20">
        <f>IF(G655="","",MAX(Settings!$B$4,Settings!$B$5*AVERAGE(IF(Master_Data!O655&lt;&gt;"",Master_Data!O655,Master_Data!H655),IF(Master_Data!O656&lt;&gt;"",Master_Data!O656,Master_Data!H656))))</f>
        <v/>
      </c>
      <c r="I655" s="20">
        <f>IF(G655="","",G655-H655)</f>
        <v/>
      </c>
      <c r="J655" s="20">
        <f>IF(G655="","",G655+H655)</f>
        <v/>
      </c>
      <c r="K655" s="20">
        <f>IF($A655="","",Master_Data!G655)</f>
        <v/>
      </c>
      <c r="L655" s="20">
        <f>IF($A655="","",Master_Data!G656)</f>
        <v/>
      </c>
      <c r="M655" s="20">
        <f>IF(AND(ISNUMBER(K655),ISNUMBER(L655)),L655-K655,"")</f>
        <v/>
      </c>
      <c r="N655" s="19">
        <f>IF(G655="","",IF(AND(ISNUMBER(K655),ISNUMBER(L655)),IF(OR(F655="GOC",F655="OWC",F655="GWC",F655="OWC_TRANSITION",F655="GOC_TRANSITION"),IF(L655&gt;=K655,"Supports","Conflicts"),"N/A"),"No Sw"))</f>
        <v/>
      </c>
      <c r="O655" s="20">
        <f>IF(G655="","",Settings!$B$6*IF(OR(F655="GOC",F655="OWC",F655="GWC"),1,0.7)+Settings!$B$7*IF(N655="Supports",1,IF(N655="Conflicts",0,0.5))+Settings!$B$8*IF(AND(Master_Data!R655&lt;&gt;"",Master_Data!S655&lt;&gt;"",Master_Data!R656&lt;&gt;"",Master_Data!S656&lt;&gt;""),1,0.5))</f>
        <v/>
      </c>
      <c r="P655" s="19">
        <f>IF(G655="","",IF(N655="Conflicts","SW_CONFLICT",IF(OR(F655="GOC",F655="OWC",F655="GWC"),"DIRECT_FLUID_TRANSITION","TRANSITION_INTERVAL")))</f>
        <v/>
      </c>
      <c r="Q655" s="19">
        <f>IF(G655="","",IF(N655="Conflicts","Investigate contact interpretation / saturation behaviour",IF(OR(F655="OWC",F655="GOC",F655="GWC"),"Candidate contact — validate with logs, pressure and dynamic evidence","Transition zone — do not force to a sharp contact")))</f>
        <v/>
      </c>
    </row>
    <row r="656">
      <c r="A656" s="19">
        <f>IF(AND(Master_Data!A656&lt;&gt;"",Master_Data!A656=Master_Data!A657),Master_Data!A656,"")</f>
        <v/>
      </c>
      <c r="B656" s="19">
        <f>IF($A656="","",Master_Data!B656)</f>
        <v/>
      </c>
      <c r="C656" s="19">
        <f>IF($A656="","",Master_Data!B657)</f>
        <v/>
      </c>
      <c r="D656" s="19">
        <f>IF($A656="","",Master_Data!Q656)</f>
        <v/>
      </c>
      <c r="E656" s="19">
        <f>IF($A656="","",Master_Data!Q657)</f>
        <v/>
      </c>
      <c r="F656" s="19">
        <f>IF($A656="","",IF(AND(D656="GAS",E656="OIL"),"GOC",IF(AND(D656="OIL",E656="WATER"),"OWC",IF(AND(D656="GAS",E656="WATER"),"GWC",IF(AND(D656="OIL",E656="OIL_WATER"),"OWC_TRANSITION",IF(AND(D656="OIL_WATER",E656="WATER"),"OWC_TRANSITION",IF(AND(D656="GAS",E656="GAS_WATER"),"GOC_TRANSITION",IF(AND(D656="GAS_WATER",E656="OIL"),"GOC_TRANSITION",IF(OR(D656="OIL_WATER",D656="GAS_WATER"),"TRANSITION_INTERVAL","")))))))))</f>
        <v/>
      </c>
      <c r="G656" s="20">
        <f>IF(OR(F656="",Master_Data!R656="",Master_Data!S656=""),"",IF(RIGHT(F656,10)="TRANSITION",AVERAGE(Master_Data!R656:Master_Data!S656),AVERAGE(Master_Data!S656,Master_Data!R657)))</f>
        <v/>
      </c>
      <c r="H656" s="20">
        <f>IF(G656="","",MAX(Settings!$B$4,Settings!$B$5*AVERAGE(IF(Master_Data!O656&lt;&gt;"",Master_Data!O656,Master_Data!H656),IF(Master_Data!O657&lt;&gt;"",Master_Data!O657,Master_Data!H657))))</f>
        <v/>
      </c>
      <c r="I656" s="20">
        <f>IF(G656="","",G656-H656)</f>
        <v/>
      </c>
      <c r="J656" s="20">
        <f>IF(G656="","",G656+H656)</f>
        <v/>
      </c>
      <c r="K656" s="20">
        <f>IF($A656="","",Master_Data!G656)</f>
        <v/>
      </c>
      <c r="L656" s="20">
        <f>IF($A656="","",Master_Data!G657)</f>
        <v/>
      </c>
      <c r="M656" s="20">
        <f>IF(AND(ISNUMBER(K656),ISNUMBER(L656)),L656-K656,"")</f>
        <v/>
      </c>
      <c r="N656" s="19">
        <f>IF(G656="","",IF(AND(ISNUMBER(K656),ISNUMBER(L656)),IF(OR(F656="GOC",F656="OWC",F656="GWC",F656="OWC_TRANSITION",F656="GOC_TRANSITION"),IF(L656&gt;=K656,"Supports","Conflicts"),"N/A"),"No Sw"))</f>
        <v/>
      </c>
      <c r="O656" s="20">
        <f>IF(G656="","",Settings!$B$6*IF(OR(F656="GOC",F656="OWC",F656="GWC"),1,0.7)+Settings!$B$7*IF(N656="Supports",1,IF(N656="Conflicts",0,0.5))+Settings!$B$8*IF(AND(Master_Data!R656&lt;&gt;"",Master_Data!S656&lt;&gt;"",Master_Data!R657&lt;&gt;"",Master_Data!S657&lt;&gt;""),1,0.5))</f>
        <v/>
      </c>
      <c r="P656" s="19">
        <f>IF(G656="","",IF(N656="Conflicts","SW_CONFLICT",IF(OR(F656="GOC",F656="OWC",F656="GWC"),"DIRECT_FLUID_TRANSITION","TRANSITION_INTERVAL")))</f>
        <v/>
      </c>
      <c r="Q656" s="19">
        <f>IF(G656="","",IF(N656="Conflicts","Investigate contact interpretation / saturation behaviour",IF(OR(F656="OWC",F656="GOC",F656="GWC"),"Candidate contact — validate with logs, pressure and dynamic evidence","Transition zone — do not force to a sharp contact")))</f>
        <v/>
      </c>
    </row>
    <row r="657">
      <c r="A657" s="19">
        <f>IF(AND(Master_Data!A657&lt;&gt;"",Master_Data!A657=Master_Data!A658),Master_Data!A657,"")</f>
        <v/>
      </c>
      <c r="B657" s="19">
        <f>IF($A657="","",Master_Data!B657)</f>
        <v/>
      </c>
      <c r="C657" s="19">
        <f>IF($A657="","",Master_Data!B658)</f>
        <v/>
      </c>
      <c r="D657" s="19">
        <f>IF($A657="","",Master_Data!Q657)</f>
        <v/>
      </c>
      <c r="E657" s="19">
        <f>IF($A657="","",Master_Data!Q658)</f>
        <v/>
      </c>
      <c r="F657" s="19">
        <f>IF($A657="","",IF(AND(D657="GAS",E657="OIL"),"GOC",IF(AND(D657="OIL",E657="WATER"),"OWC",IF(AND(D657="GAS",E657="WATER"),"GWC",IF(AND(D657="OIL",E657="OIL_WATER"),"OWC_TRANSITION",IF(AND(D657="OIL_WATER",E657="WATER"),"OWC_TRANSITION",IF(AND(D657="GAS",E657="GAS_WATER"),"GOC_TRANSITION",IF(AND(D657="GAS_WATER",E657="OIL"),"GOC_TRANSITION",IF(OR(D657="OIL_WATER",D657="GAS_WATER"),"TRANSITION_INTERVAL","")))))))))</f>
        <v/>
      </c>
      <c r="G657" s="20">
        <f>IF(OR(F657="",Master_Data!R657="",Master_Data!S657=""),"",IF(RIGHT(F657,10)="TRANSITION",AVERAGE(Master_Data!R657:Master_Data!S657),AVERAGE(Master_Data!S657,Master_Data!R658)))</f>
        <v/>
      </c>
      <c r="H657" s="20">
        <f>IF(G657="","",MAX(Settings!$B$4,Settings!$B$5*AVERAGE(IF(Master_Data!O657&lt;&gt;"",Master_Data!O657,Master_Data!H657),IF(Master_Data!O658&lt;&gt;"",Master_Data!O658,Master_Data!H658))))</f>
        <v/>
      </c>
      <c r="I657" s="20">
        <f>IF(G657="","",G657-H657)</f>
        <v/>
      </c>
      <c r="J657" s="20">
        <f>IF(G657="","",G657+H657)</f>
        <v/>
      </c>
      <c r="K657" s="20">
        <f>IF($A657="","",Master_Data!G657)</f>
        <v/>
      </c>
      <c r="L657" s="20">
        <f>IF($A657="","",Master_Data!G658)</f>
        <v/>
      </c>
      <c r="M657" s="20">
        <f>IF(AND(ISNUMBER(K657),ISNUMBER(L657)),L657-K657,"")</f>
        <v/>
      </c>
      <c r="N657" s="19">
        <f>IF(G657="","",IF(AND(ISNUMBER(K657),ISNUMBER(L657)),IF(OR(F657="GOC",F657="OWC",F657="GWC",F657="OWC_TRANSITION",F657="GOC_TRANSITION"),IF(L657&gt;=K657,"Supports","Conflicts"),"N/A"),"No Sw"))</f>
        <v/>
      </c>
      <c r="O657" s="20">
        <f>IF(G657="","",Settings!$B$6*IF(OR(F657="GOC",F657="OWC",F657="GWC"),1,0.7)+Settings!$B$7*IF(N657="Supports",1,IF(N657="Conflicts",0,0.5))+Settings!$B$8*IF(AND(Master_Data!R657&lt;&gt;"",Master_Data!S657&lt;&gt;"",Master_Data!R658&lt;&gt;"",Master_Data!S658&lt;&gt;""),1,0.5))</f>
        <v/>
      </c>
      <c r="P657" s="19">
        <f>IF(G657="","",IF(N657="Conflicts","SW_CONFLICT",IF(OR(F657="GOC",F657="OWC",F657="GWC"),"DIRECT_FLUID_TRANSITION","TRANSITION_INTERVAL")))</f>
        <v/>
      </c>
      <c r="Q657" s="19">
        <f>IF(G657="","",IF(N657="Conflicts","Investigate contact interpretation / saturation behaviour",IF(OR(F657="OWC",F657="GOC",F657="GWC"),"Candidate contact — validate with logs, pressure and dynamic evidence","Transition zone — do not force to a sharp contact")))</f>
        <v/>
      </c>
    </row>
    <row r="658">
      <c r="A658" s="19">
        <f>IF(AND(Master_Data!A658&lt;&gt;"",Master_Data!A658=Master_Data!A659),Master_Data!A658,"")</f>
        <v/>
      </c>
      <c r="B658" s="19">
        <f>IF($A658="","",Master_Data!B658)</f>
        <v/>
      </c>
      <c r="C658" s="19">
        <f>IF($A658="","",Master_Data!B659)</f>
        <v/>
      </c>
      <c r="D658" s="19">
        <f>IF($A658="","",Master_Data!Q658)</f>
        <v/>
      </c>
      <c r="E658" s="19">
        <f>IF($A658="","",Master_Data!Q659)</f>
        <v/>
      </c>
      <c r="F658" s="19">
        <f>IF($A658="","",IF(AND(D658="GAS",E658="OIL"),"GOC",IF(AND(D658="OIL",E658="WATER"),"OWC",IF(AND(D658="GAS",E658="WATER"),"GWC",IF(AND(D658="OIL",E658="OIL_WATER"),"OWC_TRANSITION",IF(AND(D658="OIL_WATER",E658="WATER"),"OWC_TRANSITION",IF(AND(D658="GAS",E658="GAS_WATER"),"GOC_TRANSITION",IF(AND(D658="GAS_WATER",E658="OIL"),"GOC_TRANSITION",IF(OR(D658="OIL_WATER",D658="GAS_WATER"),"TRANSITION_INTERVAL","")))))))))</f>
        <v/>
      </c>
      <c r="G658" s="20">
        <f>IF(OR(F658="",Master_Data!R658="",Master_Data!S658=""),"",IF(RIGHT(F658,10)="TRANSITION",AVERAGE(Master_Data!R658:Master_Data!S658),AVERAGE(Master_Data!S658,Master_Data!R659)))</f>
        <v/>
      </c>
      <c r="H658" s="20">
        <f>IF(G658="","",MAX(Settings!$B$4,Settings!$B$5*AVERAGE(IF(Master_Data!O658&lt;&gt;"",Master_Data!O658,Master_Data!H658),IF(Master_Data!O659&lt;&gt;"",Master_Data!O659,Master_Data!H659))))</f>
        <v/>
      </c>
      <c r="I658" s="20">
        <f>IF(G658="","",G658-H658)</f>
        <v/>
      </c>
      <c r="J658" s="20">
        <f>IF(G658="","",G658+H658)</f>
        <v/>
      </c>
      <c r="K658" s="20">
        <f>IF($A658="","",Master_Data!G658)</f>
        <v/>
      </c>
      <c r="L658" s="20">
        <f>IF($A658="","",Master_Data!G659)</f>
        <v/>
      </c>
      <c r="M658" s="20">
        <f>IF(AND(ISNUMBER(K658),ISNUMBER(L658)),L658-K658,"")</f>
        <v/>
      </c>
      <c r="N658" s="19">
        <f>IF(G658="","",IF(AND(ISNUMBER(K658),ISNUMBER(L658)),IF(OR(F658="GOC",F658="OWC",F658="GWC",F658="OWC_TRANSITION",F658="GOC_TRANSITION"),IF(L658&gt;=K658,"Supports","Conflicts"),"N/A"),"No Sw"))</f>
        <v/>
      </c>
      <c r="O658" s="20">
        <f>IF(G658="","",Settings!$B$6*IF(OR(F658="GOC",F658="OWC",F658="GWC"),1,0.7)+Settings!$B$7*IF(N658="Supports",1,IF(N658="Conflicts",0,0.5))+Settings!$B$8*IF(AND(Master_Data!R658&lt;&gt;"",Master_Data!S658&lt;&gt;"",Master_Data!R659&lt;&gt;"",Master_Data!S659&lt;&gt;""),1,0.5))</f>
        <v/>
      </c>
      <c r="P658" s="19">
        <f>IF(G658="","",IF(N658="Conflicts","SW_CONFLICT",IF(OR(F658="GOC",F658="OWC",F658="GWC"),"DIRECT_FLUID_TRANSITION","TRANSITION_INTERVAL")))</f>
        <v/>
      </c>
      <c r="Q658" s="19">
        <f>IF(G658="","",IF(N658="Conflicts","Investigate contact interpretation / saturation behaviour",IF(OR(F658="OWC",F658="GOC",F658="GWC"),"Candidate contact — validate with logs, pressure and dynamic evidence","Transition zone — do not force to a sharp contact")))</f>
        <v/>
      </c>
    </row>
    <row r="659">
      <c r="A659" s="19">
        <f>IF(AND(Master_Data!A659&lt;&gt;"",Master_Data!A659=Master_Data!A660),Master_Data!A659,"")</f>
        <v/>
      </c>
      <c r="B659" s="19">
        <f>IF($A659="","",Master_Data!B659)</f>
        <v/>
      </c>
      <c r="C659" s="19">
        <f>IF($A659="","",Master_Data!B660)</f>
        <v/>
      </c>
      <c r="D659" s="19">
        <f>IF($A659="","",Master_Data!Q659)</f>
        <v/>
      </c>
      <c r="E659" s="19">
        <f>IF($A659="","",Master_Data!Q660)</f>
        <v/>
      </c>
      <c r="F659" s="19">
        <f>IF($A659="","",IF(AND(D659="GAS",E659="OIL"),"GOC",IF(AND(D659="OIL",E659="WATER"),"OWC",IF(AND(D659="GAS",E659="WATER"),"GWC",IF(AND(D659="OIL",E659="OIL_WATER"),"OWC_TRANSITION",IF(AND(D659="OIL_WATER",E659="WATER"),"OWC_TRANSITION",IF(AND(D659="GAS",E659="GAS_WATER"),"GOC_TRANSITION",IF(AND(D659="GAS_WATER",E659="OIL"),"GOC_TRANSITION",IF(OR(D659="OIL_WATER",D659="GAS_WATER"),"TRANSITION_INTERVAL","")))))))))</f>
        <v/>
      </c>
      <c r="G659" s="20">
        <f>IF(OR(F659="",Master_Data!R659="",Master_Data!S659=""),"",IF(RIGHT(F659,10)="TRANSITION",AVERAGE(Master_Data!R659:Master_Data!S659),AVERAGE(Master_Data!S659,Master_Data!R660)))</f>
        <v/>
      </c>
      <c r="H659" s="20">
        <f>IF(G659="","",MAX(Settings!$B$4,Settings!$B$5*AVERAGE(IF(Master_Data!O659&lt;&gt;"",Master_Data!O659,Master_Data!H659),IF(Master_Data!O660&lt;&gt;"",Master_Data!O660,Master_Data!H660))))</f>
        <v/>
      </c>
      <c r="I659" s="20">
        <f>IF(G659="","",G659-H659)</f>
        <v/>
      </c>
      <c r="J659" s="20">
        <f>IF(G659="","",G659+H659)</f>
        <v/>
      </c>
      <c r="K659" s="20">
        <f>IF($A659="","",Master_Data!G659)</f>
        <v/>
      </c>
      <c r="L659" s="20">
        <f>IF($A659="","",Master_Data!G660)</f>
        <v/>
      </c>
      <c r="M659" s="20">
        <f>IF(AND(ISNUMBER(K659),ISNUMBER(L659)),L659-K659,"")</f>
        <v/>
      </c>
      <c r="N659" s="19">
        <f>IF(G659="","",IF(AND(ISNUMBER(K659),ISNUMBER(L659)),IF(OR(F659="GOC",F659="OWC",F659="GWC",F659="OWC_TRANSITION",F659="GOC_TRANSITION"),IF(L659&gt;=K659,"Supports","Conflicts"),"N/A"),"No Sw"))</f>
        <v/>
      </c>
      <c r="O659" s="20">
        <f>IF(G659="","",Settings!$B$6*IF(OR(F659="GOC",F659="OWC",F659="GWC"),1,0.7)+Settings!$B$7*IF(N659="Supports",1,IF(N659="Conflicts",0,0.5))+Settings!$B$8*IF(AND(Master_Data!R659&lt;&gt;"",Master_Data!S659&lt;&gt;"",Master_Data!R660&lt;&gt;"",Master_Data!S660&lt;&gt;""),1,0.5))</f>
        <v/>
      </c>
      <c r="P659" s="19">
        <f>IF(G659="","",IF(N659="Conflicts","SW_CONFLICT",IF(OR(F659="GOC",F659="OWC",F659="GWC"),"DIRECT_FLUID_TRANSITION","TRANSITION_INTERVAL")))</f>
        <v/>
      </c>
      <c r="Q659" s="19">
        <f>IF(G659="","",IF(N659="Conflicts","Investigate contact interpretation / saturation behaviour",IF(OR(F659="OWC",F659="GOC",F659="GWC"),"Candidate contact — validate with logs, pressure and dynamic evidence","Transition zone — do not force to a sharp contact")))</f>
        <v/>
      </c>
    </row>
    <row r="660">
      <c r="A660" s="19">
        <f>IF(AND(Master_Data!A660&lt;&gt;"",Master_Data!A660=Master_Data!A661),Master_Data!A660,"")</f>
        <v/>
      </c>
      <c r="B660" s="19">
        <f>IF($A660="","",Master_Data!B660)</f>
        <v/>
      </c>
      <c r="C660" s="19">
        <f>IF($A660="","",Master_Data!B661)</f>
        <v/>
      </c>
      <c r="D660" s="19">
        <f>IF($A660="","",Master_Data!Q660)</f>
        <v/>
      </c>
      <c r="E660" s="19">
        <f>IF($A660="","",Master_Data!Q661)</f>
        <v/>
      </c>
      <c r="F660" s="19">
        <f>IF($A660="","",IF(AND(D660="GAS",E660="OIL"),"GOC",IF(AND(D660="OIL",E660="WATER"),"OWC",IF(AND(D660="GAS",E660="WATER"),"GWC",IF(AND(D660="OIL",E660="OIL_WATER"),"OWC_TRANSITION",IF(AND(D660="OIL_WATER",E660="WATER"),"OWC_TRANSITION",IF(AND(D660="GAS",E660="GAS_WATER"),"GOC_TRANSITION",IF(AND(D660="GAS_WATER",E660="OIL"),"GOC_TRANSITION",IF(OR(D660="OIL_WATER",D660="GAS_WATER"),"TRANSITION_INTERVAL","")))))))))</f>
        <v/>
      </c>
      <c r="G660" s="20">
        <f>IF(OR(F660="",Master_Data!R660="",Master_Data!S660=""),"",IF(RIGHT(F660,10)="TRANSITION",AVERAGE(Master_Data!R660:Master_Data!S660),AVERAGE(Master_Data!S660,Master_Data!R661)))</f>
        <v/>
      </c>
      <c r="H660" s="20">
        <f>IF(G660="","",MAX(Settings!$B$4,Settings!$B$5*AVERAGE(IF(Master_Data!O660&lt;&gt;"",Master_Data!O660,Master_Data!H660),IF(Master_Data!O661&lt;&gt;"",Master_Data!O661,Master_Data!H661))))</f>
        <v/>
      </c>
      <c r="I660" s="20">
        <f>IF(G660="","",G660-H660)</f>
        <v/>
      </c>
      <c r="J660" s="20">
        <f>IF(G660="","",G660+H660)</f>
        <v/>
      </c>
      <c r="K660" s="20">
        <f>IF($A660="","",Master_Data!G660)</f>
        <v/>
      </c>
      <c r="L660" s="20">
        <f>IF($A660="","",Master_Data!G661)</f>
        <v/>
      </c>
      <c r="M660" s="20">
        <f>IF(AND(ISNUMBER(K660),ISNUMBER(L660)),L660-K660,"")</f>
        <v/>
      </c>
      <c r="N660" s="19">
        <f>IF(G660="","",IF(AND(ISNUMBER(K660),ISNUMBER(L660)),IF(OR(F660="GOC",F660="OWC",F660="GWC",F660="OWC_TRANSITION",F660="GOC_TRANSITION"),IF(L660&gt;=K660,"Supports","Conflicts"),"N/A"),"No Sw"))</f>
        <v/>
      </c>
      <c r="O660" s="20">
        <f>IF(G660="","",Settings!$B$6*IF(OR(F660="GOC",F660="OWC",F660="GWC"),1,0.7)+Settings!$B$7*IF(N660="Supports",1,IF(N660="Conflicts",0,0.5))+Settings!$B$8*IF(AND(Master_Data!R660&lt;&gt;"",Master_Data!S660&lt;&gt;"",Master_Data!R661&lt;&gt;"",Master_Data!S661&lt;&gt;""),1,0.5))</f>
        <v/>
      </c>
      <c r="P660" s="19">
        <f>IF(G660="","",IF(N660="Conflicts","SW_CONFLICT",IF(OR(F660="GOC",F660="OWC",F660="GWC"),"DIRECT_FLUID_TRANSITION","TRANSITION_INTERVAL")))</f>
        <v/>
      </c>
      <c r="Q660" s="19">
        <f>IF(G660="","",IF(N660="Conflicts","Investigate contact interpretation / saturation behaviour",IF(OR(F660="OWC",F660="GOC",F660="GWC"),"Candidate contact — validate with logs, pressure and dynamic evidence","Transition zone — do not force to a sharp contact")))</f>
        <v/>
      </c>
    </row>
    <row r="661">
      <c r="A661" s="19">
        <f>IF(AND(Master_Data!A661&lt;&gt;"",Master_Data!A661=Master_Data!A662),Master_Data!A661,"")</f>
        <v/>
      </c>
      <c r="B661" s="19">
        <f>IF($A661="","",Master_Data!B661)</f>
        <v/>
      </c>
      <c r="C661" s="19">
        <f>IF($A661="","",Master_Data!B662)</f>
        <v/>
      </c>
      <c r="D661" s="19">
        <f>IF($A661="","",Master_Data!Q661)</f>
        <v/>
      </c>
      <c r="E661" s="19">
        <f>IF($A661="","",Master_Data!Q662)</f>
        <v/>
      </c>
      <c r="F661" s="19">
        <f>IF($A661="","",IF(AND(D661="GAS",E661="OIL"),"GOC",IF(AND(D661="OIL",E661="WATER"),"OWC",IF(AND(D661="GAS",E661="WATER"),"GWC",IF(AND(D661="OIL",E661="OIL_WATER"),"OWC_TRANSITION",IF(AND(D661="OIL_WATER",E661="WATER"),"OWC_TRANSITION",IF(AND(D661="GAS",E661="GAS_WATER"),"GOC_TRANSITION",IF(AND(D661="GAS_WATER",E661="OIL"),"GOC_TRANSITION",IF(OR(D661="OIL_WATER",D661="GAS_WATER"),"TRANSITION_INTERVAL","")))))))))</f>
        <v/>
      </c>
      <c r="G661" s="20">
        <f>IF(OR(F661="",Master_Data!R661="",Master_Data!S661=""),"",IF(RIGHT(F661,10)="TRANSITION",AVERAGE(Master_Data!R661:Master_Data!S661),AVERAGE(Master_Data!S661,Master_Data!R662)))</f>
        <v/>
      </c>
      <c r="H661" s="20">
        <f>IF(G661="","",MAX(Settings!$B$4,Settings!$B$5*AVERAGE(IF(Master_Data!O661&lt;&gt;"",Master_Data!O661,Master_Data!H661),IF(Master_Data!O662&lt;&gt;"",Master_Data!O662,Master_Data!H662))))</f>
        <v/>
      </c>
      <c r="I661" s="20">
        <f>IF(G661="","",G661-H661)</f>
        <v/>
      </c>
      <c r="J661" s="20">
        <f>IF(G661="","",G661+H661)</f>
        <v/>
      </c>
      <c r="K661" s="20">
        <f>IF($A661="","",Master_Data!G661)</f>
        <v/>
      </c>
      <c r="L661" s="20">
        <f>IF($A661="","",Master_Data!G662)</f>
        <v/>
      </c>
      <c r="M661" s="20">
        <f>IF(AND(ISNUMBER(K661),ISNUMBER(L661)),L661-K661,"")</f>
        <v/>
      </c>
      <c r="N661" s="19">
        <f>IF(G661="","",IF(AND(ISNUMBER(K661),ISNUMBER(L661)),IF(OR(F661="GOC",F661="OWC",F661="GWC",F661="OWC_TRANSITION",F661="GOC_TRANSITION"),IF(L661&gt;=K661,"Supports","Conflicts"),"N/A"),"No Sw"))</f>
        <v/>
      </c>
      <c r="O661" s="20">
        <f>IF(G661="","",Settings!$B$6*IF(OR(F661="GOC",F661="OWC",F661="GWC"),1,0.7)+Settings!$B$7*IF(N661="Supports",1,IF(N661="Conflicts",0,0.5))+Settings!$B$8*IF(AND(Master_Data!R661&lt;&gt;"",Master_Data!S661&lt;&gt;"",Master_Data!R662&lt;&gt;"",Master_Data!S662&lt;&gt;""),1,0.5))</f>
        <v/>
      </c>
      <c r="P661" s="19">
        <f>IF(G661="","",IF(N661="Conflicts","SW_CONFLICT",IF(OR(F661="GOC",F661="OWC",F661="GWC"),"DIRECT_FLUID_TRANSITION","TRANSITION_INTERVAL")))</f>
        <v/>
      </c>
      <c r="Q661" s="19">
        <f>IF(G661="","",IF(N661="Conflicts","Investigate contact interpretation / saturation behaviour",IF(OR(F661="OWC",F661="GOC",F661="GWC"),"Candidate contact — validate with logs, pressure and dynamic evidence","Transition zone — do not force to a sharp contact")))</f>
        <v/>
      </c>
    </row>
    <row r="662">
      <c r="A662" s="19">
        <f>IF(AND(Master_Data!A662&lt;&gt;"",Master_Data!A662=Master_Data!A663),Master_Data!A662,"")</f>
        <v/>
      </c>
      <c r="B662" s="19">
        <f>IF($A662="","",Master_Data!B662)</f>
        <v/>
      </c>
      <c r="C662" s="19">
        <f>IF($A662="","",Master_Data!B663)</f>
        <v/>
      </c>
      <c r="D662" s="19">
        <f>IF($A662="","",Master_Data!Q662)</f>
        <v/>
      </c>
      <c r="E662" s="19">
        <f>IF($A662="","",Master_Data!Q663)</f>
        <v/>
      </c>
      <c r="F662" s="19">
        <f>IF($A662="","",IF(AND(D662="GAS",E662="OIL"),"GOC",IF(AND(D662="OIL",E662="WATER"),"OWC",IF(AND(D662="GAS",E662="WATER"),"GWC",IF(AND(D662="OIL",E662="OIL_WATER"),"OWC_TRANSITION",IF(AND(D662="OIL_WATER",E662="WATER"),"OWC_TRANSITION",IF(AND(D662="GAS",E662="GAS_WATER"),"GOC_TRANSITION",IF(AND(D662="GAS_WATER",E662="OIL"),"GOC_TRANSITION",IF(OR(D662="OIL_WATER",D662="GAS_WATER"),"TRANSITION_INTERVAL","")))))))))</f>
        <v/>
      </c>
      <c r="G662" s="20">
        <f>IF(OR(F662="",Master_Data!R662="",Master_Data!S662=""),"",IF(RIGHT(F662,10)="TRANSITION",AVERAGE(Master_Data!R662:Master_Data!S662),AVERAGE(Master_Data!S662,Master_Data!R663)))</f>
        <v/>
      </c>
      <c r="H662" s="20">
        <f>IF(G662="","",MAX(Settings!$B$4,Settings!$B$5*AVERAGE(IF(Master_Data!O662&lt;&gt;"",Master_Data!O662,Master_Data!H662),IF(Master_Data!O663&lt;&gt;"",Master_Data!O663,Master_Data!H663))))</f>
        <v/>
      </c>
      <c r="I662" s="20">
        <f>IF(G662="","",G662-H662)</f>
        <v/>
      </c>
      <c r="J662" s="20">
        <f>IF(G662="","",G662+H662)</f>
        <v/>
      </c>
      <c r="K662" s="20">
        <f>IF($A662="","",Master_Data!G662)</f>
        <v/>
      </c>
      <c r="L662" s="20">
        <f>IF($A662="","",Master_Data!G663)</f>
        <v/>
      </c>
      <c r="M662" s="20">
        <f>IF(AND(ISNUMBER(K662),ISNUMBER(L662)),L662-K662,"")</f>
        <v/>
      </c>
      <c r="N662" s="19">
        <f>IF(G662="","",IF(AND(ISNUMBER(K662),ISNUMBER(L662)),IF(OR(F662="GOC",F662="OWC",F662="GWC",F662="OWC_TRANSITION",F662="GOC_TRANSITION"),IF(L662&gt;=K662,"Supports","Conflicts"),"N/A"),"No Sw"))</f>
        <v/>
      </c>
      <c r="O662" s="20">
        <f>IF(G662="","",Settings!$B$6*IF(OR(F662="GOC",F662="OWC",F662="GWC"),1,0.7)+Settings!$B$7*IF(N662="Supports",1,IF(N662="Conflicts",0,0.5))+Settings!$B$8*IF(AND(Master_Data!R662&lt;&gt;"",Master_Data!S662&lt;&gt;"",Master_Data!R663&lt;&gt;"",Master_Data!S663&lt;&gt;""),1,0.5))</f>
        <v/>
      </c>
      <c r="P662" s="19">
        <f>IF(G662="","",IF(N662="Conflicts","SW_CONFLICT",IF(OR(F662="GOC",F662="OWC",F662="GWC"),"DIRECT_FLUID_TRANSITION","TRANSITION_INTERVAL")))</f>
        <v/>
      </c>
      <c r="Q662" s="19">
        <f>IF(G662="","",IF(N662="Conflicts","Investigate contact interpretation / saturation behaviour",IF(OR(F662="OWC",F662="GOC",F662="GWC"),"Candidate contact — validate with logs, pressure and dynamic evidence","Transition zone — do not force to a sharp contact")))</f>
        <v/>
      </c>
    </row>
    <row r="663">
      <c r="A663" s="19">
        <f>IF(AND(Master_Data!A663&lt;&gt;"",Master_Data!A663=Master_Data!A664),Master_Data!A663,"")</f>
        <v/>
      </c>
      <c r="B663" s="19">
        <f>IF($A663="","",Master_Data!B663)</f>
        <v/>
      </c>
      <c r="C663" s="19">
        <f>IF($A663="","",Master_Data!B664)</f>
        <v/>
      </c>
      <c r="D663" s="19">
        <f>IF($A663="","",Master_Data!Q663)</f>
        <v/>
      </c>
      <c r="E663" s="19">
        <f>IF($A663="","",Master_Data!Q664)</f>
        <v/>
      </c>
      <c r="F663" s="19">
        <f>IF($A663="","",IF(AND(D663="GAS",E663="OIL"),"GOC",IF(AND(D663="OIL",E663="WATER"),"OWC",IF(AND(D663="GAS",E663="WATER"),"GWC",IF(AND(D663="OIL",E663="OIL_WATER"),"OWC_TRANSITION",IF(AND(D663="OIL_WATER",E663="WATER"),"OWC_TRANSITION",IF(AND(D663="GAS",E663="GAS_WATER"),"GOC_TRANSITION",IF(AND(D663="GAS_WATER",E663="OIL"),"GOC_TRANSITION",IF(OR(D663="OIL_WATER",D663="GAS_WATER"),"TRANSITION_INTERVAL","")))))))))</f>
        <v/>
      </c>
      <c r="G663" s="20">
        <f>IF(OR(F663="",Master_Data!R663="",Master_Data!S663=""),"",IF(RIGHT(F663,10)="TRANSITION",AVERAGE(Master_Data!R663:Master_Data!S663),AVERAGE(Master_Data!S663,Master_Data!R664)))</f>
        <v/>
      </c>
      <c r="H663" s="20">
        <f>IF(G663="","",MAX(Settings!$B$4,Settings!$B$5*AVERAGE(IF(Master_Data!O663&lt;&gt;"",Master_Data!O663,Master_Data!H663),IF(Master_Data!O664&lt;&gt;"",Master_Data!O664,Master_Data!H664))))</f>
        <v/>
      </c>
      <c r="I663" s="20">
        <f>IF(G663="","",G663-H663)</f>
        <v/>
      </c>
      <c r="J663" s="20">
        <f>IF(G663="","",G663+H663)</f>
        <v/>
      </c>
      <c r="K663" s="20">
        <f>IF($A663="","",Master_Data!G663)</f>
        <v/>
      </c>
      <c r="L663" s="20">
        <f>IF($A663="","",Master_Data!G664)</f>
        <v/>
      </c>
      <c r="M663" s="20">
        <f>IF(AND(ISNUMBER(K663),ISNUMBER(L663)),L663-K663,"")</f>
        <v/>
      </c>
      <c r="N663" s="19">
        <f>IF(G663="","",IF(AND(ISNUMBER(K663),ISNUMBER(L663)),IF(OR(F663="GOC",F663="OWC",F663="GWC",F663="OWC_TRANSITION",F663="GOC_TRANSITION"),IF(L663&gt;=K663,"Supports","Conflicts"),"N/A"),"No Sw"))</f>
        <v/>
      </c>
      <c r="O663" s="20">
        <f>IF(G663="","",Settings!$B$6*IF(OR(F663="GOC",F663="OWC",F663="GWC"),1,0.7)+Settings!$B$7*IF(N663="Supports",1,IF(N663="Conflicts",0,0.5))+Settings!$B$8*IF(AND(Master_Data!R663&lt;&gt;"",Master_Data!S663&lt;&gt;"",Master_Data!R664&lt;&gt;"",Master_Data!S664&lt;&gt;""),1,0.5))</f>
        <v/>
      </c>
      <c r="P663" s="19">
        <f>IF(G663="","",IF(N663="Conflicts","SW_CONFLICT",IF(OR(F663="GOC",F663="OWC",F663="GWC"),"DIRECT_FLUID_TRANSITION","TRANSITION_INTERVAL")))</f>
        <v/>
      </c>
      <c r="Q663" s="19">
        <f>IF(G663="","",IF(N663="Conflicts","Investigate contact interpretation / saturation behaviour",IF(OR(F663="OWC",F663="GOC",F663="GWC"),"Candidate contact — validate with logs, pressure and dynamic evidence","Transition zone — do not force to a sharp contact")))</f>
        <v/>
      </c>
    </row>
    <row r="664">
      <c r="A664" s="19">
        <f>IF(AND(Master_Data!A664&lt;&gt;"",Master_Data!A664=Master_Data!A665),Master_Data!A664,"")</f>
        <v/>
      </c>
      <c r="B664" s="19">
        <f>IF($A664="","",Master_Data!B664)</f>
        <v/>
      </c>
      <c r="C664" s="19">
        <f>IF($A664="","",Master_Data!B665)</f>
        <v/>
      </c>
      <c r="D664" s="19">
        <f>IF($A664="","",Master_Data!Q664)</f>
        <v/>
      </c>
      <c r="E664" s="19">
        <f>IF($A664="","",Master_Data!Q665)</f>
        <v/>
      </c>
      <c r="F664" s="19">
        <f>IF($A664="","",IF(AND(D664="GAS",E664="OIL"),"GOC",IF(AND(D664="OIL",E664="WATER"),"OWC",IF(AND(D664="GAS",E664="WATER"),"GWC",IF(AND(D664="OIL",E664="OIL_WATER"),"OWC_TRANSITION",IF(AND(D664="OIL_WATER",E664="WATER"),"OWC_TRANSITION",IF(AND(D664="GAS",E664="GAS_WATER"),"GOC_TRANSITION",IF(AND(D664="GAS_WATER",E664="OIL"),"GOC_TRANSITION",IF(OR(D664="OIL_WATER",D664="GAS_WATER"),"TRANSITION_INTERVAL","")))))))))</f>
        <v/>
      </c>
      <c r="G664" s="20">
        <f>IF(OR(F664="",Master_Data!R664="",Master_Data!S664=""),"",IF(RIGHT(F664,10)="TRANSITION",AVERAGE(Master_Data!R664:Master_Data!S664),AVERAGE(Master_Data!S664,Master_Data!R665)))</f>
        <v/>
      </c>
      <c r="H664" s="20">
        <f>IF(G664="","",MAX(Settings!$B$4,Settings!$B$5*AVERAGE(IF(Master_Data!O664&lt;&gt;"",Master_Data!O664,Master_Data!H664),IF(Master_Data!O665&lt;&gt;"",Master_Data!O665,Master_Data!H665))))</f>
        <v/>
      </c>
      <c r="I664" s="20">
        <f>IF(G664="","",G664-H664)</f>
        <v/>
      </c>
      <c r="J664" s="20">
        <f>IF(G664="","",G664+H664)</f>
        <v/>
      </c>
      <c r="K664" s="20">
        <f>IF($A664="","",Master_Data!G664)</f>
        <v/>
      </c>
      <c r="L664" s="20">
        <f>IF($A664="","",Master_Data!G665)</f>
        <v/>
      </c>
      <c r="M664" s="20">
        <f>IF(AND(ISNUMBER(K664),ISNUMBER(L664)),L664-K664,"")</f>
        <v/>
      </c>
      <c r="N664" s="19">
        <f>IF(G664="","",IF(AND(ISNUMBER(K664),ISNUMBER(L664)),IF(OR(F664="GOC",F664="OWC",F664="GWC",F664="OWC_TRANSITION",F664="GOC_TRANSITION"),IF(L664&gt;=K664,"Supports","Conflicts"),"N/A"),"No Sw"))</f>
        <v/>
      </c>
      <c r="O664" s="20">
        <f>IF(G664="","",Settings!$B$6*IF(OR(F664="GOC",F664="OWC",F664="GWC"),1,0.7)+Settings!$B$7*IF(N664="Supports",1,IF(N664="Conflicts",0,0.5))+Settings!$B$8*IF(AND(Master_Data!R664&lt;&gt;"",Master_Data!S664&lt;&gt;"",Master_Data!R665&lt;&gt;"",Master_Data!S665&lt;&gt;""),1,0.5))</f>
        <v/>
      </c>
      <c r="P664" s="19">
        <f>IF(G664="","",IF(N664="Conflicts","SW_CONFLICT",IF(OR(F664="GOC",F664="OWC",F664="GWC"),"DIRECT_FLUID_TRANSITION","TRANSITION_INTERVAL")))</f>
        <v/>
      </c>
      <c r="Q664" s="19">
        <f>IF(G664="","",IF(N664="Conflicts","Investigate contact interpretation / saturation behaviour",IF(OR(F664="OWC",F664="GOC",F664="GWC"),"Candidate contact — validate with logs, pressure and dynamic evidence","Transition zone — do not force to a sharp contact")))</f>
        <v/>
      </c>
    </row>
    <row r="665">
      <c r="A665" s="19">
        <f>IF(AND(Master_Data!A665&lt;&gt;"",Master_Data!A665=Master_Data!A666),Master_Data!A665,"")</f>
        <v/>
      </c>
      <c r="B665" s="19">
        <f>IF($A665="","",Master_Data!B665)</f>
        <v/>
      </c>
      <c r="C665" s="19">
        <f>IF($A665="","",Master_Data!B666)</f>
        <v/>
      </c>
      <c r="D665" s="19">
        <f>IF($A665="","",Master_Data!Q665)</f>
        <v/>
      </c>
      <c r="E665" s="19">
        <f>IF($A665="","",Master_Data!Q666)</f>
        <v/>
      </c>
      <c r="F665" s="19">
        <f>IF($A665="","",IF(AND(D665="GAS",E665="OIL"),"GOC",IF(AND(D665="OIL",E665="WATER"),"OWC",IF(AND(D665="GAS",E665="WATER"),"GWC",IF(AND(D665="OIL",E665="OIL_WATER"),"OWC_TRANSITION",IF(AND(D665="OIL_WATER",E665="WATER"),"OWC_TRANSITION",IF(AND(D665="GAS",E665="GAS_WATER"),"GOC_TRANSITION",IF(AND(D665="GAS_WATER",E665="OIL"),"GOC_TRANSITION",IF(OR(D665="OIL_WATER",D665="GAS_WATER"),"TRANSITION_INTERVAL","")))))))))</f>
        <v/>
      </c>
      <c r="G665" s="20">
        <f>IF(OR(F665="",Master_Data!R665="",Master_Data!S665=""),"",IF(RIGHT(F665,10)="TRANSITION",AVERAGE(Master_Data!R665:Master_Data!S665),AVERAGE(Master_Data!S665,Master_Data!R666)))</f>
        <v/>
      </c>
      <c r="H665" s="20">
        <f>IF(G665="","",MAX(Settings!$B$4,Settings!$B$5*AVERAGE(IF(Master_Data!O665&lt;&gt;"",Master_Data!O665,Master_Data!H665),IF(Master_Data!O666&lt;&gt;"",Master_Data!O666,Master_Data!H666))))</f>
        <v/>
      </c>
      <c r="I665" s="20">
        <f>IF(G665="","",G665-H665)</f>
        <v/>
      </c>
      <c r="J665" s="20">
        <f>IF(G665="","",G665+H665)</f>
        <v/>
      </c>
      <c r="K665" s="20">
        <f>IF($A665="","",Master_Data!G665)</f>
        <v/>
      </c>
      <c r="L665" s="20">
        <f>IF($A665="","",Master_Data!G666)</f>
        <v/>
      </c>
      <c r="M665" s="20">
        <f>IF(AND(ISNUMBER(K665),ISNUMBER(L665)),L665-K665,"")</f>
        <v/>
      </c>
      <c r="N665" s="19">
        <f>IF(G665="","",IF(AND(ISNUMBER(K665),ISNUMBER(L665)),IF(OR(F665="GOC",F665="OWC",F665="GWC",F665="OWC_TRANSITION",F665="GOC_TRANSITION"),IF(L665&gt;=K665,"Supports","Conflicts"),"N/A"),"No Sw"))</f>
        <v/>
      </c>
      <c r="O665" s="20">
        <f>IF(G665="","",Settings!$B$6*IF(OR(F665="GOC",F665="OWC",F665="GWC"),1,0.7)+Settings!$B$7*IF(N665="Supports",1,IF(N665="Conflicts",0,0.5))+Settings!$B$8*IF(AND(Master_Data!R665&lt;&gt;"",Master_Data!S665&lt;&gt;"",Master_Data!R666&lt;&gt;"",Master_Data!S666&lt;&gt;""),1,0.5))</f>
        <v/>
      </c>
      <c r="P665" s="19">
        <f>IF(G665="","",IF(N665="Conflicts","SW_CONFLICT",IF(OR(F665="GOC",F665="OWC",F665="GWC"),"DIRECT_FLUID_TRANSITION","TRANSITION_INTERVAL")))</f>
        <v/>
      </c>
      <c r="Q665" s="19">
        <f>IF(G665="","",IF(N665="Conflicts","Investigate contact interpretation / saturation behaviour",IF(OR(F665="OWC",F665="GOC",F665="GWC"),"Candidate contact — validate with logs, pressure and dynamic evidence","Transition zone — do not force to a sharp contact")))</f>
        <v/>
      </c>
    </row>
    <row r="666">
      <c r="A666" s="19">
        <f>IF(AND(Master_Data!A666&lt;&gt;"",Master_Data!A666=Master_Data!A667),Master_Data!A666,"")</f>
        <v/>
      </c>
      <c r="B666" s="19">
        <f>IF($A666="","",Master_Data!B666)</f>
        <v/>
      </c>
      <c r="C666" s="19">
        <f>IF($A666="","",Master_Data!B667)</f>
        <v/>
      </c>
      <c r="D666" s="19">
        <f>IF($A666="","",Master_Data!Q666)</f>
        <v/>
      </c>
      <c r="E666" s="19">
        <f>IF($A666="","",Master_Data!Q667)</f>
        <v/>
      </c>
      <c r="F666" s="19">
        <f>IF($A666="","",IF(AND(D666="GAS",E666="OIL"),"GOC",IF(AND(D666="OIL",E666="WATER"),"OWC",IF(AND(D666="GAS",E666="WATER"),"GWC",IF(AND(D666="OIL",E666="OIL_WATER"),"OWC_TRANSITION",IF(AND(D666="OIL_WATER",E666="WATER"),"OWC_TRANSITION",IF(AND(D666="GAS",E666="GAS_WATER"),"GOC_TRANSITION",IF(AND(D666="GAS_WATER",E666="OIL"),"GOC_TRANSITION",IF(OR(D666="OIL_WATER",D666="GAS_WATER"),"TRANSITION_INTERVAL","")))))))))</f>
        <v/>
      </c>
      <c r="G666" s="20">
        <f>IF(OR(F666="",Master_Data!R666="",Master_Data!S666=""),"",IF(RIGHT(F666,10)="TRANSITION",AVERAGE(Master_Data!R666:Master_Data!S666),AVERAGE(Master_Data!S666,Master_Data!R667)))</f>
        <v/>
      </c>
      <c r="H666" s="20">
        <f>IF(G666="","",MAX(Settings!$B$4,Settings!$B$5*AVERAGE(IF(Master_Data!O666&lt;&gt;"",Master_Data!O666,Master_Data!H666),IF(Master_Data!O667&lt;&gt;"",Master_Data!O667,Master_Data!H667))))</f>
        <v/>
      </c>
      <c r="I666" s="20">
        <f>IF(G666="","",G666-H666)</f>
        <v/>
      </c>
      <c r="J666" s="20">
        <f>IF(G666="","",G666+H666)</f>
        <v/>
      </c>
      <c r="K666" s="20">
        <f>IF($A666="","",Master_Data!G666)</f>
        <v/>
      </c>
      <c r="L666" s="20">
        <f>IF($A666="","",Master_Data!G667)</f>
        <v/>
      </c>
      <c r="M666" s="20">
        <f>IF(AND(ISNUMBER(K666),ISNUMBER(L666)),L666-K666,"")</f>
        <v/>
      </c>
      <c r="N666" s="19">
        <f>IF(G666="","",IF(AND(ISNUMBER(K666),ISNUMBER(L666)),IF(OR(F666="GOC",F666="OWC",F666="GWC",F666="OWC_TRANSITION",F666="GOC_TRANSITION"),IF(L666&gt;=K666,"Supports","Conflicts"),"N/A"),"No Sw"))</f>
        <v/>
      </c>
      <c r="O666" s="20">
        <f>IF(G666="","",Settings!$B$6*IF(OR(F666="GOC",F666="OWC",F666="GWC"),1,0.7)+Settings!$B$7*IF(N666="Supports",1,IF(N666="Conflicts",0,0.5))+Settings!$B$8*IF(AND(Master_Data!R666&lt;&gt;"",Master_Data!S666&lt;&gt;"",Master_Data!R667&lt;&gt;"",Master_Data!S667&lt;&gt;""),1,0.5))</f>
        <v/>
      </c>
      <c r="P666" s="19">
        <f>IF(G666="","",IF(N666="Conflicts","SW_CONFLICT",IF(OR(F666="GOC",F666="OWC",F666="GWC"),"DIRECT_FLUID_TRANSITION","TRANSITION_INTERVAL")))</f>
        <v/>
      </c>
      <c r="Q666" s="19">
        <f>IF(G666="","",IF(N666="Conflicts","Investigate contact interpretation / saturation behaviour",IF(OR(F666="OWC",F666="GOC",F666="GWC"),"Candidate contact — validate with logs, pressure and dynamic evidence","Transition zone — do not force to a sharp contact")))</f>
        <v/>
      </c>
    </row>
    <row r="667">
      <c r="A667" s="19">
        <f>IF(AND(Master_Data!A667&lt;&gt;"",Master_Data!A667=Master_Data!A668),Master_Data!A667,"")</f>
        <v/>
      </c>
      <c r="B667" s="19">
        <f>IF($A667="","",Master_Data!B667)</f>
        <v/>
      </c>
      <c r="C667" s="19">
        <f>IF($A667="","",Master_Data!B668)</f>
        <v/>
      </c>
      <c r="D667" s="19">
        <f>IF($A667="","",Master_Data!Q667)</f>
        <v/>
      </c>
      <c r="E667" s="19">
        <f>IF($A667="","",Master_Data!Q668)</f>
        <v/>
      </c>
      <c r="F667" s="19">
        <f>IF($A667="","",IF(AND(D667="GAS",E667="OIL"),"GOC",IF(AND(D667="OIL",E667="WATER"),"OWC",IF(AND(D667="GAS",E667="WATER"),"GWC",IF(AND(D667="OIL",E667="OIL_WATER"),"OWC_TRANSITION",IF(AND(D667="OIL_WATER",E667="WATER"),"OWC_TRANSITION",IF(AND(D667="GAS",E667="GAS_WATER"),"GOC_TRANSITION",IF(AND(D667="GAS_WATER",E667="OIL"),"GOC_TRANSITION",IF(OR(D667="OIL_WATER",D667="GAS_WATER"),"TRANSITION_INTERVAL","")))))))))</f>
        <v/>
      </c>
      <c r="G667" s="20">
        <f>IF(OR(F667="",Master_Data!R667="",Master_Data!S667=""),"",IF(RIGHT(F667,10)="TRANSITION",AVERAGE(Master_Data!R667:Master_Data!S667),AVERAGE(Master_Data!S667,Master_Data!R668)))</f>
        <v/>
      </c>
      <c r="H667" s="20">
        <f>IF(G667="","",MAX(Settings!$B$4,Settings!$B$5*AVERAGE(IF(Master_Data!O667&lt;&gt;"",Master_Data!O667,Master_Data!H667),IF(Master_Data!O668&lt;&gt;"",Master_Data!O668,Master_Data!H668))))</f>
        <v/>
      </c>
      <c r="I667" s="20">
        <f>IF(G667="","",G667-H667)</f>
        <v/>
      </c>
      <c r="J667" s="20">
        <f>IF(G667="","",G667+H667)</f>
        <v/>
      </c>
      <c r="K667" s="20">
        <f>IF($A667="","",Master_Data!G667)</f>
        <v/>
      </c>
      <c r="L667" s="20">
        <f>IF($A667="","",Master_Data!G668)</f>
        <v/>
      </c>
      <c r="M667" s="20">
        <f>IF(AND(ISNUMBER(K667),ISNUMBER(L667)),L667-K667,"")</f>
        <v/>
      </c>
      <c r="N667" s="19">
        <f>IF(G667="","",IF(AND(ISNUMBER(K667),ISNUMBER(L667)),IF(OR(F667="GOC",F667="OWC",F667="GWC",F667="OWC_TRANSITION",F667="GOC_TRANSITION"),IF(L667&gt;=K667,"Supports","Conflicts"),"N/A"),"No Sw"))</f>
        <v/>
      </c>
      <c r="O667" s="20">
        <f>IF(G667="","",Settings!$B$6*IF(OR(F667="GOC",F667="OWC",F667="GWC"),1,0.7)+Settings!$B$7*IF(N667="Supports",1,IF(N667="Conflicts",0,0.5))+Settings!$B$8*IF(AND(Master_Data!R667&lt;&gt;"",Master_Data!S667&lt;&gt;"",Master_Data!R668&lt;&gt;"",Master_Data!S668&lt;&gt;""),1,0.5))</f>
        <v/>
      </c>
      <c r="P667" s="19">
        <f>IF(G667="","",IF(N667="Conflicts","SW_CONFLICT",IF(OR(F667="GOC",F667="OWC",F667="GWC"),"DIRECT_FLUID_TRANSITION","TRANSITION_INTERVAL")))</f>
        <v/>
      </c>
      <c r="Q667" s="19">
        <f>IF(G667="","",IF(N667="Conflicts","Investigate contact interpretation / saturation behaviour",IF(OR(F667="OWC",F667="GOC",F667="GWC"),"Candidate contact — validate with logs, pressure and dynamic evidence","Transition zone — do not force to a sharp contact")))</f>
        <v/>
      </c>
    </row>
    <row r="668">
      <c r="A668" s="19">
        <f>IF(AND(Master_Data!A668&lt;&gt;"",Master_Data!A668=Master_Data!A669),Master_Data!A668,"")</f>
        <v/>
      </c>
      <c r="B668" s="19">
        <f>IF($A668="","",Master_Data!B668)</f>
        <v/>
      </c>
      <c r="C668" s="19">
        <f>IF($A668="","",Master_Data!B669)</f>
        <v/>
      </c>
      <c r="D668" s="19">
        <f>IF($A668="","",Master_Data!Q668)</f>
        <v/>
      </c>
      <c r="E668" s="19">
        <f>IF($A668="","",Master_Data!Q669)</f>
        <v/>
      </c>
      <c r="F668" s="19">
        <f>IF($A668="","",IF(AND(D668="GAS",E668="OIL"),"GOC",IF(AND(D668="OIL",E668="WATER"),"OWC",IF(AND(D668="GAS",E668="WATER"),"GWC",IF(AND(D668="OIL",E668="OIL_WATER"),"OWC_TRANSITION",IF(AND(D668="OIL_WATER",E668="WATER"),"OWC_TRANSITION",IF(AND(D668="GAS",E668="GAS_WATER"),"GOC_TRANSITION",IF(AND(D668="GAS_WATER",E668="OIL"),"GOC_TRANSITION",IF(OR(D668="OIL_WATER",D668="GAS_WATER"),"TRANSITION_INTERVAL","")))))))))</f>
        <v/>
      </c>
      <c r="G668" s="20">
        <f>IF(OR(F668="",Master_Data!R668="",Master_Data!S668=""),"",IF(RIGHT(F668,10)="TRANSITION",AVERAGE(Master_Data!R668:Master_Data!S668),AVERAGE(Master_Data!S668,Master_Data!R669)))</f>
        <v/>
      </c>
      <c r="H668" s="20">
        <f>IF(G668="","",MAX(Settings!$B$4,Settings!$B$5*AVERAGE(IF(Master_Data!O668&lt;&gt;"",Master_Data!O668,Master_Data!H668),IF(Master_Data!O669&lt;&gt;"",Master_Data!O669,Master_Data!H669))))</f>
        <v/>
      </c>
      <c r="I668" s="20">
        <f>IF(G668="","",G668-H668)</f>
        <v/>
      </c>
      <c r="J668" s="20">
        <f>IF(G668="","",G668+H668)</f>
        <v/>
      </c>
      <c r="K668" s="20">
        <f>IF($A668="","",Master_Data!G668)</f>
        <v/>
      </c>
      <c r="L668" s="20">
        <f>IF($A668="","",Master_Data!G669)</f>
        <v/>
      </c>
      <c r="M668" s="20">
        <f>IF(AND(ISNUMBER(K668),ISNUMBER(L668)),L668-K668,"")</f>
        <v/>
      </c>
      <c r="N668" s="19">
        <f>IF(G668="","",IF(AND(ISNUMBER(K668),ISNUMBER(L668)),IF(OR(F668="GOC",F668="OWC",F668="GWC",F668="OWC_TRANSITION",F668="GOC_TRANSITION"),IF(L668&gt;=K668,"Supports","Conflicts"),"N/A"),"No Sw"))</f>
        <v/>
      </c>
      <c r="O668" s="20">
        <f>IF(G668="","",Settings!$B$6*IF(OR(F668="GOC",F668="OWC",F668="GWC"),1,0.7)+Settings!$B$7*IF(N668="Supports",1,IF(N668="Conflicts",0,0.5))+Settings!$B$8*IF(AND(Master_Data!R668&lt;&gt;"",Master_Data!S668&lt;&gt;"",Master_Data!R669&lt;&gt;"",Master_Data!S669&lt;&gt;""),1,0.5))</f>
        <v/>
      </c>
      <c r="P668" s="19">
        <f>IF(G668="","",IF(N668="Conflicts","SW_CONFLICT",IF(OR(F668="GOC",F668="OWC",F668="GWC"),"DIRECT_FLUID_TRANSITION","TRANSITION_INTERVAL")))</f>
        <v/>
      </c>
      <c r="Q668" s="19">
        <f>IF(G668="","",IF(N668="Conflicts","Investigate contact interpretation / saturation behaviour",IF(OR(F668="OWC",F668="GOC",F668="GWC"),"Candidate contact — validate with logs, pressure and dynamic evidence","Transition zone — do not force to a sharp contact")))</f>
        <v/>
      </c>
    </row>
    <row r="669">
      <c r="A669" s="19">
        <f>IF(AND(Master_Data!A669&lt;&gt;"",Master_Data!A669=Master_Data!A670),Master_Data!A669,"")</f>
        <v/>
      </c>
      <c r="B669" s="19">
        <f>IF($A669="","",Master_Data!B669)</f>
        <v/>
      </c>
      <c r="C669" s="19">
        <f>IF($A669="","",Master_Data!B670)</f>
        <v/>
      </c>
      <c r="D669" s="19">
        <f>IF($A669="","",Master_Data!Q669)</f>
        <v/>
      </c>
      <c r="E669" s="19">
        <f>IF($A669="","",Master_Data!Q670)</f>
        <v/>
      </c>
      <c r="F669" s="19">
        <f>IF($A669="","",IF(AND(D669="GAS",E669="OIL"),"GOC",IF(AND(D669="OIL",E669="WATER"),"OWC",IF(AND(D669="GAS",E669="WATER"),"GWC",IF(AND(D669="OIL",E669="OIL_WATER"),"OWC_TRANSITION",IF(AND(D669="OIL_WATER",E669="WATER"),"OWC_TRANSITION",IF(AND(D669="GAS",E669="GAS_WATER"),"GOC_TRANSITION",IF(AND(D669="GAS_WATER",E669="OIL"),"GOC_TRANSITION",IF(OR(D669="OIL_WATER",D669="GAS_WATER"),"TRANSITION_INTERVAL","")))))))))</f>
        <v/>
      </c>
      <c r="G669" s="20">
        <f>IF(OR(F669="",Master_Data!R669="",Master_Data!S669=""),"",IF(RIGHT(F669,10)="TRANSITION",AVERAGE(Master_Data!R669:Master_Data!S669),AVERAGE(Master_Data!S669,Master_Data!R670)))</f>
        <v/>
      </c>
      <c r="H669" s="20">
        <f>IF(G669="","",MAX(Settings!$B$4,Settings!$B$5*AVERAGE(IF(Master_Data!O669&lt;&gt;"",Master_Data!O669,Master_Data!H669),IF(Master_Data!O670&lt;&gt;"",Master_Data!O670,Master_Data!H670))))</f>
        <v/>
      </c>
      <c r="I669" s="20">
        <f>IF(G669="","",G669-H669)</f>
        <v/>
      </c>
      <c r="J669" s="20">
        <f>IF(G669="","",G669+H669)</f>
        <v/>
      </c>
      <c r="K669" s="20">
        <f>IF($A669="","",Master_Data!G669)</f>
        <v/>
      </c>
      <c r="L669" s="20">
        <f>IF($A669="","",Master_Data!G670)</f>
        <v/>
      </c>
      <c r="M669" s="20">
        <f>IF(AND(ISNUMBER(K669),ISNUMBER(L669)),L669-K669,"")</f>
        <v/>
      </c>
      <c r="N669" s="19">
        <f>IF(G669="","",IF(AND(ISNUMBER(K669),ISNUMBER(L669)),IF(OR(F669="GOC",F669="OWC",F669="GWC",F669="OWC_TRANSITION",F669="GOC_TRANSITION"),IF(L669&gt;=K669,"Supports","Conflicts"),"N/A"),"No Sw"))</f>
        <v/>
      </c>
      <c r="O669" s="20">
        <f>IF(G669="","",Settings!$B$6*IF(OR(F669="GOC",F669="OWC",F669="GWC"),1,0.7)+Settings!$B$7*IF(N669="Supports",1,IF(N669="Conflicts",0,0.5))+Settings!$B$8*IF(AND(Master_Data!R669&lt;&gt;"",Master_Data!S669&lt;&gt;"",Master_Data!R670&lt;&gt;"",Master_Data!S670&lt;&gt;""),1,0.5))</f>
        <v/>
      </c>
      <c r="P669" s="19">
        <f>IF(G669="","",IF(N669="Conflicts","SW_CONFLICT",IF(OR(F669="GOC",F669="OWC",F669="GWC"),"DIRECT_FLUID_TRANSITION","TRANSITION_INTERVAL")))</f>
        <v/>
      </c>
      <c r="Q669" s="19">
        <f>IF(G669="","",IF(N669="Conflicts","Investigate contact interpretation / saturation behaviour",IF(OR(F669="OWC",F669="GOC",F669="GWC"),"Candidate contact — validate with logs, pressure and dynamic evidence","Transition zone — do not force to a sharp contact")))</f>
        <v/>
      </c>
    </row>
    <row r="670">
      <c r="A670" s="19">
        <f>IF(AND(Master_Data!A670&lt;&gt;"",Master_Data!A670=Master_Data!A671),Master_Data!A670,"")</f>
        <v/>
      </c>
      <c r="B670" s="19">
        <f>IF($A670="","",Master_Data!B670)</f>
        <v/>
      </c>
      <c r="C670" s="19">
        <f>IF($A670="","",Master_Data!B671)</f>
        <v/>
      </c>
      <c r="D670" s="19">
        <f>IF($A670="","",Master_Data!Q670)</f>
        <v/>
      </c>
      <c r="E670" s="19">
        <f>IF($A670="","",Master_Data!Q671)</f>
        <v/>
      </c>
      <c r="F670" s="19">
        <f>IF($A670="","",IF(AND(D670="GAS",E670="OIL"),"GOC",IF(AND(D670="OIL",E670="WATER"),"OWC",IF(AND(D670="GAS",E670="WATER"),"GWC",IF(AND(D670="OIL",E670="OIL_WATER"),"OWC_TRANSITION",IF(AND(D670="OIL_WATER",E670="WATER"),"OWC_TRANSITION",IF(AND(D670="GAS",E670="GAS_WATER"),"GOC_TRANSITION",IF(AND(D670="GAS_WATER",E670="OIL"),"GOC_TRANSITION",IF(OR(D670="OIL_WATER",D670="GAS_WATER"),"TRANSITION_INTERVAL","")))))))))</f>
        <v/>
      </c>
      <c r="G670" s="20">
        <f>IF(OR(F670="",Master_Data!R670="",Master_Data!S670=""),"",IF(RIGHT(F670,10)="TRANSITION",AVERAGE(Master_Data!R670:Master_Data!S670),AVERAGE(Master_Data!S670,Master_Data!R671)))</f>
        <v/>
      </c>
      <c r="H670" s="20">
        <f>IF(G670="","",MAX(Settings!$B$4,Settings!$B$5*AVERAGE(IF(Master_Data!O670&lt;&gt;"",Master_Data!O670,Master_Data!H670),IF(Master_Data!O671&lt;&gt;"",Master_Data!O671,Master_Data!H671))))</f>
        <v/>
      </c>
      <c r="I670" s="20">
        <f>IF(G670="","",G670-H670)</f>
        <v/>
      </c>
      <c r="J670" s="20">
        <f>IF(G670="","",G670+H670)</f>
        <v/>
      </c>
      <c r="K670" s="20">
        <f>IF($A670="","",Master_Data!G670)</f>
        <v/>
      </c>
      <c r="L670" s="20">
        <f>IF($A670="","",Master_Data!G671)</f>
        <v/>
      </c>
      <c r="M670" s="20">
        <f>IF(AND(ISNUMBER(K670),ISNUMBER(L670)),L670-K670,"")</f>
        <v/>
      </c>
      <c r="N670" s="19">
        <f>IF(G670="","",IF(AND(ISNUMBER(K670),ISNUMBER(L670)),IF(OR(F670="GOC",F670="OWC",F670="GWC",F670="OWC_TRANSITION",F670="GOC_TRANSITION"),IF(L670&gt;=K670,"Supports","Conflicts"),"N/A"),"No Sw"))</f>
        <v/>
      </c>
      <c r="O670" s="20">
        <f>IF(G670="","",Settings!$B$6*IF(OR(F670="GOC",F670="OWC",F670="GWC"),1,0.7)+Settings!$B$7*IF(N670="Supports",1,IF(N670="Conflicts",0,0.5))+Settings!$B$8*IF(AND(Master_Data!R670&lt;&gt;"",Master_Data!S670&lt;&gt;"",Master_Data!R671&lt;&gt;"",Master_Data!S671&lt;&gt;""),1,0.5))</f>
        <v/>
      </c>
      <c r="P670" s="19">
        <f>IF(G670="","",IF(N670="Conflicts","SW_CONFLICT",IF(OR(F670="GOC",F670="OWC",F670="GWC"),"DIRECT_FLUID_TRANSITION","TRANSITION_INTERVAL")))</f>
        <v/>
      </c>
      <c r="Q670" s="19">
        <f>IF(G670="","",IF(N670="Conflicts","Investigate contact interpretation / saturation behaviour",IF(OR(F670="OWC",F670="GOC",F670="GWC"),"Candidate contact — validate with logs, pressure and dynamic evidence","Transition zone — do not force to a sharp contact")))</f>
        <v/>
      </c>
    </row>
    <row r="671">
      <c r="A671" s="19">
        <f>IF(AND(Master_Data!A671&lt;&gt;"",Master_Data!A671=Master_Data!A672),Master_Data!A671,"")</f>
        <v/>
      </c>
      <c r="B671" s="19">
        <f>IF($A671="","",Master_Data!B671)</f>
        <v/>
      </c>
      <c r="C671" s="19">
        <f>IF($A671="","",Master_Data!B672)</f>
        <v/>
      </c>
      <c r="D671" s="19">
        <f>IF($A671="","",Master_Data!Q671)</f>
        <v/>
      </c>
      <c r="E671" s="19">
        <f>IF($A671="","",Master_Data!Q672)</f>
        <v/>
      </c>
      <c r="F671" s="19">
        <f>IF($A671="","",IF(AND(D671="GAS",E671="OIL"),"GOC",IF(AND(D671="OIL",E671="WATER"),"OWC",IF(AND(D671="GAS",E671="WATER"),"GWC",IF(AND(D671="OIL",E671="OIL_WATER"),"OWC_TRANSITION",IF(AND(D671="OIL_WATER",E671="WATER"),"OWC_TRANSITION",IF(AND(D671="GAS",E671="GAS_WATER"),"GOC_TRANSITION",IF(AND(D671="GAS_WATER",E671="OIL"),"GOC_TRANSITION",IF(OR(D671="OIL_WATER",D671="GAS_WATER"),"TRANSITION_INTERVAL","")))))))))</f>
        <v/>
      </c>
      <c r="G671" s="20">
        <f>IF(OR(F671="",Master_Data!R671="",Master_Data!S671=""),"",IF(RIGHT(F671,10)="TRANSITION",AVERAGE(Master_Data!R671:Master_Data!S671),AVERAGE(Master_Data!S671,Master_Data!R672)))</f>
        <v/>
      </c>
      <c r="H671" s="20">
        <f>IF(G671="","",MAX(Settings!$B$4,Settings!$B$5*AVERAGE(IF(Master_Data!O671&lt;&gt;"",Master_Data!O671,Master_Data!H671),IF(Master_Data!O672&lt;&gt;"",Master_Data!O672,Master_Data!H672))))</f>
        <v/>
      </c>
      <c r="I671" s="20">
        <f>IF(G671="","",G671-H671)</f>
        <v/>
      </c>
      <c r="J671" s="20">
        <f>IF(G671="","",G671+H671)</f>
        <v/>
      </c>
      <c r="K671" s="20">
        <f>IF($A671="","",Master_Data!G671)</f>
        <v/>
      </c>
      <c r="L671" s="20">
        <f>IF($A671="","",Master_Data!G672)</f>
        <v/>
      </c>
      <c r="M671" s="20">
        <f>IF(AND(ISNUMBER(K671),ISNUMBER(L671)),L671-K671,"")</f>
        <v/>
      </c>
      <c r="N671" s="19">
        <f>IF(G671="","",IF(AND(ISNUMBER(K671),ISNUMBER(L671)),IF(OR(F671="GOC",F671="OWC",F671="GWC",F671="OWC_TRANSITION",F671="GOC_TRANSITION"),IF(L671&gt;=K671,"Supports","Conflicts"),"N/A"),"No Sw"))</f>
        <v/>
      </c>
      <c r="O671" s="20">
        <f>IF(G671="","",Settings!$B$6*IF(OR(F671="GOC",F671="OWC",F671="GWC"),1,0.7)+Settings!$B$7*IF(N671="Supports",1,IF(N671="Conflicts",0,0.5))+Settings!$B$8*IF(AND(Master_Data!R671&lt;&gt;"",Master_Data!S671&lt;&gt;"",Master_Data!R672&lt;&gt;"",Master_Data!S672&lt;&gt;""),1,0.5))</f>
        <v/>
      </c>
      <c r="P671" s="19">
        <f>IF(G671="","",IF(N671="Conflicts","SW_CONFLICT",IF(OR(F671="GOC",F671="OWC",F671="GWC"),"DIRECT_FLUID_TRANSITION","TRANSITION_INTERVAL")))</f>
        <v/>
      </c>
      <c r="Q671" s="19">
        <f>IF(G671="","",IF(N671="Conflicts","Investigate contact interpretation / saturation behaviour",IF(OR(F671="OWC",F671="GOC",F671="GWC"),"Candidate contact — validate with logs, pressure and dynamic evidence","Transition zone — do not force to a sharp contact")))</f>
        <v/>
      </c>
    </row>
    <row r="672">
      <c r="A672" s="19">
        <f>IF(AND(Master_Data!A672&lt;&gt;"",Master_Data!A672=Master_Data!A673),Master_Data!A672,"")</f>
        <v/>
      </c>
      <c r="B672" s="19">
        <f>IF($A672="","",Master_Data!B672)</f>
        <v/>
      </c>
      <c r="C672" s="19">
        <f>IF($A672="","",Master_Data!B673)</f>
        <v/>
      </c>
      <c r="D672" s="19">
        <f>IF($A672="","",Master_Data!Q672)</f>
        <v/>
      </c>
      <c r="E672" s="19">
        <f>IF($A672="","",Master_Data!Q673)</f>
        <v/>
      </c>
      <c r="F672" s="19">
        <f>IF($A672="","",IF(AND(D672="GAS",E672="OIL"),"GOC",IF(AND(D672="OIL",E672="WATER"),"OWC",IF(AND(D672="GAS",E672="WATER"),"GWC",IF(AND(D672="OIL",E672="OIL_WATER"),"OWC_TRANSITION",IF(AND(D672="OIL_WATER",E672="WATER"),"OWC_TRANSITION",IF(AND(D672="GAS",E672="GAS_WATER"),"GOC_TRANSITION",IF(AND(D672="GAS_WATER",E672="OIL"),"GOC_TRANSITION",IF(OR(D672="OIL_WATER",D672="GAS_WATER"),"TRANSITION_INTERVAL","")))))))))</f>
        <v/>
      </c>
      <c r="G672" s="20">
        <f>IF(OR(F672="",Master_Data!R672="",Master_Data!S672=""),"",IF(RIGHT(F672,10)="TRANSITION",AVERAGE(Master_Data!R672:Master_Data!S672),AVERAGE(Master_Data!S672,Master_Data!R673)))</f>
        <v/>
      </c>
      <c r="H672" s="20">
        <f>IF(G672="","",MAX(Settings!$B$4,Settings!$B$5*AVERAGE(IF(Master_Data!O672&lt;&gt;"",Master_Data!O672,Master_Data!H672),IF(Master_Data!O673&lt;&gt;"",Master_Data!O673,Master_Data!H673))))</f>
        <v/>
      </c>
      <c r="I672" s="20">
        <f>IF(G672="","",G672-H672)</f>
        <v/>
      </c>
      <c r="J672" s="20">
        <f>IF(G672="","",G672+H672)</f>
        <v/>
      </c>
      <c r="K672" s="20">
        <f>IF($A672="","",Master_Data!G672)</f>
        <v/>
      </c>
      <c r="L672" s="20">
        <f>IF($A672="","",Master_Data!G673)</f>
        <v/>
      </c>
      <c r="M672" s="20">
        <f>IF(AND(ISNUMBER(K672),ISNUMBER(L672)),L672-K672,"")</f>
        <v/>
      </c>
      <c r="N672" s="19">
        <f>IF(G672="","",IF(AND(ISNUMBER(K672),ISNUMBER(L672)),IF(OR(F672="GOC",F672="OWC",F672="GWC",F672="OWC_TRANSITION",F672="GOC_TRANSITION"),IF(L672&gt;=K672,"Supports","Conflicts"),"N/A"),"No Sw"))</f>
        <v/>
      </c>
      <c r="O672" s="20">
        <f>IF(G672="","",Settings!$B$6*IF(OR(F672="GOC",F672="OWC",F672="GWC"),1,0.7)+Settings!$B$7*IF(N672="Supports",1,IF(N672="Conflicts",0,0.5))+Settings!$B$8*IF(AND(Master_Data!R672&lt;&gt;"",Master_Data!S672&lt;&gt;"",Master_Data!R673&lt;&gt;"",Master_Data!S673&lt;&gt;""),1,0.5))</f>
        <v/>
      </c>
      <c r="P672" s="19">
        <f>IF(G672="","",IF(N672="Conflicts","SW_CONFLICT",IF(OR(F672="GOC",F672="OWC",F672="GWC"),"DIRECT_FLUID_TRANSITION","TRANSITION_INTERVAL")))</f>
        <v/>
      </c>
      <c r="Q672" s="19">
        <f>IF(G672="","",IF(N672="Conflicts","Investigate contact interpretation / saturation behaviour",IF(OR(F672="OWC",F672="GOC",F672="GWC"),"Candidate contact — validate with logs, pressure and dynamic evidence","Transition zone — do not force to a sharp contact")))</f>
        <v/>
      </c>
    </row>
    <row r="673">
      <c r="A673" s="19">
        <f>IF(AND(Master_Data!A673&lt;&gt;"",Master_Data!A673=Master_Data!A674),Master_Data!A673,"")</f>
        <v/>
      </c>
      <c r="B673" s="19">
        <f>IF($A673="","",Master_Data!B673)</f>
        <v/>
      </c>
      <c r="C673" s="19">
        <f>IF($A673="","",Master_Data!B674)</f>
        <v/>
      </c>
      <c r="D673" s="19">
        <f>IF($A673="","",Master_Data!Q673)</f>
        <v/>
      </c>
      <c r="E673" s="19">
        <f>IF($A673="","",Master_Data!Q674)</f>
        <v/>
      </c>
      <c r="F673" s="19">
        <f>IF($A673="","",IF(AND(D673="GAS",E673="OIL"),"GOC",IF(AND(D673="OIL",E673="WATER"),"OWC",IF(AND(D673="GAS",E673="WATER"),"GWC",IF(AND(D673="OIL",E673="OIL_WATER"),"OWC_TRANSITION",IF(AND(D673="OIL_WATER",E673="WATER"),"OWC_TRANSITION",IF(AND(D673="GAS",E673="GAS_WATER"),"GOC_TRANSITION",IF(AND(D673="GAS_WATER",E673="OIL"),"GOC_TRANSITION",IF(OR(D673="OIL_WATER",D673="GAS_WATER"),"TRANSITION_INTERVAL","")))))))))</f>
        <v/>
      </c>
      <c r="G673" s="20">
        <f>IF(OR(F673="",Master_Data!R673="",Master_Data!S673=""),"",IF(RIGHT(F673,10)="TRANSITION",AVERAGE(Master_Data!R673:Master_Data!S673),AVERAGE(Master_Data!S673,Master_Data!R674)))</f>
        <v/>
      </c>
      <c r="H673" s="20">
        <f>IF(G673="","",MAX(Settings!$B$4,Settings!$B$5*AVERAGE(IF(Master_Data!O673&lt;&gt;"",Master_Data!O673,Master_Data!H673),IF(Master_Data!O674&lt;&gt;"",Master_Data!O674,Master_Data!H674))))</f>
        <v/>
      </c>
      <c r="I673" s="20">
        <f>IF(G673="","",G673-H673)</f>
        <v/>
      </c>
      <c r="J673" s="20">
        <f>IF(G673="","",G673+H673)</f>
        <v/>
      </c>
      <c r="K673" s="20">
        <f>IF($A673="","",Master_Data!G673)</f>
        <v/>
      </c>
      <c r="L673" s="20">
        <f>IF($A673="","",Master_Data!G674)</f>
        <v/>
      </c>
      <c r="M673" s="20">
        <f>IF(AND(ISNUMBER(K673),ISNUMBER(L673)),L673-K673,"")</f>
        <v/>
      </c>
      <c r="N673" s="19">
        <f>IF(G673="","",IF(AND(ISNUMBER(K673),ISNUMBER(L673)),IF(OR(F673="GOC",F673="OWC",F673="GWC",F673="OWC_TRANSITION",F673="GOC_TRANSITION"),IF(L673&gt;=K673,"Supports","Conflicts"),"N/A"),"No Sw"))</f>
        <v/>
      </c>
      <c r="O673" s="20">
        <f>IF(G673="","",Settings!$B$6*IF(OR(F673="GOC",F673="OWC",F673="GWC"),1,0.7)+Settings!$B$7*IF(N673="Supports",1,IF(N673="Conflicts",0,0.5))+Settings!$B$8*IF(AND(Master_Data!R673&lt;&gt;"",Master_Data!S673&lt;&gt;"",Master_Data!R674&lt;&gt;"",Master_Data!S674&lt;&gt;""),1,0.5))</f>
        <v/>
      </c>
      <c r="P673" s="19">
        <f>IF(G673="","",IF(N673="Conflicts","SW_CONFLICT",IF(OR(F673="GOC",F673="OWC",F673="GWC"),"DIRECT_FLUID_TRANSITION","TRANSITION_INTERVAL")))</f>
        <v/>
      </c>
      <c r="Q673" s="19">
        <f>IF(G673="","",IF(N673="Conflicts","Investigate contact interpretation / saturation behaviour",IF(OR(F673="OWC",F673="GOC",F673="GWC"),"Candidate contact — validate with logs, pressure and dynamic evidence","Transition zone — do not force to a sharp contact")))</f>
        <v/>
      </c>
    </row>
    <row r="674">
      <c r="A674" s="19">
        <f>IF(AND(Master_Data!A674&lt;&gt;"",Master_Data!A674=Master_Data!A675),Master_Data!A674,"")</f>
        <v/>
      </c>
      <c r="B674" s="19">
        <f>IF($A674="","",Master_Data!B674)</f>
        <v/>
      </c>
      <c r="C674" s="19">
        <f>IF($A674="","",Master_Data!B675)</f>
        <v/>
      </c>
      <c r="D674" s="19">
        <f>IF($A674="","",Master_Data!Q674)</f>
        <v/>
      </c>
      <c r="E674" s="19">
        <f>IF($A674="","",Master_Data!Q675)</f>
        <v/>
      </c>
      <c r="F674" s="19">
        <f>IF($A674="","",IF(AND(D674="GAS",E674="OIL"),"GOC",IF(AND(D674="OIL",E674="WATER"),"OWC",IF(AND(D674="GAS",E674="WATER"),"GWC",IF(AND(D674="OIL",E674="OIL_WATER"),"OWC_TRANSITION",IF(AND(D674="OIL_WATER",E674="WATER"),"OWC_TRANSITION",IF(AND(D674="GAS",E674="GAS_WATER"),"GOC_TRANSITION",IF(AND(D674="GAS_WATER",E674="OIL"),"GOC_TRANSITION",IF(OR(D674="OIL_WATER",D674="GAS_WATER"),"TRANSITION_INTERVAL","")))))))))</f>
        <v/>
      </c>
      <c r="G674" s="20">
        <f>IF(OR(F674="",Master_Data!R674="",Master_Data!S674=""),"",IF(RIGHT(F674,10)="TRANSITION",AVERAGE(Master_Data!R674:Master_Data!S674),AVERAGE(Master_Data!S674,Master_Data!R675)))</f>
        <v/>
      </c>
      <c r="H674" s="20">
        <f>IF(G674="","",MAX(Settings!$B$4,Settings!$B$5*AVERAGE(IF(Master_Data!O674&lt;&gt;"",Master_Data!O674,Master_Data!H674),IF(Master_Data!O675&lt;&gt;"",Master_Data!O675,Master_Data!H675))))</f>
        <v/>
      </c>
      <c r="I674" s="20">
        <f>IF(G674="","",G674-H674)</f>
        <v/>
      </c>
      <c r="J674" s="20">
        <f>IF(G674="","",G674+H674)</f>
        <v/>
      </c>
      <c r="K674" s="20">
        <f>IF($A674="","",Master_Data!G674)</f>
        <v/>
      </c>
      <c r="L674" s="20">
        <f>IF($A674="","",Master_Data!G675)</f>
        <v/>
      </c>
      <c r="M674" s="20">
        <f>IF(AND(ISNUMBER(K674),ISNUMBER(L674)),L674-K674,"")</f>
        <v/>
      </c>
      <c r="N674" s="19">
        <f>IF(G674="","",IF(AND(ISNUMBER(K674),ISNUMBER(L674)),IF(OR(F674="GOC",F674="OWC",F674="GWC",F674="OWC_TRANSITION",F674="GOC_TRANSITION"),IF(L674&gt;=K674,"Supports","Conflicts"),"N/A"),"No Sw"))</f>
        <v/>
      </c>
      <c r="O674" s="20">
        <f>IF(G674="","",Settings!$B$6*IF(OR(F674="GOC",F674="OWC",F674="GWC"),1,0.7)+Settings!$B$7*IF(N674="Supports",1,IF(N674="Conflicts",0,0.5))+Settings!$B$8*IF(AND(Master_Data!R674&lt;&gt;"",Master_Data!S674&lt;&gt;"",Master_Data!R675&lt;&gt;"",Master_Data!S675&lt;&gt;""),1,0.5))</f>
        <v/>
      </c>
      <c r="P674" s="19">
        <f>IF(G674="","",IF(N674="Conflicts","SW_CONFLICT",IF(OR(F674="GOC",F674="OWC",F674="GWC"),"DIRECT_FLUID_TRANSITION","TRANSITION_INTERVAL")))</f>
        <v/>
      </c>
      <c r="Q674" s="19">
        <f>IF(G674="","",IF(N674="Conflicts","Investigate contact interpretation / saturation behaviour",IF(OR(F674="OWC",F674="GOC",F674="GWC"),"Candidate contact — validate with logs, pressure and dynamic evidence","Transition zone — do not force to a sharp contact")))</f>
        <v/>
      </c>
    </row>
    <row r="675">
      <c r="A675" s="19">
        <f>IF(AND(Master_Data!A675&lt;&gt;"",Master_Data!A675=Master_Data!A676),Master_Data!A675,"")</f>
        <v/>
      </c>
      <c r="B675" s="19">
        <f>IF($A675="","",Master_Data!B675)</f>
        <v/>
      </c>
      <c r="C675" s="19">
        <f>IF($A675="","",Master_Data!B676)</f>
        <v/>
      </c>
      <c r="D675" s="19">
        <f>IF($A675="","",Master_Data!Q675)</f>
        <v/>
      </c>
      <c r="E675" s="19">
        <f>IF($A675="","",Master_Data!Q676)</f>
        <v/>
      </c>
      <c r="F675" s="19">
        <f>IF($A675="","",IF(AND(D675="GAS",E675="OIL"),"GOC",IF(AND(D675="OIL",E675="WATER"),"OWC",IF(AND(D675="GAS",E675="WATER"),"GWC",IF(AND(D675="OIL",E675="OIL_WATER"),"OWC_TRANSITION",IF(AND(D675="OIL_WATER",E675="WATER"),"OWC_TRANSITION",IF(AND(D675="GAS",E675="GAS_WATER"),"GOC_TRANSITION",IF(AND(D675="GAS_WATER",E675="OIL"),"GOC_TRANSITION",IF(OR(D675="OIL_WATER",D675="GAS_WATER"),"TRANSITION_INTERVAL","")))))))))</f>
        <v/>
      </c>
      <c r="G675" s="20">
        <f>IF(OR(F675="",Master_Data!R675="",Master_Data!S675=""),"",IF(RIGHT(F675,10)="TRANSITION",AVERAGE(Master_Data!R675:Master_Data!S675),AVERAGE(Master_Data!S675,Master_Data!R676)))</f>
        <v/>
      </c>
      <c r="H675" s="20">
        <f>IF(G675="","",MAX(Settings!$B$4,Settings!$B$5*AVERAGE(IF(Master_Data!O675&lt;&gt;"",Master_Data!O675,Master_Data!H675),IF(Master_Data!O676&lt;&gt;"",Master_Data!O676,Master_Data!H676))))</f>
        <v/>
      </c>
      <c r="I675" s="20">
        <f>IF(G675="","",G675-H675)</f>
        <v/>
      </c>
      <c r="J675" s="20">
        <f>IF(G675="","",G675+H675)</f>
        <v/>
      </c>
      <c r="K675" s="20">
        <f>IF($A675="","",Master_Data!G675)</f>
        <v/>
      </c>
      <c r="L675" s="20">
        <f>IF($A675="","",Master_Data!G676)</f>
        <v/>
      </c>
      <c r="M675" s="20">
        <f>IF(AND(ISNUMBER(K675),ISNUMBER(L675)),L675-K675,"")</f>
        <v/>
      </c>
      <c r="N675" s="19">
        <f>IF(G675="","",IF(AND(ISNUMBER(K675),ISNUMBER(L675)),IF(OR(F675="GOC",F675="OWC",F675="GWC",F675="OWC_TRANSITION",F675="GOC_TRANSITION"),IF(L675&gt;=K675,"Supports","Conflicts"),"N/A"),"No Sw"))</f>
        <v/>
      </c>
      <c r="O675" s="20">
        <f>IF(G675="","",Settings!$B$6*IF(OR(F675="GOC",F675="OWC",F675="GWC"),1,0.7)+Settings!$B$7*IF(N675="Supports",1,IF(N675="Conflicts",0,0.5))+Settings!$B$8*IF(AND(Master_Data!R675&lt;&gt;"",Master_Data!S675&lt;&gt;"",Master_Data!R676&lt;&gt;"",Master_Data!S676&lt;&gt;""),1,0.5))</f>
        <v/>
      </c>
      <c r="P675" s="19">
        <f>IF(G675="","",IF(N675="Conflicts","SW_CONFLICT",IF(OR(F675="GOC",F675="OWC",F675="GWC"),"DIRECT_FLUID_TRANSITION","TRANSITION_INTERVAL")))</f>
        <v/>
      </c>
      <c r="Q675" s="19">
        <f>IF(G675="","",IF(N675="Conflicts","Investigate contact interpretation / saturation behaviour",IF(OR(F675="OWC",F675="GOC",F675="GWC"),"Candidate contact — validate with logs, pressure and dynamic evidence","Transition zone — do not force to a sharp contact")))</f>
        <v/>
      </c>
    </row>
    <row r="676">
      <c r="A676" s="19">
        <f>IF(AND(Master_Data!A676&lt;&gt;"",Master_Data!A676=Master_Data!A677),Master_Data!A676,"")</f>
        <v/>
      </c>
      <c r="B676" s="19">
        <f>IF($A676="","",Master_Data!B676)</f>
        <v/>
      </c>
      <c r="C676" s="19">
        <f>IF($A676="","",Master_Data!B677)</f>
        <v/>
      </c>
      <c r="D676" s="19">
        <f>IF($A676="","",Master_Data!Q676)</f>
        <v/>
      </c>
      <c r="E676" s="19">
        <f>IF($A676="","",Master_Data!Q677)</f>
        <v/>
      </c>
      <c r="F676" s="19">
        <f>IF($A676="","",IF(AND(D676="GAS",E676="OIL"),"GOC",IF(AND(D676="OIL",E676="WATER"),"OWC",IF(AND(D676="GAS",E676="WATER"),"GWC",IF(AND(D676="OIL",E676="OIL_WATER"),"OWC_TRANSITION",IF(AND(D676="OIL_WATER",E676="WATER"),"OWC_TRANSITION",IF(AND(D676="GAS",E676="GAS_WATER"),"GOC_TRANSITION",IF(AND(D676="GAS_WATER",E676="OIL"),"GOC_TRANSITION",IF(OR(D676="OIL_WATER",D676="GAS_WATER"),"TRANSITION_INTERVAL","")))))))))</f>
        <v/>
      </c>
      <c r="G676" s="20">
        <f>IF(OR(F676="",Master_Data!R676="",Master_Data!S676=""),"",IF(RIGHT(F676,10)="TRANSITION",AVERAGE(Master_Data!R676:Master_Data!S676),AVERAGE(Master_Data!S676,Master_Data!R677)))</f>
        <v/>
      </c>
      <c r="H676" s="20">
        <f>IF(G676="","",MAX(Settings!$B$4,Settings!$B$5*AVERAGE(IF(Master_Data!O676&lt;&gt;"",Master_Data!O676,Master_Data!H676),IF(Master_Data!O677&lt;&gt;"",Master_Data!O677,Master_Data!H677))))</f>
        <v/>
      </c>
      <c r="I676" s="20">
        <f>IF(G676="","",G676-H676)</f>
        <v/>
      </c>
      <c r="J676" s="20">
        <f>IF(G676="","",G676+H676)</f>
        <v/>
      </c>
      <c r="K676" s="20">
        <f>IF($A676="","",Master_Data!G676)</f>
        <v/>
      </c>
      <c r="L676" s="20">
        <f>IF($A676="","",Master_Data!G677)</f>
        <v/>
      </c>
      <c r="M676" s="20">
        <f>IF(AND(ISNUMBER(K676),ISNUMBER(L676)),L676-K676,"")</f>
        <v/>
      </c>
      <c r="N676" s="19">
        <f>IF(G676="","",IF(AND(ISNUMBER(K676),ISNUMBER(L676)),IF(OR(F676="GOC",F676="OWC",F676="GWC",F676="OWC_TRANSITION",F676="GOC_TRANSITION"),IF(L676&gt;=K676,"Supports","Conflicts"),"N/A"),"No Sw"))</f>
        <v/>
      </c>
      <c r="O676" s="20">
        <f>IF(G676="","",Settings!$B$6*IF(OR(F676="GOC",F676="OWC",F676="GWC"),1,0.7)+Settings!$B$7*IF(N676="Supports",1,IF(N676="Conflicts",0,0.5))+Settings!$B$8*IF(AND(Master_Data!R676&lt;&gt;"",Master_Data!S676&lt;&gt;"",Master_Data!R677&lt;&gt;"",Master_Data!S677&lt;&gt;""),1,0.5))</f>
        <v/>
      </c>
      <c r="P676" s="19">
        <f>IF(G676="","",IF(N676="Conflicts","SW_CONFLICT",IF(OR(F676="GOC",F676="OWC",F676="GWC"),"DIRECT_FLUID_TRANSITION","TRANSITION_INTERVAL")))</f>
        <v/>
      </c>
      <c r="Q676" s="19">
        <f>IF(G676="","",IF(N676="Conflicts","Investigate contact interpretation / saturation behaviour",IF(OR(F676="OWC",F676="GOC",F676="GWC"),"Candidate contact — validate with logs, pressure and dynamic evidence","Transition zone — do not force to a sharp contact")))</f>
        <v/>
      </c>
    </row>
    <row r="677">
      <c r="A677" s="19">
        <f>IF(AND(Master_Data!A677&lt;&gt;"",Master_Data!A677=Master_Data!A678),Master_Data!A677,"")</f>
        <v/>
      </c>
      <c r="B677" s="19">
        <f>IF($A677="","",Master_Data!B677)</f>
        <v/>
      </c>
      <c r="C677" s="19">
        <f>IF($A677="","",Master_Data!B678)</f>
        <v/>
      </c>
      <c r="D677" s="19">
        <f>IF($A677="","",Master_Data!Q677)</f>
        <v/>
      </c>
      <c r="E677" s="19">
        <f>IF($A677="","",Master_Data!Q678)</f>
        <v/>
      </c>
      <c r="F677" s="19">
        <f>IF($A677="","",IF(AND(D677="GAS",E677="OIL"),"GOC",IF(AND(D677="OIL",E677="WATER"),"OWC",IF(AND(D677="GAS",E677="WATER"),"GWC",IF(AND(D677="OIL",E677="OIL_WATER"),"OWC_TRANSITION",IF(AND(D677="OIL_WATER",E677="WATER"),"OWC_TRANSITION",IF(AND(D677="GAS",E677="GAS_WATER"),"GOC_TRANSITION",IF(AND(D677="GAS_WATER",E677="OIL"),"GOC_TRANSITION",IF(OR(D677="OIL_WATER",D677="GAS_WATER"),"TRANSITION_INTERVAL","")))))))))</f>
        <v/>
      </c>
      <c r="G677" s="20">
        <f>IF(OR(F677="",Master_Data!R677="",Master_Data!S677=""),"",IF(RIGHT(F677,10)="TRANSITION",AVERAGE(Master_Data!R677:Master_Data!S677),AVERAGE(Master_Data!S677,Master_Data!R678)))</f>
        <v/>
      </c>
      <c r="H677" s="20">
        <f>IF(G677="","",MAX(Settings!$B$4,Settings!$B$5*AVERAGE(IF(Master_Data!O677&lt;&gt;"",Master_Data!O677,Master_Data!H677),IF(Master_Data!O678&lt;&gt;"",Master_Data!O678,Master_Data!H678))))</f>
        <v/>
      </c>
      <c r="I677" s="20">
        <f>IF(G677="","",G677-H677)</f>
        <v/>
      </c>
      <c r="J677" s="20">
        <f>IF(G677="","",G677+H677)</f>
        <v/>
      </c>
      <c r="K677" s="20">
        <f>IF($A677="","",Master_Data!G677)</f>
        <v/>
      </c>
      <c r="L677" s="20">
        <f>IF($A677="","",Master_Data!G678)</f>
        <v/>
      </c>
      <c r="M677" s="20">
        <f>IF(AND(ISNUMBER(K677),ISNUMBER(L677)),L677-K677,"")</f>
        <v/>
      </c>
      <c r="N677" s="19">
        <f>IF(G677="","",IF(AND(ISNUMBER(K677),ISNUMBER(L677)),IF(OR(F677="GOC",F677="OWC",F677="GWC",F677="OWC_TRANSITION",F677="GOC_TRANSITION"),IF(L677&gt;=K677,"Supports","Conflicts"),"N/A"),"No Sw"))</f>
        <v/>
      </c>
      <c r="O677" s="20">
        <f>IF(G677="","",Settings!$B$6*IF(OR(F677="GOC",F677="OWC",F677="GWC"),1,0.7)+Settings!$B$7*IF(N677="Supports",1,IF(N677="Conflicts",0,0.5))+Settings!$B$8*IF(AND(Master_Data!R677&lt;&gt;"",Master_Data!S677&lt;&gt;"",Master_Data!R678&lt;&gt;"",Master_Data!S678&lt;&gt;""),1,0.5))</f>
        <v/>
      </c>
      <c r="P677" s="19">
        <f>IF(G677="","",IF(N677="Conflicts","SW_CONFLICT",IF(OR(F677="GOC",F677="OWC",F677="GWC"),"DIRECT_FLUID_TRANSITION","TRANSITION_INTERVAL")))</f>
        <v/>
      </c>
      <c r="Q677" s="19">
        <f>IF(G677="","",IF(N677="Conflicts","Investigate contact interpretation / saturation behaviour",IF(OR(F677="OWC",F677="GOC",F677="GWC"),"Candidate contact — validate with logs, pressure and dynamic evidence","Transition zone — do not force to a sharp contact")))</f>
        <v/>
      </c>
    </row>
    <row r="678">
      <c r="A678" s="19">
        <f>IF(AND(Master_Data!A678&lt;&gt;"",Master_Data!A678=Master_Data!A679),Master_Data!A678,"")</f>
        <v/>
      </c>
      <c r="B678" s="19">
        <f>IF($A678="","",Master_Data!B678)</f>
        <v/>
      </c>
      <c r="C678" s="19">
        <f>IF($A678="","",Master_Data!B679)</f>
        <v/>
      </c>
      <c r="D678" s="19">
        <f>IF($A678="","",Master_Data!Q678)</f>
        <v/>
      </c>
      <c r="E678" s="19">
        <f>IF($A678="","",Master_Data!Q679)</f>
        <v/>
      </c>
      <c r="F678" s="19">
        <f>IF($A678="","",IF(AND(D678="GAS",E678="OIL"),"GOC",IF(AND(D678="OIL",E678="WATER"),"OWC",IF(AND(D678="GAS",E678="WATER"),"GWC",IF(AND(D678="OIL",E678="OIL_WATER"),"OWC_TRANSITION",IF(AND(D678="OIL_WATER",E678="WATER"),"OWC_TRANSITION",IF(AND(D678="GAS",E678="GAS_WATER"),"GOC_TRANSITION",IF(AND(D678="GAS_WATER",E678="OIL"),"GOC_TRANSITION",IF(OR(D678="OIL_WATER",D678="GAS_WATER"),"TRANSITION_INTERVAL","")))))))))</f>
        <v/>
      </c>
      <c r="G678" s="20">
        <f>IF(OR(F678="",Master_Data!R678="",Master_Data!S678=""),"",IF(RIGHT(F678,10)="TRANSITION",AVERAGE(Master_Data!R678:Master_Data!S678),AVERAGE(Master_Data!S678,Master_Data!R679)))</f>
        <v/>
      </c>
      <c r="H678" s="20">
        <f>IF(G678="","",MAX(Settings!$B$4,Settings!$B$5*AVERAGE(IF(Master_Data!O678&lt;&gt;"",Master_Data!O678,Master_Data!H678),IF(Master_Data!O679&lt;&gt;"",Master_Data!O679,Master_Data!H679))))</f>
        <v/>
      </c>
      <c r="I678" s="20">
        <f>IF(G678="","",G678-H678)</f>
        <v/>
      </c>
      <c r="J678" s="20">
        <f>IF(G678="","",G678+H678)</f>
        <v/>
      </c>
      <c r="K678" s="20">
        <f>IF($A678="","",Master_Data!G678)</f>
        <v/>
      </c>
      <c r="L678" s="20">
        <f>IF($A678="","",Master_Data!G679)</f>
        <v/>
      </c>
      <c r="M678" s="20">
        <f>IF(AND(ISNUMBER(K678),ISNUMBER(L678)),L678-K678,"")</f>
        <v/>
      </c>
      <c r="N678" s="19">
        <f>IF(G678="","",IF(AND(ISNUMBER(K678),ISNUMBER(L678)),IF(OR(F678="GOC",F678="OWC",F678="GWC",F678="OWC_TRANSITION",F678="GOC_TRANSITION"),IF(L678&gt;=K678,"Supports","Conflicts"),"N/A"),"No Sw"))</f>
        <v/>
      </c>
      <c r="O678" s="20">
        <f>IF(G678="","",Settings!$B$6*IF(OR(F678="GOC",F678="OWC",F678="GWC"),1,0.7)+Settings!$B$7*IF(N678="Supports",1,IF(N678="Conflicts",0,0.5))+Settings!$B$8*IF(AND(Master_Data!R678&lt;&gt;"",Master_Data!S678&lt;&gt;"",Master_Data!R679&lt;&gt;"",Master_Data!S679&lt;&gt;""),1,0.5))</f>
        <v/>
      </c>
      <c r="P678" s="19">
        <f>IF(G678="","",IF(N678="Conflicts","SW_CONFLICT",IF(OR(F678="GOC",F678="OWC",F678="GWC"),"DIRECT_FLUID_TRANSITION","TRANSITION_INTERVAL")))</f>
        <v/>
      </c>
      <c r="Q678" s="19">
        <f>IF(G678="","",IF(N678="Conflicts","Investigate contact interpretation / saturation behaviour",IF(OR(F678="OWC",F678="GOC",F678="GWC"),"Candidate contact — validate with logs, pressure and dynamic evidence","Transition zone — do not force to a sharp contact")))</f>
        <v/>
      </c>
    </row>
    <row r="679">
      <c r="A679" s="19">
        <f>IF(AND(Master_Data!A679&lt;&gt;"",Master_Data!A679=Master_Data!A680),Master_Data!A679,"")</f>
        <v/>
      </c>
      <c r="B679" s="19">
        <f>IF($A679="","",Master_Data!B679)</f>
        <v/>
      </c>
      <c r="C679" s="19">
        <f>IF($A679="","",Master_Data!B680)</f>
        <v/>
      </c>
      <c r="D679" s="19">
        <f>IF($A679="","",Master_Data!Q679)</f>
        <v/>
      </c>
      <c r="E679" s="19">
        <f>IF($A679="","",Master_Data!Q680)</f>
        <v/>
      </c>
      <c r="F679" s="19">
        <f>IF($A679="","",IF(AND(D679="GAS",E679="OIL"),"GOC",IF(AND(D679="OIL",E679="WATER"),"OWC",IF(AND(D679="GAS",E679="WATER"),"GWC",IF(AND(D679="OIL",E679="OIL_WATER"),"OWC_TRANSITION",IF(AND(D679="OIL_WATER",E679="WATER"),"OWC_TRANSITION",IF(AND(D679="GAS",E679="GAS_WATER"),"GOC_TRANSITION",IF(AND(D679="GAS_WATER",E679="OIL"),"GOC_TRANSITION",IF(OR(D679="OIL_WATER",D679="GAS_WATER"),"TRANSITION_INTERVAL","")))))))))</f>
        <v/>
      </c>
      <c r="G679" s="20">
        <f>IF(OR(F679="",Master_Data!R679="",Master_Data!S679=""),"",IF(RIGHT(F679,10)="TRANSITION",AVERAGE(Master_Data!R679:Master_Data!S679),AVERAGE(Master_Data!S679,Master_Data!R680)))</f>
        <v/>
      </c>
      <c r="H679" s="20">
        <f>IF(G679="","",MAX(Settings!$B$4,Settings!$B$5*AVERAGE(IF(Master_Data!O679&lt;&gt;"",Master_Data!O679,Master_Data!H679),IF(Master_Data!O680&lt;&gt;"",Master_Data!O680,Master_Data!H680))))</f>
        <v/>
      </c>
      <c r="I679" s="20">
        <f>IF(G679="","",G679-H679)</f>
        <v/>
      </c>
      <c r="J679" s="20">
        <f>IF(G679="","",G679+H679)</f>
        <v/>
      </c>
      <c r="K679" s="20">
        <f>IF($A679="","",Master_Data!G679)</f>
        <v/>
      </c>
      <c r="L679" s="20">
        <f>IF($A679="","",Master_Data!G680)</f>
        <v/>
      </c>
      <c r="M679" s="20">
        <f>IF(AND(ISNUMBER(K679),ISNUMBER(L679)),L679-K679,"")</f>
        <v/>
      </c>
      <c r="N679" s="19">
        <f>IF(G679="","",IF(AND(ISNUMBER(K679),ISNUMBER(L679)),IF(OR(F679="GOC",F679="OWC",F679="GWC",F679="OWC_TRANSITION",F679="GOC_TRANSITION"),IF(L679&gt;=K679,"Supports","Conflicts"),"N/A"),"No Sw"))</f>
        <v/>
      </c>
      <c r="O679" s="20">
        <f>IF(G679="","",Settings!$B$6*IF(OR(F679="GOC",F679="OWC",F679="GWC"),1,0.7)+Settings!$B$7*IF(N679="Supports",1,IF(N679="Conflicts",0,0.5))+Settings!$B$8*IF(AND(Master_Data!R679&lt;&gt;"",Master_Data!S679&lt;&gt;"",Master_Data!R680&lt;&gt;"",Master_Data!S680&lt;&gt;""),1,0.5))</f>
        <v/>
      </c>
      <c r="P679" s="19">
        <f>IF(G679="","",IF(N679="Conflicts","SW_CONFLICT",IF(OR(F679="GOC",F679="OWC",F679="GWC"),"DIRECT_FLUID_TRANSITION","TRANSITION_INTERVAL")))</f>
        <v/>
      </c>
      <c r="Q679" s="19">
        <f>IF(G679="","",IF(N679="Conflicts","Investigate contact interpretation / saturation behaviour",IF(OR(F679="OWC",F679="GOC",F679="GWC"),"Candidate contact — validate with logs, pressure and dynamic evidence","Transition zone — do not force to a sharp contact")))</f>
        <v/>
      </c>
    </row>
    <row r="680">
      <c r="A680" s="19">
        <f>IF(AND(Master_Data!A680&lt;&gt;"",Master_Data!A680=Master_Data!A681),Master_Data!A680,"")</f>
        <v/>
      </c>
      <c r="B680" s="19">
        <f>IF($A680="","",Master_Data!B680)</f>
        <v/>
      </c>
      <c r="C680" s="19">
        <f>IF($A680="","",Master_Data!B681)</f>
        <v/>
      </c>
      <c r="D680" s="19">
        <f>IF($A680="","",Master_Data!Q680)</f>
        <v/>
      </c>
      <c r="E680" s="19">
        <f>IF($A680="","",Master_Data!Q681)</f>
        <v/>
      </c>
      <c r="F680" s="19">
        <f>IF($A680="","",IF(AND(D680="GAS",E680="OIL"),"GOC",IF(AND(D680="OIL",E680="WATER"),"OWC",IF(AND(D680="GAS",E680="WATER"),"GWC",IF(AND(D680="OIL",E680="OIL_WATER"),"OWC_TRANSITION",IF(AND(D680="OIL_WATER",E680="WATER"),"OWC_TRANSITION",IF(AND(D680="GAS",E680="GAS_WATER"),"GOC_TRANSITION",IF(AND(D680="GAS_WATER",E680="OIL"),"GOC_TRANSITION",IF(OR(D680="OIL_WATER",D680="GAS_WATER"),"TRANSITION_INTERVAL","")))))))))</f>
        <v/>
      </c>
      <c r="G680" s="20">
        <f>IF(OR(F680="",Master_Data!R680="",Master_Data!S680=""),"",IF(RIGHT(F680,10)="TRANSITION",AVERAGE(Master_Data!R680:Master_Data!S680),AVERAGE(Master_Data!S680,Master_Data!R681)))</f>
        <v/>
      </c>
      <c r="H680" s="20">
        <f>IF(G680="","",MAX(Settings!$B$4,Settings!$B$5*AVERAGE(IF(Master_Data!O680&lt;&gt;"",Master_Data!O680,Master_Data!H680),IF(Master_Data!O681&lt;&gt;"",Master_Data!O681,Master_Data!H681))))</f>
        <v/>
      </c>
      <c r="I680" s="20">
        <f>IF(G680="","",G680-H680)</f>
        <v/>
      </c>
      <c r="J680" s="20">
        <f>IF(G680="","",G680+H680)</f>
        <v/>
      </c>
      <c r="K680" s="20">
        <f>IF($A680="","",Master_Data!G680)</f>
        <v/>
      </c>
      <c r="L680" s="20">
        <f>IF($A680="","",Master_Data!G681)</f>
        <v/>
      </c>
      <c r="M680" s="20">
        <f>IF(AND(ISNUMBER(K680),ISNUMBER(L680)),L680-K680,"")</f>
        <v/>
      </c>
      <c r="N680" s="19">
        <f>IF(G680="","",IF(AND(ISNUMBER(K680),ISNUMBER(L680)),IF(OR(F680="GOC",F680="OWC",F680="GWC",F680="OWC_TRANSITION",F680="GOC_TRANSITION"),IF(L680&gt;=K680,"Supports","Conflicts"),"N/A"),"No Sw"))</f>
        <v/>
      </c>
      <c r="O680" s="20">
        <f>IF(G680="","",Settings!$B$6*IF(OR(F680="GOC",F680="OWC",F680="GWC"),1,0.7)+Settings!$B$7*IF(N680="Supports",1,IF(N680="Conflicts",0,0.5))+Settings!$B$8*IF(AND(Master_Data!R680&lt;&gt;"",Master_Data!S680&lt;&gt;"",Master_Data!R681&lt;&gt;"",Master_Data!S681&lt;&gt;""),1,0.5))</f>
        <v/>
      </c>
      <c r="P680" s="19">
        <f>IF(G680="","",IF(N680="Conflicts","SW_CONFLICT",IF(OR(F680="GOC",F680="OWC",F680="GWC"),"DIRECT_FLUID_TRANSITION","TRANSITION_INTERVAL")))</f>
        <v/>
      </c>
      <c r="Q680" s="19">
        <f>IF(G680="","",IF(N680="Conflicts","Investigate contact interpretation / saturation behaviour",IF(OR(F680="OWC",F680="GOC",F680="GWC"),"Candidate contact — validate with logs, pressure and dynamic evidence","Transition zone — do not force to a sharp contact")))</f>
        <v/>
      </c>
    </row>
    <row r="681">
      <c r="A681" s="19">
        <f>IF(AND(Master_Data!A681&lt;&gt;"",Master_Data!A681=Master_Data!A682),Master_Data!A681,"")</f>
        <v/>
      </c>
      <c r="B681" s="19">
        <f>IF($A681="","",Master_Data!B681)</f>
        <v/>
      </c>
      <c r="C681" s="19">
        <f>IF($A681="","",Master_Data!B682)</f>
        <v/>
      </c>
      <c r="D681" s="19">
        <f>IF($A681="","",Master_Data!Q681)</f>
        <v/>
      </c>
      <c r="E681" s="19">
        <f>IF($A681="","",Master_Data!Q682)</f>
        <v/>
      </c>
      <c r="F681" s="19">
        <f>IF($A681="","",IF(AND(D681="GAS",E681="OIL"),"GOC",IF(AND(D681="OIL",E681="WATER"),"OWC",IF(AND(D681="GAS",E681="WATER"),"GWC",IF(AND(D681="OIL",E681="OIL_WATER"),"OWC_TRANSITION",IF(AND(D681="OIL_WATER",E681="WATER"),"OWC_TRANSITION",IF(AND(D681="GAS",E681="GAS_WATER"),"GOC_TRANSITION",IF(AND(D681="GAS_WATER",E681="OIL"),"GOC_TRANSITION",IF(OR(D681="OIL_WATER",D681="GAS_WATER"),"TRANSITION_INTERVAL","")))))))))</f>
        <v/>
      </c>
      <c r="G681" s="20">
        <f>IF(OR(F681="",Master_Data!R681="",Master_Data!S681=""),"",IF(RIGHT(F681,10)="TRANSITION",AVERAGE(Master_Data!R681:Master_Data!S681),AVERAGE(Master_Data!S681,Master_Data!R682)))</f>
        <v/>
      </c>
      <c r="H681" s="20">
        <f>IF(G681="","",MAX(Settings!$B$4,Settings!$B$5*AVERAGE(IF(Master_Data!O681&lt;&gt;"",Master_Data!O681,Master_Data!H681),IF(Master_Data!O682&lt;&gt;"",Master_Data!O682,Master_Data!H682))))</f>
        <v/>
      </c>
      <c r="I681" s="20">
        <f>IF(G681="","",G681-H681)</f>
        <v/>
      </c>
      <c r="J681" s="20">
        <f>IF(G681="","",G681+H681)</f>
        <v/>
      </c>
      <c r="K681" s="20">
        <f>IF($A681="","",Master_Data!G681)</f>
        <v/>
      </c>
      <c r="L681" s="20">
        <f>IF($A681="","",Master_Data!G682)</f>
        <v/>
      </c>
      <c r="M681" s="20">
        <f>IF(AND(ISNUMBER(K681),ISNUMBER(L681)),L681-K681,"")</f>
        <v/>
      </c>
      <c r="N681" s="19">
        <f>IF(G681="","",IF(AND(ISNUMBER(K681),ISNUMBER(L681)),IF(OR(F681="GOC",F681="OWC",F681="GWC",F681="OWC_TRANSITION",F681="GOC_TRANSITION"),IF(L681&gt;=K681,"Supports","Conflicts"),"N/A"),"No Sw"))</f>
        <v/>
      </c>
      <c r="O681" s="20">
        <f>IF(G681="","",Settings!$B$6*IF(OR(F681="GOC",F681="OWC",F681="GWC"),1,0.7)+Settings!$B$7*IF(N681="Supports",1,IF(N681="Conflicts",0,0.5))+Settings!$B$8*IF(AND(Master_Data!R681&lt;&gt;"",Master_Data!S681&lt;&gt;"",Master_Data!R682&lt;&gt;"",Master_Data!S682&lt;&gt;""),1,0.5))</f>
        <v/>
      </c>
      <c r="P681" s="19">
        <f>IF(G681="","",IF(N681="Conflicts","SW_CONFLICT",IF(OR(F681="GOC",F681="OWC",F681="GWC"),"DIRECT_FLUID_TRANSITION","TRANSITION_INTERVAL")))</f>
        <v/>
      </c>
      <c r="Q681" s="19">
        <f>IF(G681="","",IF(N681="Conflicts","Investigate contact interpretation / saturation behaviour",IF(OR(F681="OWC",F681="GOC",F681="GWC"),"Candidate contact — validate with logs, pressure and dynamic evidence","Transition zone — do not force to a sharp contact")))</f>
        <v/>
      </c>
    </row>
    <row r="682">
      <c r="A682" s="19">
        <f>IF(AND(Master_Data!A682&lt;&gt;"",Master_Data!A682=Master_Data!A683),Master_Data!A682,"")</f>
        <v/>
      </c>
      <c r="B682" s="19">
        <f>IF($A682="","",Master_Data!B682)</f>
        <v/>
      </c>
      <c r="C682" s="19">
        <f>IF($A682="","",Master_Data!B683)</f>
        <v/>
      </c>
      <c r="D682" s="19">
        <f>IF($A682="","",Master_Data!Q682)</f>
        <v/>
      </c>
      <c r="E682" s="19">
        <f>IF($A682="","",Master_Data!Q683)</f>
        <v/>
      </c>
      <c r="F682" s="19">
        <f>IF($A682="","",IF(AND(D682="GAS",E682="OIL"),"GOC",IF(AND(D682="OIL",E682="WATER"),"OWC",IF(AND(D682="GAS",E682="WATER"),"GWC",IF(AND(D682="OIL",E682="OIL_WATER"),"OWC_TRANSITION",IF(AND(D682="OIL_WATER",E682="WATER"),"OWC_TRANSITION",IF(AND(D682="GAS",E682="GAS_WATER"),"GOC_TRANSITION",IF(AND(D682="GAS_WATER",E682="OIL"),"GOC_TRANSITION",IF(OR(D682="OIL_WATER",D682="GAS_WATER"),"TRANSITION_INTERVAL","")))))))))</f>
        <v/>
      </c>
      <c r="G682" s="20">
        <f>IF(OR(F682="",Master_Data!R682="",Master_Data!S682=""),"",IF(RIGHT(F682,10)="TRANSITION",AVERAGE(Master_Data!R682:Master_Data!S682),AVERAGE(Master_Data!S682,Master_Data!R683)))</f>
        <v/>
      </c>
      <c r="H682" s="20">
        <f>IF(G682="","",MAX(Settings!$B$4,Settings!$B$5*AVERAGE(IF(Master_Data!O682&lt;&gt;"",Master_Data!O682,Master_Data!H682),IF(Master_Data!O683&lt;&gt;"",Master_Data!O683,Master_Data!H683))))</f>
        <v/>
      </c>
      <c r="I682" s="20">
        <f>IF(G682="","",G682-H682)</f>
        <v/>
      </c>
      <c r="J682" s="20">
        <f>IF(G682="","",G682+H682)</f>
        <v/>
      </c>
      <c r="K682" s="20">
        <f>IF($A682="","",Master_Data!G682)</f>
        <v/>
      </c>
      <c r="L682" s="20">
        <f>IF($A682="","",Master_Data!G683)</f>
        <v/>
      </c>
      <c r="M682" s="20">
        <f>IF(AND(ISNUMBER(K682),ISNUMBER(L682)),L682-K682,"")</f>
        <v/>
      </c>
      <c r="N682" s="19">
        <f>IF(G682="","",IF(AND(ISNUMBER(K682),ISNUMBER(L682)),IF(OR(F682="GOC",F682="OWC",F682="GWC",F682="OWC_TRANSITION",F682="GOC_TRANSITION"),IF(L682&gt;=K682,"Supports","Conflicts"),"N/A"),"No Sw"))</f>
        <v/>
      </c>
      <c r="O682" s="20">
        <f>IF(G682="","",Settings!$B$6*IF(OR(F682="GOC",F682="OWC",F682="GWC"),1,0.7)+Settings!$B$7*IF(N682="Supports",1,IF(N682="Conflicts",0,0.5))+Settings!$B$8*IF(AND(Master_Data!R682&lt;&gt;"",Master_Data!S682&lt;&gt;"",Master_Data!R683&lt;&gt;"",Master_Data!S683&lt;&gt;""),1,0.5))</f>
        <v/>
      </c>
      <c r="P682" s="19">
        <f>IF(G682="","",IF(N682="Conflicts","SW_CONFLICT",IF(OR(F682="GOC",F682="OWC",F682="GWC"),"DIRECT_FLUID_TRANSITION","TRANSITION_INTERVAL")))</f>
        <v/>
      </c>
      <c r="Q682" s="19">
        <f>IF(G682="","",IF(N682="Conflicts","Investigate contact interpretation / saturation behaviour",IF(OR(F682="OWC",F682="GOC",F682="GWC"),"Candidate contact — validate with logs, pressure and dynamic evidence","Transition zone — do not force to a sharp contact")))</f>
        <v/>
      </c>
    </row>
    <row r="683">
      <c r="A683" s="19">
        <f>IF(AND(Master_Data!A683&lt;&gt;"",Master_Data!A683=Master_Data!A684),Master_Data!A683,"")</f>
        <v/>
      </c>
      <c r="B683" s="19">
        <f>IF($A683="","",Master_Data!B683)</f>
        <v/>
      </c>
      <c r="C683" s="19">
        <f>IF($A683="","",Master_Data!B684)</f>
        <v/>
      </c>
      <c r="D683" s="19">
        <f>IF($A683="","",Master_Data!Q683)</f>
        <v/>
      </c>
      <c r="E683" s="19">
        <f>IF($A683="","",Master_Data!Q684)</f>
        <v/>
      </c>
      <c r="F683" s="19">
        <f>IF($A683="","",IF(AND(D683="GAS",E683="OIL"),"GOC",IF(AND(D683="OIL",E683="WATER"),"OWC",IF(AND(D683="GAS",E683="WATER"),"GWC",IF(AND(D683="OIL",E683="OIL_WATER"),"OWC_TRANSITION",IF(AND(D683="OIL_WATER",E683="WATER"),"OWC_TRANSITION",IF(AND(D683="GAS",E683="GAS_WATER"),"GOC_TRANSITION",IF(AND(D683="GAS_WATER",E683="OIL"),"GOC_TRANSITION",IF(OR(D683="OIL_WATER",D683="GAS_WATER"),"TRANSITION_INTERVAL","")))))))))</f>
        <v/>
      </c>
      <c r="G683" s="20">
        <f>IF(OR(F683="",Master_Data!R683="",Master_Data!S683=""),"",IF(RIGHT(F683,10)="TRANSITION",AVERAGE(Master_Data!R683:Master_Data!S683),AVERAGE(Master_Data!S683,Master_Data!R684)))</f>
        <v/>
      </c>
      <c r="H683" s="20">
        <f>IF(G683="","",MAX(Settings!$B$4,Settings!$B$5*AVERAGE(IF(Master_Data!O683&lt;&gt;"",Master_Data!O683,Master_Data!H683),IF(Master_Data!O684&lt;&gt;"",Master_Data!O684,Master_Data!H684))))</f>
        <v/>
      </c>
      <c r="I683" s="20">
        <f>IF(G683="","",G683-H683)</f>
        <v/>
      </c>
      <c r="J683" s="20">
        <f>IF(G683="","",G683+H683)</f>
        <v/>
      </c>
      <c r="K683" s="20">
        <f>IF($A683="","",Master_Data!G683)</f>
        <v/>
      </c>
      <c r="L683" s="20">
        <f>IF($A683="","",Master_Data!G684)</f>
        <v/>
      </c>
      <c r="M683" s="20">
        <f>IF(AND(ISNUMBER(K683),ISNUMBER(L683)),L683-K683,"")</f>
        <v/>
      </c>
      <c r="N683" s="19">
        <f>IF(G683="","",IF(AND(ISNUMBER(K683),ISNUMBER(L683)),IF(OR(F683="GOC",F683="OWC",F683="GWC",F683="OWC_TRANSITION",F683="GOC_TRANSITION"),IF(L683&gt;=K683,"Supports","Conflicts"),"N/A"),"No Sw"))</f>
        <v/>
      </c>
      <c r="O683" s="20">
        <f>IF(G683="","",Settings!$B$6*IF(OR(F683="GOC",F683="OWC",F683="GWC"),1,0.7)+Settings!$B$7*IF(N683="Supports",1,IF(N683="Conflicts",0,0.5))+Settings!$B$8*IF(AND(Master_Data!R683&lt;&gt;"",Master_Data!S683&lt;&gt;"",Master_Data!R684&lt;&gt;"",Master_Data!S684&lt;&gt;""),1,0.5))</f>
        <v/>
      </c>
      <c r="P683" s="19">
        <f>IF(G683="","",IF(N683="Conflicts","SW_CONFLICT",IF(OR(F683="GOC",F683="OWC",F683="GWC"),"DIRECT_FLUID_TRANSITION","TRANSITION_INTERVAL")))</f>
        <v/>
      </c>
      <c r="Q683" s="19">
        <f>IF(G683="","",IF(N683="Conflicts","Investigate contact interpretation / saturation behaviour",IF(OR(F683="OWC",F683="GOC",F683="GWC"),"Candidate contact — validate with logs, pressure and dynamic evidence","Transition zone — do not force to a sharp contact")))</f>
        <v/>
      </c>
    </row>
    <row r="684">
      <c r="A684" s="19">
        <f>IF(AND(Master_Data!A684&lt;&gt;"",Master_Data!A684=Master_Data!A685),Master_Data!A684,"")</f>
        <v/>
      </c>
      <c r="B684" s="19">
        <f>IF($A684="","",Master_Data!B684)</f>
        <v/>
      </c>
      <c r="C684" s="19">
        <f>IF($A684="","",Master_Data!B685)</f>
        <v/>
      </c>
      <c r="D684" s="19">
        <f>IF($A684="","",Master_Data!Q684)</f>
        <v/>
      </c>
      <c r="E684" s="19">
        <f>IF($A684="","",Master_Data!Q685)</f>
        <v/>
      </c>
      <c r="F684" s="19">
        <f>IF($A684="","",IF(AND(D684="GAS",E684="OIL"),"GOC",IF(AND(D684="OIL",E684="WATER"),"OWC",IF(AND(D684="GAS",E684="WATER"),"GWC",IF(AND(D684="OIL",E684="OIL_WATER"),"OWC_TRANSITION",IF(AND(D684="OIL_WATER",E684="WATER"),"OWC_TRANSITION",IF(AND(D684="GAS",E684="GAS_WATER"),"GOC_TRANSITION",IF(AND(D684="GAS_WATER",E684="OIL"),"GOC_TRANSITION",IF(OR(D684="OIL_WATER",D684="GAS_WATER"),"TRANSITION_INTERVAL","")))))))))</f>
        <v/>
      </c>
      <c r="G684" s="20">
        <f>IF(OR(F684="",Master_Data!R684="",Master_Data!S684=""),"",IF(RIGHT(F684,10)="TRANSITION",AVERAGE(Master_Data!R684:Master_Data!S684),AVERAGE(Master_Data!S684,Master_Data!R685)))</f>
        <v/>
      </c>
      <c r="H684" s="20">
        <f>IF(G684="","",MAX(Settings!$B$4,Settings!$B$5*AVERAGE(IF(Master_Data!O684&lt;&gt;"",Master_Data!O684,Master_Data!H684),IF(Master_Data!O685&lt;&gt;"",Master_Data!O685,Master_Data!H685))))</f>
        <v/>
      </c>
      <c r="I684" s="20">
        <f>IF(G684="","",G684-H684)</f>
        <v/>
      </c>
      <c r="J684" s="20">
        <f>IF(G684="","",G684+H684)</f>
        <v/>
      </c>
      <c r="K684" s="20">
        <f>IF($A684="","",Master_Data!G684)</f>
        <v/>
      </c>
      <c r="L684" s="20">
        <f>IF($A684="","",Master_Data!G685)</f>
        <v/>
      </c>
      <c r="M684" s="20">
        <f>IF(AND(ISNUMBER(K684),ISNUMBER(L684)),L684-K684,"")</f>
        <v/>
      </c>
      <c r="N684" s="19">
        <f>IF(G684="","",IF(AND(ISNUMBER(K684),ISNUMBER(L684)),IF(OR(F684="GOC",F684="OWC",F684="GWC",F684="OWC_TRANSITION",F684="GOC_TRANSITION"),IF(L684&gt;=K684,"Supports","Conflicts"),"N/A"),"No Sw"))</f>
        <v/>
      </c>
      <c r="O684" s="20">
        <f>IF(G684="","",Settings!$B$6*IF(OR(F684="GOC",F684="OWC",F684="GWC"),1,0.7)+Settings!$B$7*IF(N684="Supports",1,IF(N684="Conflicts",0,0.5))+Settings!$B$8*IF(AND(Master_Data!R684&lt;&gt;"",Master_Data!S684&lt;&gt;"",Master_Data!R685&lt;&gt;"",Master_Data!S685&lt;&gt;""),1,0.5))</f>
        <v/>
      </c>
      <c r="P684" s="19">
        <f>IF(G684="","",IF(N684="Conflicts","SW_CONFLICT",IF(OR(F684="GOC",F684="OWC",F684="GWC"),"DIRECT_FLUID_TRANSITION","TRANSITION_INTERVAL")))</f>
        <v/>
      </c>
      <c r="Q684" s="19">
        <f>IF(G684="","",IF(N684="Conflicts","Investigate contact interpretation / saturation behaviour",IF(OR(F684="OWC",F684="GOC",F684="GWC"),"Candidate contact — validate with logs, pressure and dynamic evidence","Transition zone — do not force to a sharp contact")))</f>
        <v/>
      </c>
    </row>
    <row r="685">
      <c r="A685" s="19">
        <f>IF(AND(Master_Data!A685&lt;&gt;"",Master_Data!A685=Master_Data!A686),Master_Data!A685,"")</f>
        <v/>
      </c>
      <c r="B685" s="19">
        <f>IF($A685="","",Master_Data!B685)</f>
        <v/>
      </c>
      <c r="C685" s="19">
        <f>IF($A685="","",Master_Data!B686)</f>
        <v/>
      </c>
      <c r="D685" s="19">
        <f>IF($A685="","",Master_Data!Q685)</f>
        <v/>
      </c>
      <c r="E685" s="19">
        <f>IF($A685="","",Master_Data!Q686)</f>
        <v/>
      </c>
      <c r="F685" s="19">
        <f>IF($A685="","",IF(AND(D685="GAS",E685="OIL"),"GOC",IF(AND(D685="OIL",E685="WATER"),"OWC",IF(AND(D685="GAS",E685="WATER"),"GWC",IF(AND(D685="OIL",E685="OIL_WATER"),"OWC_TRANSITION",IF(AND(D685="OIL_WATER",E685="WATER"),"OWC_TRANSITION",IF(AND(D685="GAS",E685="GAS_WATER"),"GOC_TRANSITION",IF(AND(D685="GAS_WATER",E685="OIL"),"GOC_TRANSITION",IF(OR(D685="OIL_WATER",D685="GAS_WATER"),"TRANSITION_INTERVAL","")))))))))</f>
        <v/>
      </c>
      <c r="G685" s="20">
        <f>IF(OR(F685="",Master_Data!R685="",Master_Data!S685=""),"",IF(RIGHT(F685,10)="TRANSITION",AVERAGE(Master_Data!R685:Master_Data!S685),AVERAGE(Master_Data!S685,Master_Data!R686)))</f>
        <v/>
      </c>
      <c r="H685" s="20">
        <f>IF(G685="","",MAX(Settings!$B$4,Settings!$B$5*AVERAGE(IF(Master_Data!O685&lt;&gt;"",Master_Data!O685,Master_Data!H685),IF(Master_Data!O686&lt;&gt;"",Master_Data!O686,Master_Data!H686))))</f>
        <v/>
      </c>
      <c r="I685" s="20">
        <f>IF(G685="","",G685-H685)</f>
        <v/>
      </c>
      <c r="J685" s="20">
        <f>IF(G685="","",G685+H685)</f>
        <v/>
      </c>
      <c r="K685" s="20">
        <f>IF($A685="","",Master_Data!G685)</f>
        <v/>
      </c>
      <c r="L685" s="20">
        <f>IF($A685="","",Master_Data!G686)</f>
        <v/>
      </c>
      <c r="M685" s="20">
        <f>IF(AND(ISNUMBER(K685),ISNUMBER(L685)),L685-K685,"")</f>
        <v/>
      </c>
      <c r="N685" s="19">
        <f>IF(G685="","",IF(AND(ISNUMBER(K685),ISNUMBER(L685)),IF(OR(F685="GOC",F685="OWC",F685="GWC",F685="OWC_TRANSITION",F685="GOC_TRANSITION"),IF(L685&gt;=K685,"Supports","Conflicts"),"N/A"),"No Sw"))</f>
        <v/>
      </c>
      <c r="O685" s="20">
        <f>IF(G685="","",Settings!$B$6*IF(OR(F685="GOC",F685="OWC",F685="GWC"),1,0.7)+Settings!$B$7*IF(N685="Supports",1,IF(N685="Conflicts",0,0.5))+Settings!$B$8*IF(AND(Master_Data!R685&lt;&gt;"",Master_Data!S685&lt;&gt;"",Master_Data!R686&lt;&gt;"",Master_Data!S686&lt;&gt;""),1,0.5))</f>
        <v/>
      </c>
      <c r="P685" s="19">
        <f>IF(G685="","",IF(N685="Conflicts","SW_CONFLICT",IF(OR(F685="GOC",F685="OWC",F685="GWC"),"DIRECT_FLUID_TRANSITION","TRANSITION_INTERVAL")))</f>
        <v/>
      </c>
      <c r="Q685" s="19">
        <f>IF(G685="","",IF(N685="Conflicts","Investigate contact interpretation / saturation behaviour",IF(OR(F685="OWC",F685="GOC",F685="GWC"),"Candidate contact — validate with logs, pressure and dynamic evidence","Transition zone — do not force to a sharp contact")))</f>
        <v/>
      </c>
    </row>
    <row r="686">
      <c r="A686" s="19">
        <f>IF(AND(Master_Data!A686&lt;&gt;"",Master_Data!A686=Master_Data!A687),Master_Data!A686,"")</f>
        <v/>
      </c>
      <c r="B686" s="19">
        <f>IF($A686="","",Master_Data!B686)</f>
        <v/>
      </c>
      <c r="C686" s="19">
        <f>IF($A686="","",Master_Data!B687)</f>
        <v/>
      </c>
      <c r="D686" s="19">
        <f>IF($A686="","",Master_Data!Q686)</f>
        <v/>
      </c>
      <c r="E686" s="19">
        <f>IF($A686="","",Master_Data!Q687)</f>
        <v/>
      </c>
      <c r="F686" s="19">
        <f>IF($A686="","",IF(AND(D686="GAS",E686="OIL"),"GOC",IF(AND(D686="OIL",E686="WATER"),"OWC",IF(AND(D686="GAS",E686="WATER"),"GWC",IF(AND(D686="OIL",E686="OIL_WATER"),"OWC_TRANSITION",IF(AND(D686="OIL_WATER",E686="WATER"),"OWC_TRANSITION",IF(AND(D686="GAS",E686="GAS_WATER"),"GOC_TRANSITION",IF(AND(D686="GAS_WATER",E686="OIL"),"GOC_TRANSITION",IF(OR(D686="OIL_WATER",D686="GAS_WATER"),"TRANSITION_INTERVAL","")))))))))</f>
        <v/>
      </c>
      <c r="G686" s="20">
        <f>IF(OR(F686="",Master_Data!R686="",Master_Data!S686=""),"",IF(RIGHT(F686,10)="TRANSITION",AVERAGE(Master_Data!R686:Master_Data!S686),AVERAGE(Master_Data!S686,Master_Data!R687)))</f>
        <v/>
      </c>
      <c r="H686" s="20">
        <f>IF(G686="","",MAX(Settings!$B$4,Settings!$B$5*AVERAGE(IF(Master_Data!O686&lt;&gt;"",Master_Data!O686,Master_Data!H686),IF(Master_Data!O687&lt;&gt;"",Master_Data!O687,Master_Data!H687))))</f>
        <v/>
      </c>
      <c r="I686" s="20">
        <f>IF(G686="","",G686-H686)</f>
        <v/>
      </c>
      <c r="J686" s="20">
        <f>IF(G686="","",G686+H686)</f>
        <v/>
      </c>
      <c r="K686" s="20">
        <f>IF($A686="","",Master_Data!G686)</f>
        <v/>
      </c>
      <c r="L686" s="20">
        <f>IF($A686="","",Master_Data!G687)</f>
        <v/>
      </c>
      <c r="M686" s="20">
        <f>IF(AND(ISNUMBER(K686),ISNUMBER(L686)),L686-K686,"")</f>
        <v/>
      </c>
      <c r="N686" s="19">
        <f>IF(G686="","",IF(AND(ISNUMBER(K686),ISNUMBER(L686)),IF(OR(F686="GOC",F686="OWC",F686="GWC",F686="OWC_TRANSITION",F686="GOC_TRANSITION"),IF(L686&gt;=K686,"Supports","Conflicts"),"N/A"),"No Sw"))</f>
        <v/>
      </c>
      <c r="O686" s="20">
        <f>IF(G686="","",Settings!$B$6*IF(OR(F686="GOC",F686="OWC",F686="GWC"),1,0.7)+Settings!$B$7*IF(N686="Supports",1,IF(N686="Conflicts",0,0.5))+Settings!$B$8*IF(AND(Master_Data!R686&lt;&gt;"",Master_Data!S686&lt;&gt;"",Master_Data!R687&lt;&gt;"",Master_Data!S687&lt;&gt;""),1,0.5))</f>
        <v/>
      </c>
      <c r="P686" s="19">
        <f>IF(G686="","",IF(N686="Conflicts","SW_CONFLICT",IF(OR(F686="GOC",F686="OWC",F686="GWC"),"DIRECT_FLUID_TRANSITION","TRANSITION_INTERVAL")))</f>
        <v/>
      </c>
      <c r="Q686" s="19">
        <f>IF(G686="","",IF(N686="Conflicts","Investigate contact interpretation / saturation behaviour",IF(OR(F686="OWC",F686="GOC",F686="GWC"),"Candidate contact — validate with logs, pressure and dynamic evidence","Transition zone — do not force to a sharp contact")))</f>
        <v/>
      </c>
    </row>
    <row r="687">
      <c r="A687" s="19">
        <f>IF(AND(Master_Data!A687&lt;&gt;"",Master_Data!A687=Master_Data!A688),Master_Data!A687,"")</f>
        <v/>
      </c>
      <c r="B687" s="19">
        <f>IF($A687="","",Master_Data!B687)</f>
        <v/>
      </c>
      <c r="C687" s="19">
        <f>IF($A687="","",Master_Data!B688)</f>
        <v/>
      </c>
      <c r="D687" s="19">
        <f>IF($A687="","",Master_Data!Q687)</f>
        <v/>
      </c>
      <c r="E687" s="19">
        <f>IF($A687="","",Master_Data!Q688)</f>
        <v/>
      </c>
      <c r="F687" s="19">
        <f>IF($A687="","",IF(AND(D687="GAS",E687="OIL"),"GOC",IF(AND(D687="OIL",E687="WATER"),"OWC",IF(AND(D687="GAS",E687="WATER"),"GWC",IF(AND(D687="OIL",E687="OIL_WATER"),"OWC_TRANSITION",IF(AND(D687="OIL_WATER",E687="WATER"),"OWC_TRANSITION",IF(AND(D687="GAS",E687="GAS_WATER"),"GOC_TRANSITION",IF(AND(D687="GAS_WATER",E687="OIL"),"GOC_TRANSITION",IF(OR(D687="OIL_WATER",D687="GAS_WATER"),"TRANSITION_INTERVAL","")))))))))</f>
        <v/>
      </c>
      <c r="G687" s="20">
        <f>IF(OR(F687="",Master_Data!R687="",Master_Data!S687=""),"",IF(RIGHT(F687,10)="TRANSITION",AVERAGE(Master_Data!R687:Master_Data!S687),AVERAGE(Master_Data!S687,Master_Data!R688)))</f>
        <v/>
      </c>
      <c r="H687" s="20">
        <f>IF(G687="","",MAX(Settings!$B$4,Settings!$B$5*AVERAGE(IF(Master_Data!O687&lt;&gt;"",Master_Data!O687,Master_Data!H687),IF(Master_Data!O688&lt;&gt;"",Master_Data!O688,Master_Data!H688))))</f>
        <v/>
      </c>
      <c r="I687" s="20">
        <f>IF(G687="","",G687-H687)</f>
        <v/>
      </c>
      <c r="J687" s="20">
        <f>IF(G687="","",G687+H687)</f>
        <v/>
      </c>
      <c r="K687" s="20">
        <f>IF($A687="","",Master_Data!G687)</f>
        <v/>
      </c>
      <c r="L687" s="20">
        <f>IF($A687="","",Master_Data!G688)</f>
        <v/>
      </c>
      <c r="M687" s="20">
        <f>IF(AND(ISNUMBER(K687),ISNUMBER(L687)),L687-K687,"")</f>
        <v/>
      </c>
      <c r="N687" s="19">
        <f>IF(G687="","",IF(AND(ISNUMBER(K687),ISNUMBER(L687)),IF(OR(F687="GOC",F687="OWC",F687="GWC",F687="OWC_TRANSITION",F687="GOC_TRANSITION"),IF(L687&gt;=K687,"Supports","Conflicts"),"N/A"),"No Sw"))</f>
        <v/>
      </c>
      <c r="O687" s="20">
        <f>IF(G687="","",Settings!$B$6*IF(OR(F687="GOC",F687="OWC",F687="GWC"),1,0.7)+Settings!$B$7*IF(N687="Supports",1,IF(N687="Conflicts",0,0.5))+Settings!$B$8*IF(AND(Master_Data!R687&lt;&gt;"",Master_Data!S687&lt;&gt;"",Master_Data!R688&lt;&gt;"",Master_Data!S688&lt;&gt;""),1,0.5))</f>
        <v/>
      </c>
      <c r="P687" s="19">
        <f>IF(G687="","",IF(N687="Conflicts","SW_CONFLICT",IF(OR(F687="GOC",F687="OWC",F687="GWC"),"DIRECT_FLUID_TRANSITION","TRANSITION_INTERVAL")))</f>
        <v/>
      </c>
      <c r="Q687" s="19">
        <f>IF(G687="","",IF(N687="Conflicts","Investigate contact interpretation / saturation behaviour",IF(OR(F687="OWC",F687="GOC",F687="GWC"),"Candidate contact — validate with logs, pressure and dynamic evidence","Transition zone — do not force to a sharp contact")))</f>
        <v/>
      </c>
    </row>
    <row r="688">
      <c r="A688" s="19">
        <f>IF(AND(Master_Data!A688&lt;&gt;"",Master_Data!A688=Master_Data!A689),Master_Data!A688,"")</f>
        <v/>
      </c>
      <c r="B688" s="19">
        <f>IF($A688="","",Master_Data!B688)</f>
        <v/>
      </c>
      <c r="C688" s="19">
        <f>IF($A688="","",Master_Data!B689)</f>
        <v/>
      </c>
      <c r="D688" s="19">
        <f>IF($A688="","",Master_Data!Q688)</f>
        <v/>
      </c>
      <c r="E688" s="19">
        <f>IF($A688="","",Master_Data!Q689)</f>
        <v/>
      </c>
      <c r="F688" s="19">
        <f>IF($A688="","",IF(AND(D688="GAS",E688="OIL"),"GOC",IF(AND(D688="OIL",E688="WATER"),"OWC",IF(AND(D688="GAS",E688="WATER"),"GWC",IF(AND(D688="OIL",E688="OIL_WATER"),"OWC_TRANSITION",IF(AND(D688="OIL_WATER",E688="WATER"),"OWC_TRANSITION",IF(AND(D688="GAS",E688="GAS_WATER"),"GOC_TRANSITION",IF(AND(D688="GAS_WATER",E688="OIL"),"GOC_TRANSITION",IF(OR(D688="OIL_WATER",D688="GAS_WATER"),"TRANSITION_INTERVAL","")))))))))</f>
        <v/>
      </c>
      <c r="G688" s="20">
        <f>IF(OR(F688="",Master_Data!R688="",Master_Data!S688=""),"",IF(RIGHT(F688,10)="TRANSITION",AVERAGE(Master_Data!R688:Master_Data!S688),AVERAGE(Master_Data!S688,Master_Data!R689)))</f>
        <v/>
      </c>
      <c r="H688" s="20">
        <f>IF(G688="","",MAX(Settings!$B$4,Settings!$B$5*AVERAGE(IF(Master_Data!O688&lt;&gt;"",Master_Data!O688,Master_Data!H688),IF(Master_Data!O689&lt;&gt;"",Master_Data!O689,Master_Data!H689))))</f>
        <v/>
      </c>
      <c r="I688" s="20">
        <f>IF(G688="","",G688-H688)</f>
        <v/>
      </c>
      <c r="J688" s="20">
        <f>IF(G688="","",G688+H688)</f>
        <v/>
      </c>
      <c r="K688" s="20">
        <f>IF($A688="","",Master_Data!G688)</f>
        <v/>
      </c>
      <c r="L688" s="20">
        <f>IF($A688="","",Master_Data!G689)</f>
        <v/>
      </c>
      <c r="M688" s="20">
        <f>IF(AND(ISNUMBER(K688),ISNUMBER(L688)),L688-K688,"")</f>
        <v/>
      </c>
      <c r="N688" s="19">
        <f>IF(G688="","",IF(AND(ISNUMBER(K688),ISNUMBER(L688)),IF(OR(F688="GOC",F688="OWC",F688="GWC",F688="OWC_TRANSITION",F688="GOC_TRANSITION"),IF(L688&gt;=K688,"Supports","Conflicts"),"N/A"),"No Sw"))</f>
        <v/>
      </c>
      <c r="O688" s="20">
        <f>IF(G688="","",Settings!$B$6*IF(OR(F688="GOC",F688="OWC",F688="GWC"),1,0.7)+Settings!$B$7*IF(N688="Supports",1,IF(N688="Conflicts",0,0.5))+Settings!$B$8*IF(AND(Master_Data!R688&lt;&gt;"",Master_Data!S688&lt;&gt;"",Master_Data!R689&lt;&gt;"",Master_Data!S689&lt;&gt;""),1,0.5))</f>
        <v/>
      </c>
      <c r="P688" s="19">
        <f>IF(G688="","",IF(N688="Conflicts","SW_CONFLICT",IF(OR(F688="GOC",F688="OWC",F688="GWC"),"DIRECT_FLUID_TRANSITION","TRANSITION_INTERVAL")))</f>
        <v/>
      </c>
      <c r="Q688" s="19">
        <f>IF(G688="","",IF(N688="Conflicts","Investigate contact interpretation / saturation behaviour",IF(OR(F688="OWC",F688="GOC",F688="GWC"),"Candidate contact — validate with logs, pressure and dynamic evidence","Transition zone — do not force to a sharp contact")))</f>
        <v/>
      </c>
    </row>
    <row r="689">
      <c r="A689" s="19">
        <f>IF(AND(Master_Data!A689&lt;&gt;"",Master_Data!A689=Master_Data!A690),Master_Data!A689,"")</f>
        <v/>
      </c>
      <c r="B689" s="19">
        <f>IF($A689="","",Master_Data!B689)</f>
        <v/>
      </c>
      <c r="C689" s="19">
        <f>IF($A689="","",Master_Data!B690)</f>
        <v/>
      </c>
      <c r="D689" s="19">
        <f>IF($A689="","",Master_Data!Q689)</f>
        <v/>
      </c>
      <c r="E689" s="19">
        <f>IF($A689="","",Master_Data!Q690)</f>
        <v/>
      </c>
      <c r="F689" s="19">
        <f>IF($A689="","",IF(AND(D689="GAS",E689="OIL"),"GOC",IF(AND(D689="OIL",E689="WATER"),"OWC",IF(AND(D689="GAS",E689="WATER"),"GWC",IF(AND(D689="OIL",E689="OIL_WATER"),"OWC_TRANSITION",IF(AND(D689="OIL_WATER",E689="WATER"),"OWC_TRANSITION",IF(AND(D689="GAS",E689="GAS_WATER"),"GOC_TRANSITION",IF(AND(D689="GAS_WATER",E689="OIL"),"GOC_TRANSITION",IF(OR(D689="OIL_WATER",D689="GAS_WATER"),"TRANSITION_INTERVAL","")))))))))</f>
        <v/>
      </c>
      <c r="G689" s="20">
        <f>IF(OR(F689="",Master_Data!R689="",Master_Data!S689=""),"",IF(RIGHT(F689,10)="TRANSITION",AVERAGE(Master_Data!R689:Master_Data!S689),AVERAGE(Master_Data!S689,Master_Data!R690)))</f>
        <v/>
      </c>
      <c r="H689" s="20">
        <f>IF(G689="","",MAX(Settings!$B$4,Settings!$B$5*AVERAGE(IF(Master_Data!O689&lt;&gt;"",Master_Data!O689,Master_Data!H689),IF(Master_Data!O690&lt;&gt;"",Master_Data!O690,Master_Data!H690))))</f>
        <v/>
      </c>
      <c r="I689" s="20">
        <f>IF(G689="","",G689-H689)</f>
        <v/>
      </c>
      <c r="J689" s="20">
        <f>IF(G689="","",G689+H689)</f>
        <v/>
      </c>
      <c r="K689" s="20">
        <f>IF($A689="","",Master_Data!G689)</f>
        <v/>
      </c>
      <c r="L689" s="20">
        <f>IF($A689="","",Master_Data!G690)</f>
        <v/>
      </c>
      <c r="M689" s="20">
        <f>IF(AND(ISNUMBER(K689),ISNUMBER(L689)),L689-K689,"")</f>
        <v/>
      </c>
      <c r="N689" s="19">
        <f>IF(G689="","",IF(AND(ISNUMBER(K689),ISNUMBER(L689)),IF(OR(F689="GOC",F689="OWC",F689="GWC",F689="OWC_TRANSITION",F689="GOC_TRANSITION"),IF(L689&gt;=K689,"Supports","Conflicts"),"N/A"),"No Sw"))</f>
        <v/>
      </c>
      <c r="O689" s="20">
        <f>IF(G689="","",Settings!$B$6*IF(OR(F689="GOC",F689="OWC",F689="GWC"),1,0.7)+Settings!$B$7*IF(N689="Supports",1,IF(N689="Conflicts",0,0.5))+Settings!$B$8*IF(AND(Master_Data!R689&lt;&gt;"",Master_Data!S689&lt;&gt;"",Master_Data!R690&lt;&gt;"",Master_Data!S690&lt;&gt;""),1,0.5))</f>
        <v/>
      </c>
      <c r="P689" s="19">
        <f>IF(G689="","",IF(N689="Conflicts","SW_CONFLICT",IF(OR(F689="GOC",F689="OWC",F689="GWC"),"DIRECT_FLUID_TRANSITION","TRANSITION_INTERVAL")))</f>
        <v/>
      </c>
      <c r="Q689" s="19">
        <f>IF(G689="","",IF(N689="Conflicts","Investigate contact interpretation / saturation behaviour",IF(OR(F689="OWC",F689="GOC",F689="GWC"),"Candidate contact — validate with logs, pressure and dynamic evidence","Transition zone — do not force to a sharp contact")))</f>
        <v/>
      </c>
    </row>
    <row r="690">
      <c r="A690" s="19">
        <f>IF(AND(Master_Data!A690&lt;&gt;"",Master_Data!A690=Master_Data!A691),Master_Data!A690,"")</f>
        <v/>
      </c>
      <c r="B690" s="19">
        <f>IF($A690="","",Master_Data!B690)</f>
        <v/>
      </c>
      <c r="C690" s="19">
        <f>IF($A690="","",Master_Data!B691)</f>
        <v/>
      </c>
      <c r="D690" s="19">
        <f>IF($A690="","",Master_Data!Q690)</f>
        <v/>
      </c>
      <c r="E690" s="19">
        <f>IF($A690="","",Master_Data!Q691)</f>
        <v/>
      </c>
      <c r="F690" s="19">
        <f>IF($A690="","",IF(AND(D690="GAS",E690="OIL"),"GOC",IF(AND(D690="OIL",E690="WATER"),"OWC",IF(AND(D690="GAS",E690="WATER"),"GWC",IF(AND(D690="OIL",E690="OIL_WATER"),"OWC_TRANSITION",IF(AND(D690="OIL_WATER",E690="WATER"),"OWC_TRANSITION",IF(AND(D690="GAS",E690="GAS_WATER"),"GOC_TRANSITION",IF(AND(D690="GAS_WATER",E690="OIL"),"GOC_TRANSITION",IF(OR(D690="OIL_WATER",D690="GAS_WATER"),"TRANSITION_INTERVAL","")))))))))</f>
        <v/>
      </c>
      <c r="G690" s="20">
        <f>IF(OR(F690="",Master_Data!R690="",Master_Data!S690=""),"",IF(RIGHT(F690,10)="TRANSITION",AVERAGE(Master_Data!R690:Master_Data!S690),AVERAGE(Master_Data!S690,Master_Data!R691)))</f>
        <v/>
      </c>
      <c r="H690" s="20">
        <f>IF(G690="","",MAX(Settings!$B$4,Settings!$B$5*AVERAGE(IF(Master_Data!O690&lt;&gt;"",Master_Data!O690,Master_Data!H690),IF(Master_Data!O691&lt;&gt;"",Master_Data!O691,Master_Data!H691))))</f>
        <v/>
      </c>
      <c r="I690" s="20">
        <f>IF(G690="","",G690-H690)</f>
        <v/>
      </c>
      <c r="J690" s="20">
        <f>IF(G690="","",G690+H690)</f>
        <v/>
      </c>
      <c r="K690" s="20">
        <f>IF($A690="","",Master_Data!G690)</f>
        <v/>
      </c>
      <c r="L690" s="20">
        <f>IF($A690="","",Master_Data!G691)</f>
        <v/>
      </c>
      <c r="M690" s="20">
        <f>IF(AND(ISNUMBER(K690),ISNUMBER(L690)),L690-K690,"")</f>
        <v/>
      </c>
      <c r="N690" s="19">
        <f>IF(G690="","",IF(AND(ISNUMBER(K690),ISNUMBER(L690)),IF(OR(F690="GOC",F690="OWC",F690="GWC",F690="OWC_TRANSITION",F690="GOC_TRANSITION"),IF(L690&gt;=K690,"Supports","Conflicts"),"N/A"),"No Sw"))</f>
        <v/>
      </c>
      <c r="O690" s="20">
        <f>IF(G690="","",Settings!$B$6*IF(OR(F690="GOC",F690="OWC",F690="GWC"),1,0.7)+Settings!$B$7*IF(N690="Supports",1,IF(N690="Conflicts",0,0.5))+Settings!$B$8*IF(AND(Master_Data!R690&lt;&gt;"",Master_Data!S690&lt;&gt;"",Master_Data!R691&lt;&gt;"",Master_Data!S691&lt;&gt;""),1,0.5))</f>
        <v/>
      </c>
      <c r="P690" s="19">
        <f>IF(G690="","",IF(N690="Conflicts","SW_CONFLICT",IF(OR(F690="GOC",F690="OWC",F690="GWC"),"DIRECT_FLUID_TRANSITION","TRANSITION_INTERVAL")))</f>
        <v/>
      </c>
      <c r="Q690" s="19">
        <f>IF(G690="","",IF(N690="Conflicts","Investigate contact interpretation / saturation behaviour",IF(OR(F690="OWC",F690="GOC",F690="GWC"),"Candidate contact — validate with logs, pressure and dynamic evidence","Transition zone — do not force to a sharp contact")))</f>
        <v/>
      </c>
    </row>
    <row r="691">
      <c r="A691" s="19">
        <f>IF(AND(Master_Data!A691&lt;&gt;"",Master_Data!A691=Master_Data!A692),Master_Data!A691,"")</f>
        <v/>
      </c>
      <c r="B691" s="19">
        <f>IF($A691="","",Master_Data!B691)</f>
        <v/>
      </c>
      <c r="C691" s="19">
        <f>IF($A691="","",Master_Data!B692)</f>
        <v/>
      </c>
      <c r="D691" s="19">
        <f>IF($A691="","",Master_Data!Q691)</f>
        <v/>
      </c>
      <c r="E691" s="19">
        <f>IF($A691="","",Master_Data!Q692)</f>
        <v/>
      </c>
      <c r="F691" s="19">
        <f>IF($A691="","",IF(AND(D691="GAS",E691="OIL"),"GOC",IF(AND(D691="OIL",E691="WATER"),"OWC",IF(AND(D691="GAS",E691="WATER"),"GWC",IF(AND(D691="OIL",E691="OIL_WATER"),"OWC_TRANSITION",IF(AND(D691="OIL_WATER",E691="WATER"),"OWC_TRANSITION",IF(AND(D691="GAS",E691="GAS_WATER"),"GOC_TRANSITION",IF(AND(D691="GAS_WATER",E691="OIL"),"GOC_TRANSITION",IF(OR(D691="OIL_WATER",D691="GAS_WATER"),"TRANSITION_INTERVAL","")))))))))</f>
        <v/>
      </c>
      <c r="G691" s="20">
        <f>IF(OR(F691="",Master_Data!R691="",Master_Data!S691=""),"",IF(RIGHT(F691,10)="TRANSITION",AVERAGE(Master_Data!R691:Master_Data!S691),AVERAGE(Master_Data!S691,Master_Data!R692)))</f>
        <v/>
      </c>
      <c r="H691" s="20">
        <f>IF(G691="","",MAX(Settings!$B$4,Settings!$B$5*AVERAGE(IF(Master_Data!O691&lt;&gt;"",Master_Data!O691,Master_Data!H691),IF(Master_Data!O692&lt;&gt;"",Master_Data!O692,Master_Data!H692))))</f>
        <v/>
      </c>
      <c r="I691" s="20">
        <f>IF(G691="","",G691-H691)</f>
        <v/>
      </c>
      <c r="J691" s="20">
        <f>IF(G691="","",G691+H691)</f>
        <v/>
      </c>
      <c r="K691" s="20">
        <f>IF($A691="","",Master_Data!G691)</f>
        <v/>
      </c>
      <c r="L691" s="20">
        <f>IF($A691="","",Master_Data!G692)</f>
        <v/>
      </c>
      <c r="M691" s="20">
        <f>IF(AND(ISNUMBER(K691),ISNUMBER(L691)),L691-K691,"")</f>
        <v/>
      </c>
      <c r="N691" s="19">
        <f>IF(G691="","",IF(AND(ISNUMBER(K691),ISNUMBER(L691)),IF(OR(F691="GOC",F691="OWC",F691="GWC",F691="OWC_TRANSITION",F691="GOC_TRANSITION"),IF(L691&gt;=K691,"Supports","Conflicts"),"N/A"),"No Sw"))</f>
        <v/>
      </c>
      <c r="O691" s="20">
        <f>IF(G691="","",Settings!$B$6*IF(OR(F691="GOC",F691="OWC",F691="GWC"),1,0.7)+Settings!$B$7*IF(N691="Supports",1,IF(N691="Conflicts",0,0.5))+Settings!$B$8*IF(AND(Master_Data!R691&lt;&gt;"",Master_Data!S691&lt;&gt;"",Master_Data!R692&lt;&gt;"",Master_Data!S692&lt;&gt;""),1,0.5))</f>
        <v/>
      </c>
      <c r="P691" s="19">
        <f>IF(G691="","",IF(N691="Conflicts","SW_CONFLICT",IF(OR(F691="GOC",F691="OWC",F691="GWC"),"DIRECT_FLUID_TRANSITION","TRANSITION_INTERVAL")))</f>
        <v/>
      </c>
      <c r="Q691" s="19">
        <f>IF(G691="","",IF(N691="Conflicts","Investigate contact interpretation / saturation behaviour",IF(OR(F691="OWC",F691="GOC",F691="GWC"),"Candidate contact — validate with logs, pressure and dynamic evidence","Transition zone — do not force to a sharp contact")))</f>
        <v/>
      </c>
    </row>
    <row r="692">
      <c r="A692" s="19">
        <f>IF(AND(Master_Data!A692&lt;&gt;"",Master_Data!A692=Master_Data!A693),Master_Data!A692,"")</f>
        <v/>
      </c>
      <c r="B692" s="19">
        <f>IF($A692="","",Master_Data!B692)</f>
        <v/>
      </c>
      <c r="C692" s="19">
        <f>IF($A692="","",Master_Data!B693)</f>
        <v/>
      </c>
      <c r="D692" s="19">
        <f>IF($A692="","",Master_Data!Q692)</f>
        <v/>
      </c>
      <c r="E692" s="19">
        <f>IF($A692="","",Master_Data!Q693)</f>
        <v/>
      </c>
      <c r="F692" s="19">
        <f>IF($A692="","",IF(AND(D692="GAS",E692="OIL"),"GOC",IF(AND(D692="OIL",E692="WATER"),"OWC",IF(AND(D692="GAS",E692="WATER"),"GWC",IF(AND(D692="OIL",E692="OIL_WATER"),"OWC_TRANSITION",IF(AND(D692="OIL_WATER",E692="WATER"),"OWC_TRANSITION",IF(AND(D692="GAS",E692="GAS_WATER"),"GOC_TRANSITION",IF(AND(D692="GAS_WATER",E692="OIL"),"GOC_TRANSITION",IF(OR(D692="OIL_WATER",D692="GAS_WATER"),"TRANSITION_INTERVAL","")))))))))</f>
        <v/>
      </c>
      <c r="G692" s="20">
        <f>IF(OR(F692="",Master_Data!R692="",Master_Data!S692=""),"",IF(RIGHT(F692,10)="TRANSITION",AVERAGE(Master_Data!R692:Master_Data!S692),AVERAGE(Master_Data!S692,Master_Data!R693)))</f>
        <v/>
      </c>
      <c r="H692" s="20">
        <f>IF(G692="","",MAX(Settings!$B$4,Settings!$B$5*AVERAGE(IF(Master_Data!O692&lt;&gt;"",Master_Data!O692,Master_Data!H692),IF(Master_Data!O693&lt;&gt;"",Master_Data!O693,Master_Data!H693))))</f>
        <v/>
      </c>
      <c r="I692" s="20">
        <f>IF(G692="","",G692-H692)</f>
        <v/>
      </c>
      <c r="J692" s="20">
        <f>IF(G692="","",G692+H692)</f>
        <v/>
      </c>
      <c r="K692" s="20">
        <f>IF($A692="","",Master_Data!G692)</f>
        <v/>
      </c>
      <c r="L692" s="20">
        <f>IF($A692="","",Master_Data!G693)</f>
        <v/>
      </c>
      <c r="M692" s="20">
        <f>IF(AND(ISNUMBER(K692),ISNUMBER(L692)),L692-K692,"")</f>
        <v/>
      </c>
      <c r="N692" s="19">
        <f>IF(G692="","",IF(AND(ISNUMBER(K692),ISNUMBER(L692)),IF(OR(F692="GOC",F692="OWC",F692="GWC",F692="OWC_TRANSITION",F692="GOC_TRANSITION"),IF(L692&gt;=K692,"Supports","Conflicts"),"N/A"),"No Sw"))</f>
        <v/>
      </c>
      <c r="O692" s="20">
        <f>IF(G692="","",Settings!$B$6*IF(OR(F692="GOC",F692="OWC",F692="GWC"),1,0.7)+Settings!$B$7*IF(N692="Supports",1,IF(N692="Conflicts",0,0.5))+Settings!$B$8*IF(AND(Master_Data!R692&lt;&gt;"",Master_Data!S692&lt;&gt;"",Master_Data!R693&lt;&gt;"",Master_Data!S693&lt;&gt;""),1,0.5))</f>
        <v/>
      </c>
      <c r="P692" s="19">
        <f>IF(G692="","",IF(N692="Conflicts","SW_CONFLICT",IF(OR(F692="GOC",F692="OWC",F692="GWC"),"DIRECT_FLUID_TRANSITION","TRANSITION_INTERVAL")))</f>
        <v/>
      </c>
      <c r="Q692" s="19">
        <f>IF(G692="","",IF(N692="Conflicts","Investigate contact interpretation / saturation behaviour",IF(OR(F692="OWC",F692="GOC",F692="GWC"),"Candidate contact — validate with logs, pressure and dynamic evidence","Transition zone — do not force to a sharp contact")))</f>
        <v/>
      </c>
    </row>
    <row r="693">
      <c r="A693" s="19">
        <f>IF(AND(Master_Data!A693&lt;&gt;"",Master_Data!A693=Master_Data!A694),Master_Data!A693,"")</f>
        <v/>
      </c>
      <c r="B693" s="19">
        <f>IF($A693="","",Master_Data!B693)</f>
        <v/>
      </c>
      <c r="C693" s="19">
        <f>IF($A693="","",Master_Data!B694)</f>
        <v/>
      </c>
      <c r="D693" s="19">
        <f>IF($A693="","",Master_Data!Q693)</f>
        <v/>
      </c>
      <c r="E693" s="19">
        <f>IF($A693="","",Master_Data!Q694)</f>
        <v/>
      </c>
      <c r="F693" s="19">
        <f>IF($A693="","",IF(AND(D693="GAS",E693="OIL"),"GOC",IF(AND(D693="OIL",E693="WATER"),"OWC",IF(AND(D693="GAS",E693="WATER"),"GWC",IF(AND(D693="OIL",E693="OIL_WATER"),"OWC_TRANSITION",IF(AND(D693="OIL_WATER",E693="WATER"),"OWC_TRANSITION",IF(AND(D693="GAS",E693="GAS_WATER"),"GOC_TRANSITION",IF(AND(D693="GAS_WATER",E693="OIL"),"GOC_TRANSITION",IF(OR(D693="OIL_WATER",D693="GAS_WATER"),"TRANSITION_INTERVAL","")))))))))</f>
        <v/>
      </c>
      <c r="G693" s="20">
        <f>IF(OR(F693="",Master_Data!R693="",Master_Data!S693=""),"",IF(RIGHT(F693,10)="TRANSITION",AVERAGE(Master_Data!R693:Master_Data!S693),AVERAGE(Master_Data!S693,Master_Data!R694)))</f>
        <v/>
      </c>
      <c r="H693" s="20">
        <f>IF(G693="","",MAX(Settings!$B$4,Settings!$B$5*AVERAGE(IF(Master_Data!O693&lt;&gt;"",Master_Data!O693,Master_Data!H693),IF(Master_Data!O694&lt;&gt;"",Master_Data!O694,Master_Data!H694))))</f>
        <v/>
      </c>
      <c r="I693" s="20">
        <f>IF(G693="","",G693-H693)</f>
        <v/>
      </c>
      <c r="J693" s="20">
        <f>IF(G693="","",G693+H693)</f>
        <v/>
      </c>
      <c r="K693" s="20">
        <f>IF($A693="","",Master_Data!G693)</f>
        <v/>
      </c>
      <c r="L693" s="20">
        <f>IF($A693="","",Master_Data!G694)</f>
        <v/>
      </c>
      <c r="M693" s="20">
        <f>IF(AND(ISNUMBER(K693),ISNUMBER(L693)),L693-K693,"")</f>
        <v/>
      </c>
      <c r="N693" s="19">
        <f>IF(G693="","",IF(AND(ISNUMBER(K693),ISNUMBER(L693)),IF(OR(F693="GOC",F693="OWC",F693="GWC",F693="OWC_TRANSITION",F693="GOC_TRANSITION"),IF(L693&gt;=K693,"Supports","Conflicts"),"N/A"),"No Sw"))</f>
        <v/>
      </c>
      <c r="O693" s="20">
        <f>IF(G693="","",Settings!$B$6*IF(OR(F693="GOC",F693="OWC",F693="GWC"),1,0.7)+Settings!$B$7*IF(N693="Supports",1,IF(N693="Conflicts",0,0.5))+Settings!$B$8*IF(AND(Master_Data!R693&lt;&gt;"",Master_Data!S693&lt;&gt;"",Master_Data!R694&lt;&gt;"",Master_Data!S694&lt;&gt;""),1,0.5))</f>
        <v/>
      </c>
      <c r="P693" s="19">
        <f>IF(G693="","",IF(N693="Conflicts","SW_CONFLICT",IF(OR(F693="GOC",F693="OWC",F693="GWC"),"DIRECT_FLUID_TRANSITION","TRANSITION_INTERVAL")))</f>
        <v/>
      </c>
      <c r="Q693" s="19">
        <f>IF(G693="","",IF(N693="Conflicts","Investigate contact interpretation / saturation behaviour",IF(OR(F693="OWC",F693="GOC",F693="GWC"),"Candidate contact — validate with logs, pressure and dynamic evidence","Transition zone — do not force to a sharp contact")))</f>
        <v/>
      </c>
    </row>
    <row r="694">
      <c r="A694" s="19">
        <f>IF(AND(Master_Data!A694&lt;&gt;"",Master_Data!A694=Master_Data!A695),Master_Data!A694,"")</f>
        <v/>
      </c>
      <c r="B694" s="19">
        <f>IF($A694="","",Master_Data!B694)</f>
        <v/>
      </c>
      <c r="C694" s="19">
        <f>IF($A694="","",Master_Data!B695)</f>
        <v/>
      </c>
      <c r="D694" s="19">
        <f>IF($A694="","",Master_Data!Q694)</f>
        <v/>
      </c>
      <c r="E694" s="19">
        <f>IF($A694="","",Master_Data!Q695)</f>
        <v/>
      </c>
      <c r="F694" s="19">
        <f>IF($A694="","",IF(AND(D694="GAS",E694="OIL"),"GOC",IF(AND(D694="OIL",E694="WATER"),"OWC",IF(AND(D694="GAS",E694="WATER"),"GWC",IF(AND(D694="OIL",E694="OIL_WATER"),"OWC_TRANSITION",IF(AND(D694="OIL_WATER",E694="WATER"),"OWC_TRANSITION",IF(AND(D694="GAS",E694="GAS_WATER"),"GOC_TRANSITION",IF(AND(D694="GAS_WATER",E694="OIL"),"GOC_TRANSITION",IF(OR(D694="OIL_WATER",D694="GAS_WATER"),"TRANSITION_INTERVAL","")))))))))</f>
        <v/>
      </c>
      <c r="G694" s="20">
        <f>IF(OR(F694="",Master_Data!R694="",Master_Data!S694=""),"",IF(RIGHT(F694,10)="TRANSITION",AVERAGE(Master_Data!R694:Master_Data!S694),AVERAGE(Master_Data!S694,Master_Data!R695)))</f>
        <v/>
      </c>
      <c r="H694" s="20">
        <f>IF(G694="","",MAX(Settings!$B$4,Settings!$B$5*AVERAGE(IF(Master_Data!O694&lt;&gt;"",Master_Data!O694,Master_Data!H694),IF(Master_Data!O695&lt;&gt;"",Master_Data!O695,Master_Data!H695))))</f>
        <v/>
      </c>
      <c r="I694" s="20">
        <f>IF(G694="","",G694-H694)</f>
        <v/>
      </c>
      <c r="J694" s="20">
        <f>IF(G694="","",G694+H694)</f>
        <v/>
      </c>
      <c r="K694" s="20">
        <f>IF($A694="","",Master_Data!G694)</f>
        <v/>
      </c>
      <c r="L694" s="20">
        <f>IF($A694="","",Master_Data!G695)</f>
        <v/>
      </c>
      <c r="M694" s="20">
        <f>IF(AND(ISNUMBER(K694),ISNUMBER(L694)),L694-K694,"")</f>
        <v/>
      </c>
      <c r="N694" s="19">
        <f>IF(G694="","",IF(AND(ISNUMBER(K694),ISNUMBER(L694)),IF(OR(F694="GOC",F694="OWC",F694="GWC",F694="OWC_TRANSITION",F694="GOC_TRANSITION"),IF(L694&gt;=K694,"Supports","Conflicts"),"N/A"),"No Sw"))</f>
        <v/>
      </c>
      <c r="O694" s="20">
        <f>IF(G694="","",Settings!$B$6*IF(OR(F694="GOC",F694="OWC",F694="GWC"),1,0.7)+Settings!$B$7*IF(N694="Supports",1,IF(N694="Conflicts",0,0.5))+Settings!$B$8*IF(AND(Master_Data!R694&lt;&gt;"",Master_Data!S694&lt;&gt;"",Master_Data!R695&lt;&gt;"",Master_Data!S695&lt;&gt;""),1,0.5))</f>
        <v/>
      </c>
      <c r="P694" s="19">
        <f>IF(G694="","",IF(N694="Conflicts","SW_CONFLICT",IF(OR(F694="GOC",F694="OWC",F694="GWC"),"DIRECT_FLUID_TRANSITION","TRANSITION_INTERVAL")))</f>
        <v/>
      </c>
      <c r="Q694" s="19">
        <f>IF(G694="","",IF(N694="Conflicts","Investigate contact interpretation / saturation behaviour",IF(OR(F694="OWC",F694="GOC",F694="GWC"),"Candidate contact — validate with logs, pressure and dynamic evidence","Transition zone — do not force to a sharp contact")))</f>
        <v/>
      </c>
    </row>
    <row r="695">
      <c r="A695" s="19">
        <f>IF(AND(Master_Data!A695&lt;&gt;"",Master_Data!A695=Master_Data!A696),Master_Data!A695,"")</f>
        <v/>
      </c>
      <c r="B695" s="19">
        <f>IF($A695="","",Master_Data!B695)</f>
        <v/>
      </c>
      <c r="C695" s="19">
        <f>IF($A695="","",Master_Data!B696)</f>
        <v/>
      </c>
      <c r="D695" s="19">
        <f>IF($A695="","",Master_Data!Q695)</f>
        <v/>
      </c>
      <c r="E695" s="19">
        <f>IF($A695="","",Master_Data!Q696)</f>
        <v/>
      </c>
      <c r="F695" s="19">
        <f>IF($A695="","",IF(AND(D695="GAS",E695="OIL"),"GOC",IF(AND(D695="OIL",E695="WATER"),"OWC",IF(AND(D695="GAS",E695="WATER"),"GWC",IF(AND(D695="OIL",E695="OIL_WATER"),"OWC_TRANSITION",IF(AND(D695="OIL_WATER",E695="WATER"),"OWC_TRANSITION",IF(AND(D695="GAS",E695="GAS_WATER"),"GOC_TRANSITION",IF(AND(D695="GAS_WATER",E695="OIL"),"GOC_TRANSITION",IF(OR(D695="OIL_WATER",D695="GAS_WATER"),"TRANSITION_INTERVAL","")))))))))</f>
        <v/>
      </c>
      <c r="G695" s="20">
        <f>IF(OR(F695="",Master_Data!R695="",Master_Data!S695=""),"",IF(RIGHT(F695,10)="TRANSITION",AVERAGE(Master_Data!R695:Master_Data!S695),AVERAGE(Master_Data!S695,Master_Data!R696)))</f>
        <v/>
      </c>
      <c r="H695" s="20">
        <f>IF(G695="","",MAX(Settings!$B$4,Settings!$B$5*AVERAGE(IF(Master_Data!O695&lt;&gt;"",Master_Data!O695,Master_Data!H695),IF(Master_Data!O696&lt;&gt;"",Master_Data!O696,Master_Data!H696))))</f>
        <v/>
      </c>
      <c r="I695" s="20">
        <f>IF(G695="","",G695-H695)</f>
        <v/>
      </c>
      <c r="J695" s="20">
        <f>IF(G695="","",G695+H695)</f>
        <v/>
      </c>
      <c r="K695" s="20">
        <f>IF($A695="","",Master_Data!G695)</f>
        <v/>
      </c>
      <c r="L695" s="20">
        <f>IF($A695="","",Master_Data!G696)</f>
        <v/>
      </c>
      <c r="M695" s="20">
        <f>IF(AND(ISNUMBER(K695),ISNUMBER(L695)),L695-K695,"")</f>
        <v/>
      </c>
      <c r="N695" s="19">
        <f>IF(G695="","",IF(AND(ISNUMBER(K695),ISNUMBER(L695)),IF(OR(F695="GOC",F695="OWC",F695="GWC",F695="OWC_TRANSITION",F695="GOC_TRANSITION"),IF(L695&gt;=K695,"Supports","Conflicts"),"N/A"),"No Sw"))</f>
        <v/>
      </c>
      <c r="O695" s="20">
        <f>IF(G695="","",Settings!$B$6*IF(OR(F695="GOC",F695="OWC",F695="GWC"),1,0.7)+Settings!$B$7*IF(N695="Supports",1,IF(N695="Conflicts",0,0.5))+Settings!$B$8*IF(AND(Master_Data!R695&lt;&gt;"",Master_Data!S695&lt;&gt;"",Master_Data!R696&lt;&gt;"",Master_Data!S696&lt;&gt;""),1,0.5))</f>
        <v/>
      </c>
      <c r="P695" s="19">
        <f>IF(G695="","",IF(N695="Conflicts","SW_CONFLICT",IF(OR(F695="GOC",F695="OWC",F695="GWC"),"DIRECT_FLUID_TRANSITION","TRANSITION_INTERVAL")))</f>
        <v/>
      </c>
      <c r="Q695" s="19">
        <f>IF(G695="","",IF(N695="Conflicts","Investigate contact interpretation / saturation behaviour",IF(OR(F695="OWC",F695="GOC",F695="GWC"),"Candidate contact — validate with logs, pressure and dynamic evidence","Transition zone — do not force to a sharp contact")))</f>
        <v/>
      </c>
    </row>
    <row r="696">
      <c r="A696" s="19">
        <f>IF(AND(Master_Data!A696&lt;&gt;"",Master_Data!A696=Master_Data!A697),Master_Data!A696,"")</f>
        <v/>
      </c>
      <c r="B696" s="19">
        <f>IF($A696="","",Master_Data!B696)</f>
        <v/>
      </c>
      <c r="C696" s="19">
        <f>IF($A696="","",Master_Data!B697)</f>
        <v/>
      </c>
      <c r="D696" s="19">
        <f>IF($A696="","",Master_Data!Q696)</f>
        <v/>
      </c>
      <c r="E696" s="19">
        <f>IF($A696="","",Master_Data!Q697)</f>
        <v/>
      </c>
      <c r="F696" s="19">
        <f>IF($A696="","",IF(AND(D696="GAS",E696="OIL"),"GOC",IF(AND(D696="OIL",E696="WATER"),"OWC",IF(AND(D696="GAS",E696="WATER"),"GWC",IF(AND(D696="OIL",E696="OIL_WATER"),"OWC_TRANSITION",IF(AND(D696="OIL_WATER",E696="WATER"),"OWC_TRANSITION",IF(AND(D696="GAS",E696="GAS_WATER"),"GOC_TRANSITION",IF(AND(D696="GAS_WATER",E696="OIL"),"GOC_TRANSITION",IF(OR(D696="OIL_WATER",D696="GAS_WATER"),"TRANSITION_INTERVAL","")))))))))</f>
        <v/>
      </c>
      <c r="G696" s="20">
        <f>IF(OR(F696="",Master_Data!R696="",Master_Data!S696=""),"",IF(RIGHT(F696,10)="TRANSITION",AVERAGE(Master_Data!R696:Master_Data!S696),AVERAGE(Master_Data!S696,Master_Data!R697)))</f>
        <v/>
      </c>
      <c r="H696" s="20">
        <f>IF(G696="","",MAX(Settings!$B$4,Settings!$B$5*AVERAGE(IF(Master_Data!O696&lt;&gt;"",Master_Data!O696,Master_Data!H696),IF(Master_Data!O697&lt;&gt;"",Master_Data!O697,Master_Data!H697))))</f>
        <v/>
      </c>
      <c r="I696" s="20">
        <f>IF(G696="","",G696-H696)</f>
        <v/>
      </c>
      <c r="J696" s="20">
        <f>IF(G696="","",G696+H696)</f>
        <v/>
      </c>
      <c r="K696" s="20">
        <f>IF($A696="","",Master_Data!G696)</f>
        <v/>
      </c>
      <c r="L696" s="20">
        <f>IF($A696="","",Master_Data!G697)</f>
        <v/>
      </c>
      <c r="M696" s="20">
        <f>IF(AND(ISNUMBER(K696),ISNUMBER(L696)),L696-K696,"")</f>
        <v/>
      </c>
      <c r="N696" s="19">
        <f>IF(G696="","",IF(AND(ISNUMBER(K696),ISNUMBER(L696)),IF(OR(F696="GOC",F696="OWC",F696="GWC",F696="OWC_TRANSITION",F696="GOC_TRANSITION"),IF(L696&gt;=K696,"Supports","Conflicts"),"N/A"),"No Sw"))</f>
        <v/>
      </c>
      <c r="O696" s="20">
        <f>IF(G696="","",Settings!$B$6*IF(OR(F696="GOC",F696="OWC",F696="GWC"),1,0.7)+Settings!$B$7*IF(N696="Supports",1,IF(N696="Conflicts",0,0.5))+Settings!$B$8*IF(AND(Master_Data!R696&lt;&gt;"",Master_Data!S696&lt;&gt;"",Master_Data!R697&lt;&gt;"",Master_Data!S697&lt;&gt;""),1,0.5))</f>
        <v/>
      </c>
      <c r="P696" s="19">
        <f>IF(G696="","",IF(N696="Conflicts","SW_CONFLICT",IF(OR(F696="GOC",F696="OWC",F696="GWC"),"DIRECT_FLUID_TRANSITION","TRANSITION_INTERVAL")))</f>
        <v/>
      </c>
      <c r="Q696" s="19">
        <f>IF(G696="","",IF(N696="Conflicts","Investigate contact interpretation / saturation behaviour",IF(OR(F696="OWC",F696="GOC",F696="GWC"),"Candidate contact — validate with logs, pressure and dynamic evidence","Transition zone — do not force to a sharp contact")))</f>
        <v/>
      </c>
    </row>
    <row r="697">
      <c r="A697" s="19">
        <f>IF(AND(Master_Data!A697&lt;&gt;"",Master_Data!A697=Master_Data!A698),Master_Data!A697,"")</f>
        <v/>
      </c>
      <c r="B697" s="19">
        <f>IF($A697="","",Master_Data!B697)</f>
        <v/>
      </c>
      <c r="C697" s="19">
        <f>IF($A697="","",Master_Data!B698)</f>
        <v/>
      </c>
      <c r="D697" s="19">
        <f>IF($A697="","",Master_Data!Q697)</f>
        <v/>
      </c>
      <c r="E697" s="19">
        <f>IF($A697="","",Master_Data!Q698)</f>
        <v/>
      </c>
      <c r="F697" s="19">
        <f>IF($A697="","",IF(AND(D697="GAS",E697="OIL"),"GOC",IF(AND(D697="OIL",E697="WATER"),"OWC",IF(AND(D697="GAS",E697="WATER"),"GWC",IF(AND(D697="OIL",E697="OIL_WATER"),"OWC_TRANSITION",IF(AND(D697="OIL_WATER",E697="WATER"),"OWC_TRANSITION",IF(AND(D697="GAS",E697="GAS_WATER"),"GOC_TRANSITION",IF(AND(D697="GAS_WATER",E697="OIL"),"GOC_TRANSITION",IF(OR(D697="OIL_WATER",D697="GAS_WATER"),"TRANSITION_INTERVAL","")))))))))</f>
        <v/>
      </c>
      <c r="G697" s="20">
        <f>IF(OR(F697="",Master_Data!R697="",Master_Data!S697=""),"",IF(RIGHT(F697,10)="TRANSITION",AVERAGE(Master_Data!R697:Master_Data!S697),AVERAGE(Master_Data!S697,Master_Data!R698)))</f>
        <v/>
      </c>
      <c r="H697" s="20">
        <f>IF(G697="","",MAX(Settings!$B$4,Settings!$B$5*AVERAGE(IF(Master_Data!O697&lt;&gt;"",Master_Data!O697,Master_Data!H697),IF(Master_Data!O698&lt;&gt;"",Master_Data!O698,Master_Data!H698))))</f>
        <v/>
      </c>
      <c r="I697" s="20">
        <f>IF(G697="","",G697-H697)</f>
        <v/>
      </c>
      <c r="J697" s="20">
        <f>IF(G697="","",G697+H697)</f>
        <v/>
      </c>
      <c r="K697" s="20">
        <f>IF($A697="","",Master_Data!G697)</f>
        <v/>
      </c>
      <c r="L697" s="20">
        <f>IF($A697="","",Master_Data!G698)</f>
        <v/>
      </c>
      <c r="M697" s="20">
        <f>IF(AND(ISNUMBER(K697),ISNUMBER(L697)),L697-K697,"")</f>
        <v/>
      </c>
      <c r="N697" s="19">
        <f>IF(G697="","",IF(AND(ISNUMBER(K697),ISNUMBER(L697)),IF(OR(F697="GOC",F697="OWC",F697="GWC",F697="OWC_TRANSITION",F697="GOC_TRANSITION"),IF(L697&gt;=K697,"Supports","Conflicts"),"N/A"),"No Sw"))</f>
        <v/>
      </c>
      <c r="O697" s="20">
        <f>IF(G697="","",Settings!$B$6*IF(OR(F697="GOC",F697="OWC",F697="GWC"),1,0.7)+Settings!$B$7*IF(N697="Supports",1,IF(N697="Conflicts",0,0.5))+Settings!$B$8*IF(AND(Master_Data!R697&lt;&gt;"",Master_Data!S697&lt;&gt;"",Master_Data!R698&lt;&gt;"",Master_Data!S698&lt;&gt;""),1,0.5))</f>
        <v/>
      </c>
      <c r="P697" s="19">
        <f>IF(G697="","",IF(N697="Conflicts","SW_CONFLICT",IF(OR(F697="GOC",F697="OWC",F697="GWC"),"DIRECT_FLUID_TRANSITION","TRANSITION_INTERVAL")))</f>
        <v/>
      </c>
      <c r="Q697" s="19">
        <f>IF(G697="","",IF(N697="Conflicts","Investigate contact interpretation / saturation behaviour",IF(OR(F697="OWC",F697="GOC",F697="GWC"),"Candidate contact — validate with logs, pressure and dynamic evidence","Transition zone — do not force to a sharp contact")))</f>
        <v/>
      </c>
    </row>
    <row r="698">
      <c r="A698" s="19">
        <f>IF(AND(Master_Data!A698&lt;&gt;"",Master_Data!A698=Master_Data!A699),Master_Data!A698,"")</f>
        <v/>
      </c>
      <c r="B698" s="19">
        <f>IF($A698="","",Master_Data!B698)</f>
        <v/>
      </c>
      <c r="C698" s="19">
        <f>IF($A698="","",Master_Data!B699)</f>
        <v/>
      </c>
      <c r="D698" s="19">
        <f>IF($A698="","",Master_Data!Q698)</f>
        <v/>
      </c>
      <c r="E698" s="19">
        <f>IF($A698="","",Master_Data!Q699)</f>
        <v/>
      </c>
      <c r="F698" s="19">
        <f>IF($A698="","",IF(AND(D698="GAS",E698="OIL"),"GOC",IF(AND(D698="OIL",E698="WATER"),"OWC",IF(AND(D698="GAS",E698="WATER"),"GWC",IF(AND(D698="OIL",E698="OIL_WATER"),"OWC_TRANSITION",IF(AND(D698="OIL_WATER",E698="WATER"),"OWC_TRANSITION",IF(AND(D698="GAS",E698="GAS_WATER"),"GOC_TRANSITION",IF(AND(D698="GAS_WATER",E698="OIL"),"GOC_TRANSITION",IF(OR(D698="OIL_WATER",D698="GAS_WATER"),"TRANSITION_INTERVAL","")))))))))</f>
        <v/>
      </c>
      <c r="G698" s="20">
        <f>IF(OR(F698="",Master_Data!R698="",Master_Data!S698=""),"",IF(RIGHT(F698,10)="TRANSITION",AVERAGE(Master_Data!R698:Master_Data!S698),AVERAGE(Master_Data!S698,Master_Data!R699)))</f>
        <v/>
      </c>
      <c r="H698" s="20">
        <f>IF(G698="","",MAX(Settings!$B$4,Settings!$B$5*AVERAGE(IF(Master_Data!O698&lt;&gt;"",Master_Data!O698,Master_Data!H698),IF(Master_Data!O699&lt;&gt;"",Master_Data!O699,Master_Data!H699))))</f>
        <v/>
      </c>
      <c r="I698" s="20">
        <f>IF(G698="","",G698-H698)</f>
        <v/>
      </c>
      <c r="J698" s="20">
        <f>IF(G698="","",G698+H698)</f>
        <v/>
      </c>
      <c r="K698" s="20">
        <f>IF($A698="","",Master_Data!G698)</f>
        <v/>
      </c>
      <c r="L698" s="20">
        <f>IF($A698="","",Master_Data!G699)</f>
        <v/>
      </c>
      <c r="M698" s="20">
        <f>IF(AND(ISNUMBER(K698),ISNUMBER(L698)),L698-K698,"")</f>
        <v/>
      </c>
      <c r="N698" s="19">
        <f>IF(G698="","",IF(AND(ISNUMBER(K698),ISNUMBER(L698)),IF(OR(F698="GOC",F698="OWC",F698="GWC",F698="OWC_TRANSITION",F698="GOC_TRANSITION"),IF(L698&gt;=K698,"Supports","Conflicts"),"N/A"),"No Sw"))</f>
        <v/>
      </c>
      <c r="O698" s="20">
        <f>IF(G698="","",Settings!$B$6*IF(OR(F698="GOC",F698="OWC",F698="GWC"),1,0.7)+Settings!$B$7*IF(N698="Supports",1,IF(N698="Conflicts",0,0.5))+Settings!$B$8*IF(AND(Master_Data!R698&lt;&gt;"",Master_Data!S698&lt;&gt;"",Master_Data!R699&lt;&gt;"",Master_Data!S699&lt;&gt;""),1,0.5))</f>
        <v/>
      </c>
      <c r="P698" s="19">
        <f>IF(G698="","",IF(N698="Conflicts","SW_CONFLICT",IF(OR(F698="GOC",F698="OWC",F698="GWC"),"DIRECT_FLUID_TRANSITION","TRANSITION_INTERVAL")))</f>
        <v/>
      </c>
      <c r="Q698" s="19">
        <f>IF(G698="","",IF(N698="Conflicts","Investigate contact interpretation / saturation behaviour",IF(OR(F698="OWC",F698="GOC",F698="GWC"),"Candidate contact — validate with logs, pressure and dynamic evidence","Transition zone — do not force to a sharp contact")))</f>
        <v/>
      </c>
    </row>
    <row r="699">
      <c r="A699" s="19">
        <f>IF(AND(Master_Data!A699&lt;&gt;"",Master_Data!A699=Master_Data!A700),Master_Data!A699,"")</f>
        <v/>
      </c>
      <c r="B699" s="19">
        <f>IF($A699="","",Master_Data!B699)</f>
        <v/>
      </c>
      <c r="C699" s="19">
        <f>IF($A699="","",Master_Data!B700)</f>
        <v/>
      </c>
      <c r="D699" s="19">
        <f>IF($A699="","",Master_Data!Q699)</f>
        <v/>
      </c>
      <c r="E699" s="19">
        <f>IF($A699="","",Master_Data!Q700)</f>
        <v/>
      </c>
      <c r="F699" s="19">
        <f>IF($A699="","",IF(AND(D699="GAS",E699="OIL"),"GOC",IF(AND(D699="OIL",E699="WATER"),"OWC",IF(AND(D699="GAS",E699="WATER"),"GWC",IF(AND(D699="OIL",E699="OIL_WATER"),"OWC_TRANSITION",IF(AND(D699="OIL_WATER",E699="WATER"),"OWC_TRANSITION",IF(AND(D699="GAS",E699="GAS_WATER"),"GOC_TRANSITION",IF(AND(D699="GAS_WATER",E699="OIL"),"GOC_TRANSITION",IF(OR(D699="OIL_WATER",D699="GAS_WATER"),"TRANSITION_INTERVAL","")))))))))</f>
        <v/>
      </c>
      <c r="G699" s="20">
        <f>IF(OR(F699="",Master_Data!R699="",Master_Data!S699=""),"",IF(RIGHT(F699,10)="TRANSITION",AVERAGE(Master_Data!R699:Master_Data!S699),AVERAGE(Master_Data!S699,Master_Data!R700)))</f>
        <v/>
      </c>
      <c r="H699" s="20">
        <f>IF(G699="","",MAX(Settings!$B$4,Settings!$B$5*AVERAGE(IF(Master_Data!O699&lt;&gt;"",Master_Data!O699,Master_Data!H699),IF(Master_Data!O700&lt;&gt;"",Master_Data!O700,Master_Data!H700))))</f>
        <v/>
      </c>
      <c r="I699" s="20">
        <f>IF(G699="","",G699-H699)</f>
        <v/>
      </c>
      <c r="J699" s="20">
        <f>IF(G699="","",G699+H699)</f>
        <v/>
      </c>
      <c r="K699" s="20">
        <f>IF($A699="","",Master_Data!G699)</f>
        <v/>
      </c>
      <c r="L699" s="20">
        <f>IF($A699="","",Master_Data!G700)</f>
        <v/>
      </c>
      <c r="M699" s="20">
        <f>IF(AND(ISNUMBER(K699),ISNUMBER(L699)),L699-K699,"")</f>
        <v/>
      </c>
      <c r="N699" s="19">
        <f>IF(G699="","",IF(AND(ISNUMBER(K699),ISNUMBER(L699)),IF(OR(F699="GOC",F699="OWC",F699="GWC",F699="OWC_TRANSITION",F699="GOC_TRANSITION"),IF(L699&gt;=K699,"Supports","Conflicts"),"N/A"),"No Sw"))</f>
        <v/>
      </c>
      <c r="O699" s="20">
        <f>IF(G699="","",Settings!$B$6*IF(OR(F699="GOC",F699="OWC",F699="GWC"),1,0.7)+Settings!$B$7*IF(N699="Supports",1,IF(N699="Conflicts",0,0.5))+Settings!$B$8*IF(AND(Master_Data!R699&lt;&gt;"",Master_Data!S699&lt;&gt;"",Master_Data!R700&lt;&gt;"",Master_Data!S700&lt;&gt;""),1,0.5))</f>
        <v/>
      </c>
      <c r="P699" s="19">
        <f>IF(G699="","",IF(N699="Conflicts","SW_CONFLICT",IF(OR(F699="GOC",F699="OWC",F699="GWC"),"DIRECT_FLUID_TRANSITION","TRANSITION_INTERVAL")))</f>
        <v/>
      </c>
      <c r="Q699" s="19">
        <f>IF(G699="","",IF(N699="Conflicts","Investigate contact interpretation / saturation behaviour",IF(OR(F699="OWC",F699="GOC",F699="GWC"),"Candidate contact — validate with logs, pressure and dynamic evidence","Transition zone — do not force to a sharp contact")))</f>
        <v/>
      </c>
    </row>
    <row r="700">
      <c r="A700" s="19">
        <f>IF(AND(Master_Data!A700&lt;&gt;"",Master_Data!A700=Master_Data!A701),Master_Data!A700,"")</f>
        <v/>
      </c>
      <c r="B700" s="19">
        <f>IF($A700="","",Master_Data!B700)</f>
        <v/>
      </c>
      <c r="C700" s="19">
        <f>IF($A700="","",Master_Data!B701)</f>
        <v/>
      </c>
      <c r="D700" s="19">
        <f>IF($A700="","",Master_Data!Q700)</f>
        <v/>
      </c>
      <c r="E700" s="19">
        <f>IF($A700="","",Master_Data!Q701)</f>
        <v/>
      </c>
      <c r="F700" s="19">
        <f>IF($A700="","",IF(AND(D700="GAS",E700="OIL"),"GOC",IF(AND(D700="OIL",E700="WATER"),"OWC",IF(AND(D700="GAS",E700="WATER"),"GWC",IF(AND(D700="OIL",E700="OIL_WATER"),"OWC_TRANSITION",IF(AND(D700="OIL_WATER",E700="WATER"),"OWC_TRANSITION",IF(AND(D700="GAS",E700="GAS_WATER"),"GOC_TRANSITION",IF(AND(D700="GAS_WATER",E700="OIL"),"GOC_TRANSITION",IF(OR(D700="OIL_WATER",D700="GAS_WATER"),"TRANSITION_INTERVAL","")))))))))</f>
        <v/>
      </c>
      <c r="G700" s="20">
        <f>IF(OR(F700="",Master_Data!R700="",Master_Data!S700=""),"",IF(RIGHT(F700,10)="TRANSITION",AVERAGE(Master_Data!R700:Master_Data!S700),AVERAGE(Master_Data!S700,Master_Data!R701)))</f>
        <v/>
      </c>
      <c r="H700" s="20">
        <f>IF(G700="","",MAX(Settings!$B$4,Settings!$B$5*AVERAGE(IF(Master_Data!O700&lt;&gt;"",Master_Data!O700,Master_Data!H700),IF(Master_Data!O701&lt;&gt;"",Master_Data!O701,Master_Data!H701))))</f>
        <v/>
      </c>
      <c r="I700" s="20">
        <f>IF(G700="","",G700-H700)</f>
        <v/>
      </c>
      <c r="J700" s="20">
        <f>IF(G700="","",G700+H700)</f>
        <v/>
      </c>
      <c r="K700" s="20">
        <f>IF($A700="","",Master_Data!G700)</f>
        <v/>
      </c>
      <c r="L700" s="20">
        <f>IF($A700="","",Master_Data!G701)</f>
        <v/>
      </c>
      <c r="M700" s="20">
        <f>IF(AND(ISNUMBER(K700),ISNUMBER(L700)),L700-K700,"")</f>
        <v/>
      </c>
      <c r="N700" s="19">
        <f>IF(G700="","",IF(AND(ISNUMBER(K700),ISNUMBER(L700)),IF(OR(F700="GOC",F700="OWC",F700="GWC",F700="OWC_TRANSITION",F700="GOC_TRANSITION"),IF(L700&gt;=K700,"Supports","Conflicts"),"N/A"),"No Sw"))</f>
        <v/>
      </c>
      <c r="O700" s="20">
        <f>IF(G700="","",Settings!$B$6*IF(OR(F700="GOC",F700="OWC",F700="GWC"),1,0.7)+Settings!$B$7*IF(N700="Supports",1,IF(N700="Conflicts",0,0.5))+Settings!$B$8*IF(AND(Master_Data!R700&lt;&gt;"",Master_Data!S700&lt;&gt;"",Master_Data!R701&lt;&gt;"",Master_Data!S701&lt;&gt;""),1,0.5))</f>
        <v/>
      </c>
      <c r="P700" s="19">
        <f>IF(G700="","",IF(N700="Conflicts","SW_CONFLICT",IF(OR(F700="GOC",F700="OWC",F700="GWC"),"DIRECT_FLUID_TRANSITION","TRANSITION_INTERVAL")))</f>
        <v/>
      </c>
      <c r="Q700" s="19">
        <f>IF(G700="","",IF(N700="Conflicts","Investigate contact interpretation / saturation behaviour",IF(OR(F700="OWC",F700="GOC",F700="GWC"),"Candidate contact — validate with logs, pressure and dynamic evidence","Transition zone — do not force to a sharp contact")))</f>
        <v/>
      </c>
    </row>
    <row r="701">
      <c r="A701" s="19">
        <f>IF(AND(Master_Data!A701&lt;&gt;"",Master_Data!A701=Master_Data!A702),Master_Data!A701,"")</f>
        <v/>
      </c>
      <c r="B701" s="19">
        <f>IF($A701="","",Master_Data!B701)</f>
        <v/>
      </c>
      <c r="C701" s="19">
        <f>IF($A701="","",Master_Data!B702)</f>
        <v/>
      </c>
      <c r="D701" s="19">
        <f>IF($A701="","",Master_Data!Q701)</f>
        <v/>
      </c>
      <c r="E701" s="19">
        <f>IF($A701="","",Master_Data!Q702)</f>
        <v/>
      </c>
      <c r="F701" s="19">
        <f>IF($A701="","",IF(AND(D701="GAS",E701="OIL"),"GOC",IF(AND(D701="OIL",E701="WATER"),"OWC",IF(AND(D701="GAS",E701="WATER"),"GWC",IF(AND(D701="OIL",E701="OIL_WATER"),"OWC_TRANSITION",IF(AND(D701="OIL_WATER",E701="WATER"),"OWC_TRANSITION",IF(AND(D701="GAS",E701="GAS_WATER"),"GOC_TRANSITION",IF(AND(D701="GAS_WATER",E701="OIL"),"GOC_TRANSITION",IF(OR(D701="OIL_WATER",D701="GAS_WATER"),"TRANSITION_INTERVAL","")))))))))</f>
        <v/>
      </c>
      <c r="G701" s="20">
        <f>IF(OR(F701="",Master_Data!R701="",Master_Data!S701=""),"",IF(RIGHT(F701,10)="TRANSITION",AVERAGE(Master_Data!R701:Master_Data!S701),AVERAGE(Master_Data!S701,Master_Data!R702)))</f>
        <v/>
      </c>
      <c r="H701" s="20">
        <f>IF(G701="","",MAX(Settings!$B$4,Settings!$B$5*AVERAGE(IF(Master_Data!O701&lt;&gt;"",Master_Data!O701,Master_Data!H701),IF(Master_Data!O702&lt;&gt;"",Master_Data!O702,Master_Data!H702))))</f>
        <v/>
      </c>
      <c r="I701" s="20">
        <f>IF(G701="","",G701-H701)</f>
        <v/>
      </c>
      <c r="J701" s="20">
        <f>IF(G701="","",G701+H701)</f>
        <v/>
      </c>
      <c r="K701" s="20">
        <f>IF($A701="","",Master_Data!G701)</f>
        <v/>
      </c>
      <c r="L701" s="20">
        <f>IF($A701="","",Master_Data!G702)</f>
        <v/>
      </c>
      <c r="M701" s="20">
        <f>IF(AND(ISNUMBER(K701),ISNUMBER(L701)),L701-K701,"")</f>
        <v/>
      </c>
      <c r="N701" s="19">
        <f>IF(G701="","",IF(AND(ISNUMBER(K701),ISNUMBER(L701)),IF(OR(F701="GOC",F701="OWC",F701="GWC",F701="OWC_TRANSITION",F701="GOC_TRANSITION"),IF(L701&gt;=K701,"Supports","Conflicts"),"N/A"),"No Sw"))</f>
        <v/>
      </c>
      <c r="O701" s="20">
        <f>IF(G701="","",Settings!$B$6*IF(OR(F701="GOC",F701="OWC",F701="GWC"),1,0.7)+Settings!$B$7*IF(N701="Supports",1,IF(N701="Conflicts",0,0.5))+Settings!$B$8*IF(AND(Master_Data!R701&lt;&gt;"",Master_Data!S701&lt;&gt;"",Master_Data!R702&lt;&gt;"",Master_Data!S702&lt;&gt;""),1,0.5))</f>
        <v/>
      </c>
      <c r="P701" s="19">
        <f>IF(G701="","",IF(N701="Conflicts","SW_CONFLICT",IF(OR(F701="GOC",F701="OWC",F701="GWC"),"DIRECT_FLUID_TRANSITION","TRANSITION_INTERVAL")))</f>
        <v/>
      </c>
      <c r="Q701" s="19">
        <f>IF(G701="","",IF(N701="Conflicts","Investigate contact interpretation / saturation behaviour",IF(OR(F701="OWC",F701="GOC",F701="GWC"),"Candidate contact — validate with logs, pressure and dynamic evidence","Transition zone — do not force to a sharp contact")))</f>
        <v/>
      </c>
    </row>
    <row r="702">
      <c r="A702" s="19">
        <f>IF(AND(Master_Data!A702&lt;&gt;"",Master_Data!A702=Master_Data!A703),Master_Data!A702,"")</f>
        <v/>
      </c>
      <c r="B702" s="19">
        <f>IF($A702="","",Master_Data!B702)</f>
        <v/>
      </c>
      <c r="C702" s="19">
        <f>IF($A702="","",Master_Data!B703)</f>
        <v/>
      </c>
      <c r="D702" s="19">
        <f>IF($A702="","",Master_Data!Q702)</f>
        <v/>
      </c>
      <c r="E702" s="19">
        <f>IF($A702="","",Master_Data!Q703)</f>
        <v/>
      </c>
      <c r="F702" s="19">
        <f>IF($A702="","",IF(AND(D702="GAS",E702="OIL"),"GOC",IF(AND(D702="OIL",E702="WATER"),"OWC",IF(AND(D702="GAS",E702="WATER"),"GWC",IF(AND(D702="OIL",E702="OIL_WATER"),"OWC_TRANSITION",IF(AND(D702="OIL_WATER",E702="WATER"),"OWC_TRANSITION",IF(AND(D702="GAS",E702="GAS_WATER"),"GOC_TRANSITION",IF(AND(D702="GAS_WATER",E702="OIL"),"GOC_TRANSITION",IF(OR(D702="OIL_WATER",D702="GAS_WATER"),"TRANSITION_INTERVAL","")))))))))</f>
        <v/>
      </c>
      <c r="G702" s="20">
        <f>IF(OR(F702="",Master_Data!R702="",Master_Data!S702=""),"",IF(RIGHT(F702,10)="TRANSITION",AVERAGE(Master_Data!R702:Master_Data!S702),AVERAGE(Master_Data!S702,Master_Data!R703)))</f>
        <v/>
      </c>
      <c r="H702" s="20">
        <f>IF(G702="","",MAX(Settings!$B$4,Settings!$B$5*AVERAGE(IF(Master_Data!O702&lt;&gt;"",Master_Data!O702,Master_Data!H702),IF(Master_Data!O703&lt;&gt;"",Master_Data!O703,Master_Data!H703))))</f>
        <v/>
      </c>
      <c r="I702" s="20">
        <f>IF(G702="","",G702-H702)</f>
        <v/>
      </c>
      <c r="J702" s="20">
        <f>IF(G702="","",G702+H702)</f>
        <v/>
      </c>
      <c r="K702" s="20">
        <f>IF($A702="","",Master_Data!G702)</f>
        <v/>
      </c>
      <c r="L702" s="20">
        <f>IF($A702="","",Master_Data!G703)</f>
        <v/>
      </c>
      <c r="M702" s="20">
        <f>IF(AND(ISNUMBER(K702),ISNUMBER(L702)),L702-K702,"")</f>
        <v/>
      </c>
      <c r="N702" s="19">
        <f>IF(G702="","",IF(AND(ISNUMBER(K702),ISNUMBER(L702)),IF(OR(F702="GOC",F702="OWC",F702="GWC",F702="OWC_TRANSITION",F702="GOC_TRANSITION"),IF(L702&gt;=K702,"Supports","Conflicts"),"N/A"),"No Sw"))</f>
        <v/>
      </c>
      <c r="O702" s="20">
        <f>IF(G702="","",Settings!$B$6*IF(OR(F702="GOC",F702="OWC",F702="GWC"),1,0.7)+Settings!$B$7*IF(N702="Supports",1,IF(N702="Conflicts",0,0.5))+Settings!$B$8*IF(AND(Master_Data!R702&lt;&gt;"",Master_Data!S702&lt;&gt;"",Master_Data!R703&lt;&gt;"",Master_Data!S703&lt;&gt;""),1,0.5))</f>
        <v/>
      </c>
      <c r="P702" s="19">
        <f>IF(G702="","",IF(N702="Conflicts","SW_CONFLICT",IF(OR(F702="GOC",F702="OWC",F702="GWC"),"DIRECT_FLUID_TRANSITION","TRANSITION_INTERVAL")))</f>
        <v/>
      </c>
      <c r="Q702" s="19">
        <f>IF(G702="","",IF(N702="Conflicts","Investigate contact interpretation / saturation behaviour",IF(OR(F702="OWC",F702="GOC",F702="GWC"),"Candidate contact — validate with logs, pressure and dynamic evidence","Transition zone — do not force to a sharp contact")))</f>
        <v/>
      </c>
    </row>
    <row r="703">
      <c r="A703" s="19">
        <f>IF(AND(Master_Data!A703&lt;&gt;"",Master_Data!A703=Master_Data!A704),Master_Data!A703,"")</f>
        <v/>
      </c>
      <c r="B703" s="19">
        <f>IF($A703="","",Master_Data!B703)</f>
        <v/>
      </c>
      <c r="C703" s="19">
        <f>IF($A703="","",Master_Data!B704)</f>
        <v/>
      </c>
      <c r="D703" s="19">
        <f>IF($A703="","",Master_Data!Q703)</f>
        <v/>
      </c>
      <c r="E703" s="19">
        <f>IF($A703="","",Master_Data!Q704)</f>
        <v/>
      </c>
      <c r="F703" s="19">
        <f>IF($A703="","",IF(AND(D703="GAS",E703="OIL"),"GOC",IF(AND(D703="OIL",E703="WATER"),"OWC",IF(AND(D703="GAS",E703="WATER"),"GWC",IF(AND(D703="OIL",E703="OIL_WATER"),"OWC_TRANSITION",IF(AND(D703="OIL_WATER",E703="WATER"),"OWC_TRANSITION",IF(AND(D703="GAS",E703="GAS_WATER"),"GOC_TRANSITION",IF(AND(D703="GAS_WATER",E703="OIL"),"GOC_TRANSITION",IF(OR(D703="OIL_WATER",D703="GAS_WATER"),"TRANSITION_INTERVAL","")))))))))</f>
        <v/>
      </c>
      <c r="G703" s="20">
        <f>IF(OR(F703="",Master_Data!R703="",Master_Data!S703=""),"",IF(RIGHT(F703,10)="TRANSITION",AVERAGE(Master_Data!R703:Master_Data!S703),AVERAGE(Master_Data!S703,Master_Data!R704)))</f>
        <v/>
      </c>
      <c r="H703" s="20">
        <f>IF(G703="","",MAX(Settings!$B$4,Settings!$B$5*AVERAGE(IF(Master_Data!O703&lt;&gt;"",Master_Data!O703,Master_Data!H703),IF(Master_Data!O704&lt;&gt;"",Master_Data!O704,Master_Data!H704))))</f>
        <v/>
      </c>
      <c r="I703" s="20">
        <f>IF(G703="","",G703-H703)</f>
        <v/>
      </c>
      <c r="J703" s="20">
        <f>IF(G703="","",G703+H703)</f>
        <v/>
      </c>
      <c r="K703" s="20">
        <f>IF($A703="","",Master_Data!G703)</f>
        <v/>
      </c>
      <c r="L703" s="20">
        <f>IF($A703="","",Master_Data!G704)</f>
        <v/>
      </c>
      <c r="M703" s="20">
        <f>IF(AND(ISNUMBER(K703),ISNUMBER(L703)),L703-K703,"")</f>
        <v/>
      </c>
      <c r="N703" s="19">
        <f>IF(G703="","",IF(AND(ISNUMBER(K703),ISNUMBER(L703)),IF(OR(F703="GOC",F703="OWC",F703="GWC",F703="OWC_TRANSITION",F703="GOC_TRANSITION"),IF(L703&gt;=K703,"Supports","Conflicts"),"N/A"),"No Sw"))</f>
        <v/>
      </c>
      <c r="O703" s="20">
        <f>IF(G703="","",Settings!$B$6*IF(OR(F703="GOC",F703="OWC",F703="GWC"),1,0.7)+Settings!$B$7*IF(N703="Supports",1,IF(N703="Conflicts",0,0.5))+Settings!$B$8*IF(AND(Master_Data!R703&lt;&gt;"",Master_Data!S703&lt;&gt;"",Master_Data!R704&lt;&gt;"",Master_Data!S704&lt;&gt;""),1,0.5))</f>
        <v/>
      </c>
      <c r="P703" s="19">
        <f>IF(G703="","",IF(N703="Conflicts","SW_CONFLICT",IF(OR(F703="GOC",F703="OWC",F703="GWC"),"DIRECT_FLUID_TRANSITION","TRANSITION_INTERVAL")))</f>
        <v/>
      </c>
      <c r="Q703" s="19">
        <f>IF(G703="","",IF(N703="Conflicts","Investigate contact interpretation / saturation behaviour",IF(OR(F703="OWC",F703="GOC",F703="GWC"),"Candidate contact — validate with logs, pressure and dynamic evidence","Transition zone — do not force to a sharp contact")))</f>
        <v/>
      </c>
    </row>
    <row r="704">
      <c r="A704" s="19">
        <f>IF(AND(Master_Data!A704&lt;&gt;"",Master_Data!A704=Master_Data!A705),Master_Data!A704,"")</f>
        <v/>
      </c>
      <c r="B704" s="19">
        <f>IF($A704="","",Master_Data!B704)</f>
        <v/>
      </c>
      <c r="C704" s="19">
        <f>IF($A704="","",Master_Data!B705)</f>
        <v/>
      </c>
      <c r="D704" s="19">
        <f>IF($A704="","",Master_Data!Q704)</f>
        <v/>
      </c>
      <c r="E704" s="19">
        <f>IF($A704="","",Master_Data!Q705)</f>
        <v/>
      </c>
      <c r="F704" s="19">
        <f>IF($A704="","",IF(AND(D704="GAS",E704="OIL"),"GOC",IF(AND(D704="OIL",E704="WATER"),"OWC",IF(AND(D704="GAS",E704="WATER"),"GWC",IF(AND(D704="OIL",E704="OIL_WATER"),"OWC_TRANSITION",IF(AND(D704="OIL_WATER",E704="WATER"),"OWC_TRANSITION",IF(AND(D704="GAS",E704="GAS_WATER"),"GOC_TRANSITION",IF(AND(D704="GAS_WATER",E704="OIL"),"GOC_TRANSITION",IF(OR(D704="OIL_WATER",D704="GAS_WATER"),"TRANSITION_INTERVAL","")))))))))</f>
        <v/>
      </c>
      <c r="G704" s="20">
        <f>IF(OR(F704="",Master_Data!R704="",Master_Data!S704=""),"",IF(RIGHT(F704,10)="TRANSITION",AVERAGE(Master_Data!R704:Master_Data!S704),AVERAGE(Master_Data!S704,Master_Data!R705)))</f>
        <v/>
      </c>
      <c r="H704" s="20">
        <f>IF(G704="","",MAX(Settings!$B$4,Settings!$B$5*AVERAGE(IF(Master_Data!O704&lt;&gt;"",Master_Data!O704,Master_Data!H704),IF(Master_Data!O705&lt;&gt;"",Master_Data!O705,Master_Data!H705))))</f>
        <v/>
      </c>
      <c r="I704" s="20">
        <f>IF(G704="","",G704-H704)</f>
        <v/>
      </c>
      <c r="J704" s="20">
        <f>IF(G704="","",G704+H704)</f>
        <v/>
      </c>
      <c r="K704" s="20">
        <f>IF($A704="","",Master_Data!G704)</f>
        <v/>
      </c>
      <c r="L704" s="20">
        <f>IF($A704="","",Master_Data!G705)</f>
        <v/>
      </c>
      <c r="M704" s="20">
        <f>IF(AND(ISNUMBER(K704),ISNUMBER(L704)),L704-K704,"")</f>
        <v/>
      </c>
      <c r="N704" s="19">
        <f>IF(G704="","",IF(AND(ISNUMBER(K704),ISNUMBER(L704)),IF(OR(F704="GOC",F704="OWC",F704="GWC",F704="OWC_TRANSITION",F704="GOC_TRANSITION"),IF(L704&gt;=K704,"Supports","Conflicts"),"N/A"),"No Sw"))</f>
        <v/>
      </c>
      <c r="O704" s="20">
        <f>IF(G704="","",Settings!$B$6*IF(OR(F704="GOC",F704="OWC",F704="GWC"),1,0.7)+Settings!$B$7*IF(N704="Supports",1,IF(N704="Conflicts",0,0.5))+Settings!$B$8*IF(AND(Master_Data!R704&lt;&gt;"",Master_Data!S704&lt;&gt;"",Master_Data!R705&lt;&gt;"",Master_Data!S705&lt;&gt;""),1,0.5))</f>
        <v/>
      </c>
      <c r="P704" s="19">
        <f>IF(G704="","",IF(N704="Conflicts","SW_CONFLICT",IF(OR(F704="GOC",F704="OWC",F704="GWC"),"DIRECT_FLUID_TRANSITION","TRANSITION_INTERVAL")))</f>
        <v/>
      </c>
      <c r="Q704" s="19">
        <f>IF(G704="","",IF(N704="Conflicts","Investigate contact interpretation / saturation behaviour",IF(OR(F704="OWC",F704="GOC",F704="GWC"),"Candidate contact — validate with logs, pressure and dynamic evidence","Transition zone — do not force to a sharp contact")))</f>
        <v/>
      </c>
    </row>
    <row r="705">
      <c r="A705" s="19">
        <f>IF(AND(Master_Data!A705&lt;&gt;"",Master_Data!A705=Master_Data!A706),Master_Data!A705,"")</f>
        <v/>
      </c>
      <c r="B705" s="19">
        <f>IF($A705="","",Master_Data!B705)</f>
        <v/>
      </c>
      <c r="C705" s="19">
        <f>IF($A705="","",Master_Data!B706)</f>
        <v/>
      </c>
      <c r="D705" s="19">
        <f>IF($A705="","",Master_Data!Q705)</f>
        <v/>
      </c>
      <c r="E705" s="19">
        <f>IF($A705="","",Master_Data!Q706)</f>
        <v/>
      </c>
      <c r="F705" s="19">
        <f>IF($A705="","",IF(AND(D705="GAS",E705="OIL"),"GOC",IF(AND(D705="OIL",E705="WATER"),"OWC",IF(AND(D705="GAS",E705="WATER"),"GWC",IF(AND(D705="OIL",E705="OIL_WATER"),"OWC_TRANSITION",IF(AND(D705="OIL_WATER",E705="WATER"),"OWC_TRANSITION",IF(AND(D705="GAS",E705="GAS_WATER"),"GOC_TRANSITION",IF(AND(D705="GAS_WATER",E705="OIL"),"GOC_TRANSITION",IF(OR(D705="OIL_WATER",D705="GAS_WATER"),"TRANSITION_INTERVAL","")))))))))</f>
        <v/>
      </c>
      <c r="G705" s="20">
        <f>IF(OR(F705="",Master_Data!R705="",Master_Data!S705=""),"",IF(RIGHT(F705,10)="TRANSITION",AVERAGE(Master_Data!R705:Master_Data!S705),AVERAGE(Master_Data!S705,Master_Data!R706)))</f>
        <v/>
      </c>
      <c r="H705" s="20">
        <f>IF(G705="","",MAX(Settings!$B$4,Settings!$B$5*AVERAGE(IF(Master_Data!O705&lt;&gt;"",Master_Data!O705,Master_Data!H705),IF(Master_Data!O706&lt;&gt;"",Master_Data!O706,Master_Data!H706))))</f>
        <v/>
      </c>
      <c r="I705" s="20">
        <f>IF(G705="","",G705-H705)</f>
        <v/>
      </c>
      <c r="J705" s="20">
        <f>IF(G705="","",G705+H705)</f>
        <v/>
      </c>
      <c r="K705" s="20">
        <f>IF($A705="","",Master_Data!G705)</f>
        <v/>
      </c>
      <c r="L705" s="20">
        <f>IF($A705="","",Master_Data!G706)</f>
        <v/>
      </c>
      <c r="M705" s="20">
        <f>IF(AND(ISNUMBER(K705),ISNUMBER(L705)),L705-K705,"")</f>
        <v/>
      </c>
      <c r="N705" s="19">
        <f>IF(G705="","",IF(AND(ISNUMBER(K705),ISNUMBER(L705)),IF(OR(F705="GOC",F705="OWC",F705="GWC",F705="OWC_TRANSITION",F705="GOC_TRANSITION"),IF(L705&gt;=K705,"Supports","Conflicts"),"N/A"),"No Sw"))</f>
        <v/>
      </c>
      <c r="O705" s="20">
        <f>IF(G705="","",Settings!$B$6*IF(OR(F705="GOC",F705="OWC",F705="GWC"),1,0.7)+Settings!$B$7*IF(N705="Supports",1,IF(N705="Conflicts",0,0.5))+Settings!$B$8*IF(AND(Master_Data!R705&lt;&gt;"",Master_Data!S705&lt;&gt;"",Master_Data!R706&lt;&gt;"",Master_Data!S706&lt;&gt;""),1,0.5))</f>
        <v/>
      </c>
      <c r="P705" s="19">
        <f>IF(G705="","",IF(N705="Conflicts","SW_CONFLICT",IF(OR(F705="GOC",F705="OWC",F705="GWC"),"DIRECT_FLUID_TRANSITION","TRANSITION_INTERVAL")))</f>
        <v/>
      </c>
      <c r="Q705" s="19">
        <f>IF(G705="","",IF(N705="Conflicts","Investigate contact interpretation / saturation behaviour",IF(OR(F705="OWC",F705="GOC",F705="GWC"),"Candidate contact — validate with logs, pressure and dynamic evidence","Transition zone — do not force to a sharp contact")))</f>
        <v/>
      </c>
    </row>
    <row r="706">
      <c r="A706" s="19">
        <f>IF(AND(Master_Data!A706&lt;&gt;"",Master_Data!A706=Master_Data!A707),Master_Data!A706,"")</f>
        <v/>
      </c>
      <c r="B706" s="19">
        <f>IF($A706="","",Master_Data!B706)</f>
        <v/>
      </c>
      <c r="C706" s="19">
        <f>IF($A706="","",Master_Data!B707)</f>
        <v/>
      </c>
      <c r="D706" s="19">
        <f>IF($A706="","",Master_Data!Q706)</f>
        <v/>
      </c>
      <c r="E706" s="19">
        <f>IF($A706="","",Master_Data!Q707)</f>
        <v/>
      </c>
      <c r="F706" s="19">
        <f>IF($A706="","",IF(AND(D706="GAS",E706="OIL"),"GOC",IF(AND(D706="OIL",E706="WATER"),"OWC",IF(AND(D706="GAS",E706="WATER"),"GWC",IF(AND(D706="OIL",E706="OIL_WATER"),"OWC_TRANSITION",IF(AND(D706="OIL_WATER",E706="WATER"),"OWC_TRANSITION",IF(AND(D706="GAS",E706="GAS_WATER"),"GOC_TRANSITION",IF(AND(D706="GAS_WATER",E706="OIL"),"GOC_TRANSITION",IF(OR(D706="OIL_WATER",D706="GAS_WATER"),"TRANSITION_INTERVAL","")))))))))</f>
        <v/>
      </c>
      <c r="G706" s="20">
        <f>IF(OR(F706="",Master_Data!R706="",Master_Data!S706=""),"",IF(RIGHT(F706,10)="TRANSITION",AVERAGE(Master_Data!R706:Master_Data!S706),AVERAGE(Master_Data!S706,Master_Data!R707)))</f>
        <v/>
      </c>
      <c r="H706" s="20">
        <f>IF(G706="","",MAX(Settings!$B$4,Settings!$B$5*AVERAGE(IF(Master_Data!O706&lt;&gt;"",Master_Data!O706,Master_Data!H706),IF(Master_Data!O707&lt;&gt;"",Master_Data!O707,Master_Data!H707))))</f>
        <v/>
      </c>
      <c r="I706" s="20">
        <f>IF(G706="","",G706-H706)</f>
        <v/>
      </c>
      <c r="J706" s="20">
        <f>IF(G706="","",G706+H706)</f>
        <v/>
      </c>
      <c r="K706" s="20">
        <f>IF($A706="","",Master_Data!G706)</f>
        <v/>
      </c>
      <c r="L706" s="20">
        <f>IF($A706="","",Master_Data!G707)</f>
        <v/>
      </c>
      <c r="M706" s="20">
        <f>IF(AND(ISNUMBER(K706),ISNUMBER(L706)),L706-K706,"")</f>
        <v/>
      </c>
      <c r="N706" s="19">
        <f>IF(G706="","",IF(AND(ISNUMBER(K706),ISNUMBER(L706)),IF(OR(F706="GOC",F706="OWC",F706="GWC",F706="OWC_TRANSITION",F706="GOC_TRANSITION"),IF(L706&gt;=K706,"Supports","Conflicts"),"N/A"),"No Sw"))</f>
        <v/>
      </c>
      <c r="O706" s="20">
        <f>IF(G706="","",Settings!$B$6*IF(OR(F706="GOC",F706="OWC",F706="GWC"),1,0.7)+Settings!$B$7*IF(N706="Supports",1,IF(N706="Conflicts",0,0.5))+Settings!$B$8*IF(AND(Master_Data!R706&lt;&gt;"",Master_Data!S706&lt;&gt;"",Master_Data!R707&lt;&gt;"",Master_Data!S707&lt;&gt;""),1,0.5))</f>
        <v/>
      </c>
      <c r="P706" s="19">
        <f>IF(G706="","",IF(N706="Conflicts","SW_CONFLICT",IF(OR(F706="GOC",F706="OWC",F706="GWC"),"DIRECT_FLUID_TRANSITION","TRANSITION_INTERVAL")))</f>
        <v/>
      </c>
      <c r="Q706" s="19">
        <f>IF(G706="","",IF(N706="Conflicts","Investigate contact interpretation / saturation behaviour",IF(OR(F706="OWC",F706="GOC",F706="GWC"),"Candidate contact — validate with logs, pressure and dynamic evidence","Transition zone — do not force to a sharp contact")))</f>
        <v/>
      </c>
    </row>
    <row r="707">
      <c r="A707" s="19">
        <f>IF(AND(Master_Data!A707&lt;&gt;"",Master_Data!A707=Master_Data!A708),Master_Data!A707,"")</f>
        <v/>
      </c>
      <c r="B707" s="19">
        <f>IF($A707="","",Master_Data!B707)</f>
        <v/>
      </c>
      <c r="C707" s="19">
        <f>IF($A707="","",Master_Data!B708)</f>
        <v/>
      </c>
      <c r="D707" s="19">
        <f>IF($A707="","",Master_Data!Q707)</f>
        <v/>
      </c>
      <c r="E707" s="19">
        <f>IF($A707="","",Master_Data!Q708)</f>
        <v/>
      </c>
      <c r="F707" s="19">
        <f>IF($A707="","",IF(AND(D707="GAS",E707="OIL"),"GOC",IF(AND(D707="OIL",E707="WATER"),"OWC",IF(AND(D707="GAS",E707="WATER"),"GWC",IF(AND(D707="OIL",E707="OIL_WATER"),"OWC_TRANSITION",IF(AND(D707="OIL_WATER",E707="WATER"),"OWC_TRANSITION",IF(AND(D707="GAS",E707="GAS_WATER"),"GOC_TRANSITION",IF(AND(D707="GAS_WATER",E707="OIL"),"GOC_TRANSITION",IF(OR(D707="OIL_WATER",D707="GAS_WATER"),"TRANSITION_INTERVAL","")))))))))</f>
        <v/>
      </c>
      <c r="G707" s="20">
        <f>IF(OR(F707="",Master_Data!R707="",Master_Data!S707=""),"",IF(RIGHT(F707,10)="TRANSITION",AVERAGE(Master_Data!R707:Master_Data!S707),AVERAGE(Master_Data!S707,Master_Data!R708)))</f>
        <v/>
      </c>
      <c r="H707" s="20">
        <f>IF(G707="","",MAX(Settings!$B$4,Settings!$B$5*AVERAGE(IF(Master_Data!O707&lt;&gt;"",Master_Data!O707,Master_Data!H707),IF(Master_Data!O708&lt;&gt;"",Master_Data!O708,Master_Data!H708))))</f>
        <v/>
      </c>
      <c r="I707" s="20">
        <f>IF(G707="","",G707-H707)</f>
        <v/>
      </c>
      <c r="J707" s="20">
        <f>IF(G707="","",G707+H707)</f>
        <v/>
      </c>
      <c r="K707" s="20">
        <f>IF($A707="","",Master_Data!G707)</f>
        <v/>
      </c>
      <c r="L707" s="20">
        <f>IF($A707="","",Master_Data!G708)</f>
        <v/>
      </c>
      <c r="M707" s="20">
        <f>IF(AND(ISNUMBER(K707),ISNUMBER(L707)),L707-K707,"")</f>
        <v/>
      </c>
      <c r="N707" s="19">
        <f>IF(G707="","",IF(AND(ISNUMBER(K707),ISNUMBER(L707)),IF(OR(F707="GOC",F707="OWC",F707="GWC",F707="OWC_TRANSITION",F707="GOC_TRANSITION"),IF(L707&gt;=K707,"Supports","Conflicts"),"N/A"),"No Sw"))</f>
        <v/>
      </c>
      <c r="O707" s="20">
        <f>IF(G707="","",Settings!$B$6*IF(OR(F707="GOC",F707="OWC",F707="GWC"),1,0.7)+Settings!$B$7*IF(N707="Supports",1,IF(N707="Conflicts",0,0.5))+Settings!$B$8*IF(AND(Master_Data!R707&lt;&gt;"",Master_Data!S707&lt;&gt;"",Master_Data!R708&lt;&gt;"",Master_Data!S708&lt;&gt;""),1,0.5))</f>
        <v/>
      </c>
      <c r="P707" s="19">
        <f>IF(G707="","",IF(N707="Conflicts","SW_CONFLICT",IF(OR(F707="GOC",F707="OWC",F707="GWC"),"DIRECT_FLUID_TRANSITION","TRANSITION_INTERVAL")))</f>
        <v/>
      </c>
      <c r="Q707" s="19">
        <f>IF(G707="","",IF(N707="Conflicts","Investigate contact interpretation / saturation behaviour",IF(OR(F707="OWC",F707="GOC",F707="GWC"),"Candidate contact — validate with logs, pressure and dynamic evidence","Transition zone — do not force to a sharp contact")))</f>
        <v/>
      </c>
    </row>
    <row r="708">
      <c r="A708" s="19">
        <f>IF(AND(Master_Data!A708&lt;&gt;"",Master_Data!A708=Master_Data!A709),Master_Data!A708,"")</f>
        <v/>
      </c>
      <c r="B708" s="19">
        <f>IF($A708="","",Master_Data!B708)</f>
        <v/>
      </c>
      <c r="C708" s="19">
        <f>IF($A708="","",Master_Data!B709)</f>
        <v/>
      </c>
      <c r="D708" s="19">
        <f>IF($A708="","",Master_Data!Q708)</f>
        <v/>
      </c>
      <c r="E708" s="19">
        <f>IF($A708="","",Master_Data!Q709)</f>
        <v/>
      </c>
      <c r="F708" s="19">
        <f>IF($A708="","",IF(AND(D708="GAS",E708="OIL"),"GOC",IF(AND(D708="OIL",E708="WATER"),"OWC",IF(AND(D708="GAS",E708="WATER"),"GWC",IF(AND(D708="OIL",E708="OIL_WATER"),"OWC_TRANSITION",IF(AND(D708="OIL_WATER",E708="WATER"),"OWC_TRANSITION",IF(AND(D708="GAS",E708="GAS_WATER"),"GOC_TRANSITION",IF(AND(D708="GAS_WATER",E708="OIL"),"GOC_TRANSITION",IF(OR(D708="OIL_WATER",D708="GAS_WATER"),"TRANSITION_INTERVAL","")))))))))</f>
        <v/>
      </c>
      <c r="G708" s="20">
        <f>IF(OR(F708="",Master_Data!R708="",Master_Data!S708=""),"",IF(RIGHT(F708,10)="TRANSITION",AVERAGE(Master_Data!R708:Master_Data!S708),AVERAGE(Master_Data!S708,Master_Data!R709)))</f>
        <v/>
      </c>
      <c r="H708" s="20">
        <f>IF(G708="","",MAX(Settings!$B$4,Settings!$B$5*AVERAGE(IF(Master_Data!O708&lt;&gt;"",Master_Data!O708,Master_Data!H708),IF(Master_Data!O709&lt;&gt;"",Master_Data!O709,Master_Data!H709))))</f>
        <v/>
      </c>
      <c r="I708" s="20">
        <f>IF(G708="","",G708-H708)</f>
        <v/>
      </c>
      <c r="J708" s="20">
        <f>IF(G708="","",G708+H708)</f>
        <v/>
      </c>
      <c r="K708" s="20">
        <f>IF($A708="","",Master_Data!G708)</f>
        <v/>
      </c>
      <c r="L708" s="20">
        <f>IF($A708="","",Master_Data!G709)</f>
        <v/>
      </c>
      <c r="M708" s="20">
        <f>IF(AND(ISNUMBER(K708),ISNUMBER(L708)),L708-K708,"")</f>
        <v/>
      </c>
      <c r="N708" s="19">
        <f>IF(G708="","",IF(AND(ISNUMBER(K708),ISNUMBER(L708)),IF(OR(F708="GOC",F708="OWC",F708="GWC",F708="OWC_TRANSITION",F708="GOC_TRANSITION"),IF(L708&gt;=K708,"Supports","Conflicts"),"N/A"),"No Sw"))</f>
        <v/>
      </c>
      <c r="O708" s="20">
        <f>IF(G708="","",Settings!$B$6*IF(OR(F708="GOC",F708="OWC",F708="GWC"),1,0.7)+Settings!$B$7*IF(N708="Supports",1,IF(N708="Conflicts",0,0.5))+Settings!$B$8*IF(AND(Master_Data!R708&lt;&gt;"",Master_Data!S708&lt;&gt;"",Master_Data!R709&lt;&gt;"",Master_Data!S709&lt;&gt;""),1,0.5))</f>
        <v/>
      </c>
      <c r="P708" s="19">
        <f>IF(G708="","",IF(N708="Conflicts","SW_CONFLICT",IF(OR(F708="GOC",F708="OWC",F708="GWC"),"DIRECT_FLUID_TRANSITION","TRANSITION_INTERVAL")))</f>
        <v/>
      </c>
      <c r="Q708" s="19">
        <f>IF(G708="","",IF(N708="Conflicts","Investigate contact interpretation / saturation behaviour",IF(OR(F708="OWC",F708="GOC",F708="GWC"),"Candidate contact — validate with logs, pressure and dynamic evidence","Transition zone — do not force to a sharp contact")))</f>
        <v/>
      </c>
    </row>
    <row r="709">
      <c r="A709" s="19">
        <f>IF(AND(Master_Data!A709&lt;&gt;"",Master_Data!A709=Master_Data!A710),Master_Data!A709,"")</f>
        <v/>
      </c>
      <c r="B709" s="19">
        <f>IF($A709="","",Master_Data!B709)</f>
        <v/>
      </c>
      <c r="C709" s="19">
        <f>IF($A709="","",Master_Data!B710)</f>
        <v/>
      </c>
      <c r="D709" s="19">
        <f>IF($A709="","",Master_Data!Q709)</f>
        <v/>
      </c>
      <c r="E709" s="19">
        <f>IF($A709="","",Master_Data!Q710)</f>
        <v/>
      </c>
      <c r="F709" s="19">
        <f>IF($A709="","",IF(AND(D709="GAS",E709="OIL"),"GOC",IF(AND(D709="OIL",E709="WATER"),"OWC",IF(AND(D709="GAS",E709="WATER"),"GWC",IF(AND(D709="OIL",E709="OIL_WATER"),"OWC_TRANSITION",IF(AND(D709="OIL_WATER",E709="WATER"),"OWC_TRANSITION",IF(AND(D709="GAS",E709="GAS_WATER"),"GOC_TRANSITION",IF(AND(D709="GAS_WATER",E709="OIL"),"GOC_TRANSITION",IF(OR(D709="OIL_WATER",D709="GAS_WATER"),"TRANSITION_INTERVAL","")))))))))</f>
        <v/>
      </c>
      <c r="G709" s="20">
        <f>IF(OR(F709="",Master_Data!R709="",Master_Data!S709=""),"",IF(RIGHT(F709,10)="TRANSITION",AVERAGE(Master_Data!R709:Master_Data!S709),AVERAGE(Master_Data!S709,Master_Data!R710)))</f>
        <v/>
      </c>
      <c r="H709" s="20">
        <f>IF(G709="","",MAX(Settings!$B$4,Settings!$B$5*AVERAGE(IF(Master_Data!O709&lt;&gt;"",Master_Data!O709,Master_Data!H709),IF(Master_Data!O710&lt;&gt;"",Master_Data!O710,Master_Data!H710))))</f>
        <v/>
      </c>
      <c r="I709" s="20">
        <f>IF(G709="","",G709-H709)</f>
        <v/>
      </c>
      <c r="J709" s="20">
        <f>IF(G709="","",G709+H709)</f>
        <v/>
      </c>
      <c r="K709" s="20">
        <f>IF($A709="","",Master_Data!G709)</f>
        <v/>
      </c>
      <c r="L709" s="20">
        <f>IF($A709="","",Master_Data!G710)</f>
        <v/>
      </c>
      <c r="M709" s="20">
        <f>IF(AND(ISNUMBER(K709),ISNUMBER(L709)),L709-K709,"")</f>
        <v/>
      </c>
      <c r="N709" s="19">
        <f>IF(G709="","",IF(AND(ISNUMBER(K709),ISNUMBER(L709)),IF(OR(F709="GOC",F709="OWC",F709="GWC",F709="OWC_TRANSITION",F709="GOC_TRANSITION"),IF(L709&gt;=K709,"Supports","Conflicts"),"N/A"),"No Sw"))</f>
        <v/>
      </c>
      <c r="O709" s="20">
        <f>IF(G709="","",Settings!$B$6*IF(OR(F709="GOC",F709="OWC",F709="GWC"),1,0.7)+Settings!$B$7*IF(N709="Supports",1,IF(N709="Conflicts",0,0.5))+Settings!$B$8*IF(AND(Master_Data!R709&lt;&gt;"",Master_Data!S709&lt;&gt;"",Master_Data!R710&lt;&gt;"",Master_Data!S710&lt;&gt;""),1,0.5))</f>
        <v/>
      </c>
      <c r="P709" s="19">
        <f>IF(G709="","",IF(N709="Conflicts","SW_CONFLICT",IF(OR(F709="GOC",F709="OWC",F709="GWC"),"DIRECT_FLUID_TRANSITION","TRANSITION_INTERVAL")))</f>
        <v/>
      </c>
      <c r="Q709" s="19">
        <f>IF(G709="","",IF(N709="Conflicts","Investigate contact interpretation / saturation behaviour",IF(OR(F709="OWC",F709="GOC",F709="GWC"),"Candidate contact — validate with logs, pressure and dynamic evidence","Transition zone — do not force to a sharp contact")))</f>
        <v/>
      </c>
    </row>
    <row r="710">
      <c r="A710" s="19">
        <f>IF(AND(Master_Data!A710&lt;&gt;"",Master_Data!A710=Master_Data!A711),Master_Data!A710,"")</f>
        <v/>
      </c>
      <c r="B710" s="19">
        <f>IF($A710="","",Master_Data!B710)</f>
        <v/>
      </c>
      <c r="C710" s="19">
        <f>IF($A710="","",Master_Data!B711)</f>
        <v/>
      </c>
      <c r="D710" s="19">
        <f>IF($A710="","",Master_Data!Q710)</f>
        <v/>
      </c>
      <c r="E710" s="19">
        <f>IF($A710="","",Master_Data!Q711)</f>
        <v/>
      </c>
      <c r="F710" s="19">
        <f>IF($A710="","",IF(AND(D710="GAS",E710="OIL"),"GOC",IF(AND(D710="OIL",E710="WATER"),"OWC",IF(AND(D710="GAS",E710="WATER"),"GWC",IF(AND(D710="OIL",E710="OIL_WATER"),"OWC_TRANSITION",IF(AND(D710="OIL_WATER",E710="WATER"),"OWC_TRANSITION",IF(AND(D710="GAS",E710="GAS_WATER"),"GOC_TRANSITION",IF(AND(D710="GAS_WATER",E710="OIL"),"GOC_TRANSITION",IF(OR(D710="OIL_WATER",D710="GAS_WATER"),"TRANSITION_INTERVAL","")))))))))</f>
        <v/>
      </c>
      <c r="G710" s="20">
        <f>IF(OR(F710="",Master_Data!R710="",Master_Data!S710=""),"",IF(RIGHT(F710,10)="TRANSITION",AVERAGE(Master_Data!R710:Master_Data!S710),AVERAGE(Master_Data!S710,Master_Data!R711)))</f>
        <v/>
      </c>
      <c r="H710" s="20">
        <f>IF(G710="","",MAX(Settings!$B$4,Settings!$B$5*AVERAGE(IF(Master_Data!O710&lt;&gt;"",Master_Data!O710,Master_Data!H710),IF(Master_Data!O711&lt;&gt;"",Master_Data!O711,Master_Data!H711))))</f>
        <v/>
      </c>
      <c r="I710" s="20">
        <f>IF(G710="","",G710-H710)</f>
        <v/>
      </c>
      <c r="J710" s="20">
        <f>IF(G710="","",G710+H710)</f>
        <v/>
      </c>
      <c r="K710" s="20">
        <f>IF($A710="","",Master_Data!G710)</f>
        <v/>
      </c>
      <c r="L710" s="20">
        <f>IF($A710="","",Master_Data!G711)</f>
        <v/>
      </c>
      <c r="M710" s="20">
        <f>IF(AND(ISNUMBER(K710),ISNUMBER(L710)),L710-K710,"")</f>
        <v/>
      </c>
      <c r="N710" s="19">
        <f>IF(G710="","",IF(AND(ISNUMBER(K710),ISNUMBER(L710)),IF(OR(F710="GOC",F710="OWC",F710="GWC",F710="OWC_TRANSITION",F710="GOC_TRANSITION"),IF(L710&gt;=K710,"Supports","Conflicts"),"N/A"),"No Sw"))</f>
        <v/>
      </c>
      <c r="O710" s="20">
        <f>IF(G710="","",Settings!$B$6*IF(OR(F710="GOC",F710="OWC",F710="GWC"),1,0.7)+Settings!$B$7*IF(N710="Supports",1,IF(N710="Conflicts",0,0.5))+Settings!$B$8*IF(AND(Master_Data!R710&lt;&gt;"",Master_Data!S710&lt;&gt;"",Master_Data!R711&lt;&gt;"",Master_Data!S711&lt;&gt;""),1,0.5))</f>
        <v/>
      </c>
      <c r="P710" s="19">
        <f>IF(G710="","",IF(N710="Conflicts","SW_CONFLICT",IF(OR(F710="GOC",F710="OWC",F710="GWC"),"DIRECT_FLUID_TRANSITION","TRANSITION_INTERVAL")))</f>
        <v/>
      </c>
      <c r="Q710" s="19">
        <f>IF(G710="","",IF(N710="Conflicts","Investigate contact interpretation / saturation behaviour",IF(OR(F710="OWC",F710="GOC",F710="GWC"),"Candidate contact — validate with logs, pressure and dynamic evidence","Transition zone — do not force to a sharp contact")))</f>
        <v/>
      </c>
    </row>
    <row r="711">
      <c r="A711" s="19">
        <f>IF(AND(Master_Data!A711&lt;&gt;"",Master_Data!A711=Master_Data!A712),Master_Data!A711,"")</f>
        <v/>
      </c>
      <c r="B711" s="19">
        <f>IF($A711="","",Master_Data!B711)</f>
        <v/>
      </c>
      <c r="C711" s="19">
        <f>IF($A711="","",Master_Data!B712)</f>
        <v/>
      </c>
      <c r="D711" s="19">
        <f>IF($A711="","",Master_Data!Q711)</f>
        <v/>
      </c>
      <c r="E711" s="19">
        <f>IF($A711="","",Master_Data!Q712)</f>
        <v/>
      </c>
      <c r="F711" s="19">
        <f>IF($A711="","",IF(AND(D711="GAS",E711="OIL"),"GOC",IF(AND(D711="OIL",E711="WATER"),"OWC",IF(AND(D711="GAS",E711="WATER"),"GWC",IF(AND(D711="OIL",E711="OIL_WATER"),"OWC_TRANSITION",IF(AND(D711="OIL_WATER",E711="WATER"),"OWC_TRANSITION",IF(AND(D711="GAS",E711="GAS_WATER"),"GOC_TRANSITION",IF(AND(D711="GAS_WATER",E711="OIL"),"GOC_TRANSITION",IF(OR(D711="OIL_WATER",D711="GAS_WATER"),"TRANSITION_INTERVAL","")))))))))</f>
        <v/>
      </c>
      <c r="G711" s="20">
        <f>IF(OR(F711="",Master_Data!R711="",Master_Data!S711=""),"",IF(RIGHT(F711,10)="TRANSITION",AVERAGE(Master_Data!R711:Master_Data!S711),AVERAGE(Master_Data!S711,Master_Data!R712)))</f>
        <v/>
      </c>
      <c r="H711" s="20">
        <f>IF(G711="","",MAX(Settings!$B$4,Settings!$B$5*AVERAGE(IF(Master_Data!O711&lt;&gt;"",Master_Data!O711,Master_Data!H711),IF(Master_Data!O712&lt;&gt;"",Master_Data!O712,Master_Data!H712))))</f>
        <v/>
      </c>
      <c r="I711" s="20">
        <f>IF(G711="","",G711-H711)</f>
        <v/>
      </c>
      <c r="J711" s="20">
        <f>IF(G711="","",G711+H711)</f>
        <v/>
      </c>
      <c r="K711" s="20">
        <f>IF($A711="","",Master_Data!G711)</f>
        <v/>
      </c>
      <c r="L711" s="20">
        <f>IF($A711="","",Master_Data!G712)</f>
        <v/>
      </c>
      <c r="M711" s="20">
        <f>IF(AND(ISNUMBER(K711),ISNUMBER(L711)),L711-K711,"")</f>
        <v/>
      </c>
      <c r="N711" s="19">
        <f>IF(G711="","",IF(AND(ISNUMBER(K711),ISNUMBER(L711)),IF(OR(F711="GOC",F711="OWC",F711="GWC",F711="OWC_TRANSITION",F711="GOC_TRANSITION"),IF(L711&gt;=K711,"Supports","Conflicts"),"N/A"),"No Sw"))</f>
        <v/>
      </c>
      <c r="O711" s="20">
        <f>IF(G711="","",Settings!$B$6*IF(OR(F711="GOC",F711="OWC",F711="GWC"),1,0.7)+Settings!$B$7*IF(N711="Supports",1,IF(N711="Conflicts",0,0.5))+Settings!$B$8*IF(AND(Master_Data!R711&lt;&gt;"",Master_Data!S711&lt;&gt;"",Master_Data!R712&lt;&gt;"",Master_Data!S712&lt;&gt;""),1,0.5))</f>
        <v/>
      </c>
      <c r="P711" s="19">
        <f>IF(G711="","",IF(N711="Conflicts","SW_CONFLICT",IF(OR(F711="GOC",F711="OWC",F711="GWC"),"DIRECT_FLUID_TRANSITION","TRANSITION_INTERVAL")))</f>
        <v/>
      </c>
      <c r="Q711" s="19">
        <f>IF(G711="","",IF(N711="Conflicts","Investigate contact interpretation / saturation behaviour",IF(OR(F711="OWC",F711="GOC",F711="GWC"),"Candidate contact — validate with logs, pressure and dynamic evidence","Transition zone — do not force to a sharp contact")))</f>
        <v/>
      </c>
    </row>
    <row r="712">
      <c r="A712" s="19">
        <f>IF(AND(Master_Data!A712&lt;&gt;"",Master_Data!A712=Master_Data!A713),Master_Data!A712,"")</f>
        <v/>
      </c>
      <c r="B712" s="19">
        <f>IF($A712="","",Master_Data!B712)</f>
        <v/>
      </c>
      <c r="C712" s="19">
        <f>IF($A712="","",Master_Data!B713)</f>
        <v/>
      </c>
      <c r="D712" s="19">
        <f>IF($A712="","",Master_Data!Q712)</f>
        <v/>
      </c>
      <c r="E712" s="19">
        <f>IF($A712="","",Master_Data!Q713)</f>
        <v/>
      </c>
      <c r="F712" s="19">
        <f>IF($A712="","",IF(AND(D712="GAS",E712="OIL"),"GOC",IF(AND(D712="OIL",E712="WATER"),"OWC",IF(AND(D712="GAS",E712="WATER"),"GWC",IF(AND(D712="OIL",E712="OIL_WATER"),"OWC_TRANSITION",IF(AND(D712="OIL_WATER",E712="WATER"),"OWC_TRANSITION",IF(AND(D712="GAS",E712="GAS_WATER"),"GOC_TRANSITION",IF(AND(D712="GAS_WATER",E712="OIL"),"GOC_TRANSITION",IF(OR(D712="OIL_WATER",D712="GAS_WATER"),"TRANSITION_INTERVAL","")))))))))</f>
        <v/>
      </c>
      <c r="G712" s="20">
        <f>IF(OR(F712="",Master_Data!R712="",Master_Data!S712=""),"",IF(RIGHT(F712,10)="TRANSITION",AVERAGE(Master_Data!R712:Master_Data!S712),AVERAGE(Master_Data!S712,Master_Data!R713)))</f>
        <v/>
      </c>
      <c r="H712" s="20">
        <f>IF(G712="","",MAX(Settings!$B$4,Settings!$B$5*AVERAGE(IF(Master_Data!O712&lt;&gt;"",Master_Data!O712,Master_Data!H712),IF(Master_Data!O713&lt;&gt;"",Master_Data!O713,Master_Data!H713))))</f>
        <v/>
      </c>
      <c r="I712" s="20">
        <f>IF(G712="","",G712-H712)</f>
        <v/>
      </c>
      <c r="J712" s="20">
        <f>IF(G712="","",G712+H712)</f>
        <v/>
      </c>
      <c r="K712" s="20">
        <f>IF($A712="","",Master_Data!G712)</f>
        <v/>
      </c>
      <c r="L712" s="20">
        <f>IF($A712="","",Master_Data!G713)</f>
        <v/>
      </c>
      <c r="M712" s="20">
        <f>IF(AND(ISNUMBER(K712),ISNUMBER(L712)),L712-K712,"")</f>
        <v/>
      </c>
      <c r="N712" s="19">
        <f>IF(G712="","",IF(AND(ISNUMBER(K712),ISNUMBER(L712)),IF(OR(F712="GOC",F712="OWC",F712="GWC",F712="OWC_TRANSITION",F712="GOC_TRANSITION"),IF(L712&gt;=K712,"Supports","Conflicts"),"N/A"),"No Sw"))</f>
        <v/>
      </c>
      <c r="O712" s="20">
        <f>IF(G712="","",Settings!$B$6*IF(OR(F712="GOC",F712="OWC",F712="GWC"),1,0.7)+Settings!$B$7*IF(N712="Supports",1,IF(N712="Conflicts",0,0.5))+Settings!$B$8*IF(AND(Master_Data!R712&lt;&gt;"",Master_Data!S712&lt;&gt;"",Master_Data!R713&lt;&gt;"",Master_Data!S713&lt;&gt;""),1,0.5))</f>
        <v/>
      </c>
      <c r="P712" s="19">
        <f>IF(G712="","",IF(N712="Conflicts","SW_CONFLICT",IF(OR(F712="GOC",F712="OWC",F712="GWC"),"DIRECT_FLUID_TRANSITION","TRANSITION_INTERVAL")))</f>
        <v/>
      </c>
      <c r="Q712" s="19">
        <f>IF(G712="","",IF(N712="Conflicts","Investigate contact interpretation / saturation behaviour",IF(OR(F712="OWC",F712="GOC",F712="GWC"),"Candidate contact — validate with logs, pressure and dynamic evidence","Transition zone — do not force to a sharp contact")))</f>
        <v/>
      </c>
    </row>
    <row r="713">
      <c r="A713" s="19">
        <f>IF(AND(Master_Data!A713&lt;&gt;"",Master_Data!A713=Master_Data!A714),Master_Data!A713,"")</f>
        <v/>
      </c>
      <c r="B713" s="19">
        <f>IF($A713="","",Master_Data!B713)</f>
        <v/>
      </c>
      <c r="C713" s="19">
        <f>IF($A713="","",Master_Data!B714)</f>
        <v/>
      </c>
      <c r="D713" s="19">
        <f>IF($A713="","",Master_Data!Q713)</f>
        <v/>
      </c>
      <c r="E713" s="19">
        <f>IF($A713="","",Master_Data!Q714)</f>
        <v/>
      </c>
      <c r="F713" s="19">
        <f>IF($A713="","",IF(AND(D713="GAS",E713="OIL"),"GOC",IF(AND(D713="OIL",E713="WATER"),"OWC",IF(AND(D713="GAS",E713="WATER"),"GWC",IF(AND(D713="OIL",E713="OIL_WATER"),"OWC_TRANSITION",IF(AND(D713="OIL_WATER",E713="WATER"),"OWC_TRANSITION",IF(AND(D713="GAS",E713="GAS_WATER"),"GOC_TRANSITION",IF(AND(D713="GAS_WATER",E713="OIL"),"GOC_TRANSITION",IF(OR(D713="OIL_WATER",D713="GAS_WATER"),"TRANSITION_INTERVAL","")))))))))</f>
        <v/>
      </c>
      <c r="G713" s="20">
        <f>IF(OR(F713="",Master_Data!R713="",Master_Data!S713=""),"",IF(RIGHT(F713,10)="TRANSITION",AVERAGE(Master_Data!R713:Master_Data!S713),AVERAGE(Master_Data!S713,Master_Data!R714)))</f>
        <v/>
      </c>
      <c r="H713" s="20">
        <f>IF(G713="","",MAX(Settings!$B$4,Settings!$B$5*AVERAGE(IF(Master_Data!O713&lt;&gt;"",Master_Data!O713,Master_Data!H713),IF(Master_Data!O714&lt;&gt;"",Master_Data!O714,Master_Data!H714))))</f>
        <v/>
      </c>
      <c r="I713" s="20">
        <f>IF(G713="","",G713-H713)</f>
        <v/>
      </c>
      <c r="J713" s="20">
        <f>IF(G713="","",G713+H713)</f>
        <v/>
      </c>
      <c r="K713" s="20">
        <f>IF($A713="","",Master_Data!G713)</f>
        <v/>
      </c>
      <c r="L713" s="20">
        <f>IF($A713="","",Master_Data!G714)</f>
        <v/>
      </c>
      <c r="M713" s="20">
        <f>IF(AND(ISNUMBER(K713),ISNUMBER(L713)),L713-K713,"")</f>
        <v/>
      </c>
      <c r="N713" s="19">
        <f>IF(G713="","",IF(AND(ISNUMBER(K713),ISNUMBER(L713)),IF(OR(F713="GOC",F713="OWC",F713="GWC",F713="OWC_TRANSITION",F713="GOC_TRANSITION"),IF(L713&gt;=K713,"Supports","Conflicts"),"N/A"),"No Sw"))</f>
        <v/>
      </c>
      <c r="O713" s="20">
        <f>IF(G713="","",Settings!$B$6*IF(OR(F713="GOC",F713="OWC",F713="GWC"),1,0.7)+Settings!$B$7*IF(N713="Supports",1,IF(N713="Conflicts",0,0.5))+Settings!$B$8*IF(AND(Master_Data!R713&lt;&gt;"",Master_Data!S713&lt;&gt;"",Master_Data!R714&lt;&gt;"",Master_Data!S714&lt;&gt;""),1,0.5))</f>
        <v/>
      </c>
      <c r="P713" s="19">
        <f>IF(G713="","",IF(N713="Conflicts","SW_CONFLICT",IF(OR(F713="GOC",F713="OWC",F713="GWC"),"DIRECT_FLUID_TRANSITION","TRANSITION_INTERVAL")))</f>
        <v/>
      </c>
      <c r="Q713" s="19">
        <f>IF(G713="","",IF(N713="Conflicts","Investigate contact interpretation / saturation behaviour",IF(OR(F713="OWC",F713="GOC",F713="GWC"),"Candidate contact — validate with logs, pressure and dynamic evidence","Transition zone — do not force to a sharp contact")))</f>
        <v/>
      </c>
    </row>
    <row r="714">
      <c r="A714" s="19">
        <f>IF(AND(Master_Data!A714&lt;&gt;"",Master_Data!A714=Master_Data!A715),Master_Data!A714,"")</f>
        <v/>
      </c>
      <c r="B714" s="19">
        <f>IF($A714="","",Master_Data!B714)</f>
        <v/>
      </c>
      <c r="C714" s="19">
        <f>IF($A714="","",Master_Data!B715)</f>
        <v/>
      </c>
      <c r="D714" s="19">
        <f>IF($A714="","",Master_Data!Q714)</f>
        <v/>
      </c>
      <c r="E714" s="19">
        <f>IF($A714="","",Master_Data!Q715)</f>
        <v/>
      </c>
      <c r="F714" s="19">
        <f>IF($A714="","",IF(AND(D714="GAS",E714="OIL"),"GOC",IF(AND(D714="OIL",E714="WATER"),"OWC",IF(AND(D714="GAS",E714="WATER"),"GWC",IF(AND(D714="OIL",E714="OIL_WATER"),"OWC_TRANSITION",IF(AND(D714="OIL_WATER",E714="WATER"),"OWC_TRANSITION",IF(AND(D714="GAS",E714="GAS_WATER"),"GOC_TRANSITION",IF(AND(D714="GAS_WATER",E714="OIL"),"GOC_TRANSITION",IF(OR(D714="OIL_WATER",D714="GAS_WATER"),"TRANSITION_INTERVAL","")))))))))</f>
        <v/>
      </c>
      <c r="G714" s="20">
        <f>IF(OR(F714="",Master_Data!R714="",Master_Data!S714=""),"",IF(RIGHT(F714,10)="TRANSITION",AVERAGE(Master_Data!R714:Master_Data!S714),AVERAGE(Master_Data!S714,Master_Data!R715)))</f>
        <v/>
      </c>
      <c r="H714" s="20">
        <f>IF(G714="","",MAX(Settings!$B$4,Settings!$B$5*AVERAGE(IF(Master_Data!O714&lt;&gt;"",Master_Data!O714,Master_Data!H714),IF(Master_Data!O715&lt;&gt;"",Master_Data!O715,Master_Data!H715))))</f>
        <v/>
      </c>
      <c r="I714" s="20">
        <f>IF(G714="","",G714-H714)</f>
        <v/>
      </c>
      <c r="J714" s="20">
        <f>IF(G714="","",G714+H714)</f>
        <v/>
      </c>
      <c r="K714" s="20">
        <f>IF($A714="","",Master_Data!G714)</f>
        <v/>
      </c>
      <c r="L714" s="20">
        <f>IF($A714="","",Master_Data!G715)</f>
        <v/>
      </c>
      <c r="M714" s="20">
        <f>IF(AND(ISNUMBER(K714),ISNUMBER(L714)),L714-K714,"")</f>
        <v/>
      </c>
      <c r="N714" s="19">
        <f>IF(G714="","",IF(AND(ISNUMBER(K714),ISNUMBER(L714)),IF(OR(F714="GOC",F714="OWC",F714="GWC",F714="OWC_TRANSITION",F714="GOC_TRANSITION"),IF(L714&gt;=K714,"Supports","Conflicts"),"N/A"),"No Sw"))</f>
        <v/>
      </c>
      <c r="O714" s="20">
        <f>IF(G714="","",Settings!$B$6*IF(OR(F714="GOC",F714="OWC",F714="GWC"),1,0.7)+Settings!$B$7*IF(N714="Supports",1,IF(N714="Conflicts",0,0.5))+Settings!$B$8*IF(AND(Master_Data!R714&lt;&gt;"",Master_Data!S714&lt;&gt;"",Master_Data!R715&lt;&gt;"",Master_Data!S715&lt;&gt;""),1,0.5))</f>
        <v/>
      </c>
      <c r="P714" s="19">
        <f>IF(G714="","",IF(N714="Conflicts","SW_CONFLICT",IF(OR(F714="GOC",F714="OWC",F714="GWC"),"DIRECT_FLUID_TRANSITION","TRANSITION_INTERVAL")))</f>
        <v/>
      </c>
      <c r="Q714" s="19">
        <f>IF(G714="","",IF(N714="Conflicts","Investigate contact interpretation / saturation behaviour",IF(OR(F714="OWC",F714="GOC",F714="GWC"),"Candidate contact — validate with logs, pressure and dynamic evidence","Transition zone — do not force to a sharp contact")))</f>
        <v/>
      </c>
    </row>
    <row r="715">
      <c r="A715" s="19">
        <f>IF(AND(Master_Data!A715&lt;&gt;"",Master_Data!A715=Master_Data!A716),Master_Data!A715,"")</f>
        <v/>
      </c>
      <c r="B715" s="19">
        <f>IF($A715="","",Master_Data!B715)</f>
        <v/>
      </c>
      <c r="C715" s="19">
        <f>IF($A715="","",Master_Data!B716)</f>
        <v/>
      </c>
      <c r="D715" s="19">
        <f>IF($A715="","",Master_Data!Q715)</f>
        <v/>
      </c>
      <c r="E715" s="19">
        <f>IF($A715="","",Master_Data!Q716)</f>
        <v/>
      </c>
      <c r="F715" s="19">
        <f>IF($A715="","",IF(AND(D715="GAS",E715="OIL"),"GOC",IF(AND(D715="OIL",E715="WATER"),"OWC",IF(AND(D715="GAS",E715="WATER"),"GWC",IF(AND(D715="OIL",E715="OIL_WATER"),"OWC_TRANSITION",IF(AND(D715="OIL_WATER",E715="WATER"),"OWC_TRANSITION",IF(AND(D715="GAS",E715="GAS_WATER"),"GOC_TRANSITION",IF(AND(D715="GAS_WATER",E715="OIL"),"GOC_TRANSITION",IF(OR(D715="OIL_WATER",D715="GAS_WATER"),"TRANSITION_INTERVAL","")))))))))</f>
        <v/>
      </c>
      <c r="G715" s="20">
        <f>IF(OR(F715="",Master_Data!R715="",Master_Data!S715=""),"",IF(RIGHT(F715,10)="TRANSITION",AVERAGE(Master_Data!R715:Master_Data!S715),AVERAGE(Master_Data!S715,Master_Data!R716)))</f>
        <v/>
      </c>
      <c r="H715" s="20">
        <f>IF(G715="","",MAX(Settings!$B$4,Settings!$B$5*AVERAGE(IF(Master_Data!O715&lt;&gt;"",Master_Data!O715,Master_Data!H715),IF(Master_Data!O716&lt;&gt;"",Master_Data!O716,Master_Data!H716))))</f>
        <v/>
      </c>
      <c r="I715" s="20">
        <f>IF(G715="","",G715-H715)</f>
        <v/>
      </c>
      <c r="J715" s="20">
        <f>IF(G715="","",G715+H715)</f>
        <v/>
      </c>
      <c r="K715" s="20">
        <f>IF($A715="","",Master_Data!G715)</f>
        <v/>
      </c>
      <c r="L715" s="20">
        <f>IF($A715="","",Master_Data!G716)</f>
        <v/>
      </c>
      <c r="M715" s="20">
        <f>IF(AND(ISNUMBER(K715),ISNUMBER(L715)),L715-K715,"")</f>
        <v/>
      </c>
      <c r="N715" s="19">
        <f>IF(G715="","",IF(AND(ISNUMBER(K715),ISNUMBER(L715)),IF(OR(F715="GOC",F715="OWC",F715="GWC",F715="OWC_TRANSITION",F715="GOC_TRANSITION"),IF(L715&gt;=K715,"Supports","Conflicts"),"N/A"),"No Sw"))</f>
        <v/>
      </c>
      <c r="O715" s="20">
        <f>IF(G715="","",Settings!$B$6*IF(OR(F715="GOC",F715="OWC",F715="GWC"),1,0.7)+Settings!$B$7*IF(N715="Supports",1,IF(N715="Conflicts",0,0.5))+Settings!$B$8*IF(AND(Master_Data!R715&lt;&gt;"",Master_Data!S715&lt;&gt;"",Master_Data!R716&lt;&gt;"",Master_Data!S716&lt;&gt;""),1,0.5))</f>
        <v/>
      </c>
      <c r="P715" s="19">
        <f>IF(G715="","",IF(N715="Conflicts","SW_CONFLICT",IF(OR(F715="GOC",F715="OWC",F715="GWC"),"DIRECT_FLUID_TRANSITION","TRANSITION_INTERVAL")))</f>
        <v/>
      </c>
      <c r="Q715" s="19">
        <f>IF(G715="","",IF(N715="Conflicts","Investigate contact interpretation / saturation behaviour",IF(OR(F715="OWC",F715="GOC",F715="GWC"),"Candidate contact — validate with logs, pressure and dynamic evidence","Transition zone — do not force to a sharp contact")))</f>
        <v/>
      </c>
    </row>
    <row r="716">
      <c r="A716" s="19">
        <f>IF(AND(Master_Data!A716&lt;&gt;"",Master_Data!A716=Master_Data!A717),Master_Data!A716,"")</f>
        <v/>
      </c>
      <c r="B716" s="19">
        <f>IF($A716="","",Master_Data!B716)</f>
        <v/>
      </c>
      <c r="C716" s="19">
        <f>IF($A716="","",Master_Data!B717)</f>
        <v/>
      </c>
      <c r="D716" s="19">
        <f>IF($A716="","",Master_Data!Q716)</f>
        <v/>
      </c>
      <c r="E716" s="19">
        <f>IF($A716="","",Master_Data!Q717)</f>
        <v/>
      </c>
      <c r="F716" s="19">
        <f>IF($A716="","",IF(AND(D716="GAS",E716="OIL"),"GOC",IF(AND(D716="OIL",E716="WATER"),"OWC",IF(AND(D716="GAS",E716="WATER"),"GWC",IF(AND(D716="OIL",E716="OIL_WATER"),"OWC_TRANSITION",IF(AND(D716="OIL_WATER",E716="WATER"),"OWC_TRANSITION",IF(AND(D716="GAS",E716="GAS_WATER"),"GOC_TRANSITION",IF(AND(D716="GAS_WATER",E716="OIL"),"GOC_TRANSITION",IF(OR(D716="OIL_WATER",D716="GAS_WATER"),"TRANSITION_INTERVAL","")))))))))</f>
        <v/>
      </c>
      <c r="G716" s="20">
        <f>IF(OR(F716="",Master_Data!R716="",Master_Data!S716=""),"",IF(RIGHT(F716,10)="TRANSITION",AVERAGE(Master_Data!R716:Master_Data!S716),AVERAGE(Master_Data!S716,Master_Data!R717)))</f>
        <v/>
      </c>
      <c r="H716" s="20">
        <f>IF(G716="","",MAX(Settings!$B$4,Settings!$B$5*AVERAGE(IF(Master_Data!O716&lt;&gt;"",Master_Data!O716,Master_Data!H716),IF(Master_Data!O717&lt;&gt;"",Master_Data!O717,Master_Data!H717))))</f>
        <v/>
      </c>
      <c r="I716" s="20">
        <f>IF(G716="","",G716-H716)</f>
        <v/>
      </c>
      <c r="J716" s="20">
        <f>IF(G716="","",G716+H716)</f>
        <v/>
      </c>
      <c r="K716" s="20">
        <f>IF($A716="","",Master_Data!G716)</f>
        <v/>
      </c>
      <c r="L716" s="20">
        <f>IF($A716="","",Master_Data!G717)</f>
        <v/>
      </c>
      <c r="M716" s="20">
        <f>IF(AND(ISNUMBER(K716),ISNUMBER(L716)),L716-K716,"")</f>
        <v/>
      </c>
      <c r="N716" s="19">
        <f>IF(G716="","",IF(AND(ISNUMBER(K716),ISNUMBER(L716)),IF(OR(F716="GOC",F716="OWC",F716="GWC",F716="OWC_TRANSITION",F716="GOC_TRANSITION"),IF(L716&gt;=K716,"Supports","Conflicts"),"N/A"),"No Sw"))</f>
        <v/>
      </c>
      <c r="O716" s="20">
        <f>IF(G716="","",Settings!$B$6*IF(OR(F716="GOC",F716="OWC",F716="GWC"),1,0.7)+Settings!$B$7*IF(N716="Supports",1,IF(N716="Conflicts",0,0.5))+Settings!$B$8*IF(AND(Master_Data!R716&lt;&gt;"",Master_Data!S716&lt;&gt;"",Master_Data!R717&lt;&gt;"",Master_Data!S717&lt;&gt;""),1,0.5))</f>
        <v/>
      </c>
      <c r="P716" s="19">
        <f>IF(G716="","",IF(N716="Conflicts","SW_CONFLICT",IF(OR(F716="GOC",F716="OWC",F716="GWC"),"DIRECT_FLUID_TRANSITION","TRANSITION_INTERVAL")))</f>
        <v/>
      </c>
      <c r="Q716" s="19">
        <f>IF(G716="","",IF(N716="Conflicts","Investigate contact interpretation / saturation behaviour",IF(OR(F716="OWC",F716="GOC",F716="GWC"),"Candidate contact — validate with logs, pressure and dynamic evidence","Transition zone — do not force to a sharp contact")))</f>
        <v/>
      </c>
    </row>
    <row r="717">
      <c r="A717" s="19">
        <f>IF(AND(Master_Data!A717&lt;&gt;"",Master_Data!A717=Master_Data!A718),Master_Data!A717,"")</f>
        <v/>
      </c>
      <c r="B717" s="19">
        <f>IF($A717="","",Master_Data!B717)</f>
        <v/>
      </c>
      <c r="C717" s="19">
        <f>IF($A717="","",Master_Data!B718)</f>
        <v/>
      </c>
      <c r="D717" s="19">
        <f>IF($A717="","",Master_Data!Q717)</f>
        <v/>
      </c>
      <c r="E717" s="19">
        <f>IF($A717="","",Master_Data!Q718)</f>
        <v/>
      </c>
      <c r="F717" s="19">
        <f>IF($A717="","",IF(AND(D717="GAS",E717="OIL"),"GOC",IF(AND(D717="OIL",E717="WATER"),"OWC",IF(AND(D717="GAS",E717="WATER"),"GWC",IF(AND(D717="OIL",E717="OIL_WATER"),"OWC_TRANSITION",IF(AND(D717="OIL_WATER",E717="WATER"),"OWC_TRANSITION",IF(AND(D717="GAS",E717="GAS_WATER"),"GOC_TRANSITION",IF(AND(D717="GAS_WATER",E717="OIL"),"GOC_TRANSITION",IF(OR(D717="OIL_WATER",D717="GAS_WATER"),"TRANSITION_INTERVAL","")))))))))</f>
        <v/>
      </c>
      <c r="G717" s="20">
        <f>IF(OR(F717="",Master_Data!R717="",Master_Data!S717=""),"",IF(RIGHT(F717,10)="TRANSITION",AVERAGE(Master_Data!R717:Master_Data!S717),AVERAGE(Master_Data!S717,Master_Data!R718)))</f>
        <v/>
      </c>
      <c r="H717" s="20">
        <f>IF(G717="","",MAX(Settings!$B$4,Settings!$B$5*AVERAGE(IF(Master_Data!O717&lt;&gt;"",Master_Data!O717,Master_Data!H717),IF(Master_Data!O718&lt;&gt;"",Master_Data!O718,Master_Data!H718))))</f>
        <v/>
      </c>
      <c r="I717" s="20">
        <f>IF(G717="","",G717-H717)</f>
        <v/>
      </c>
      <c r="J717" s="20">
        <f>IF(G717="","",G717+H717)</f>
        <v/>
      </c>
      <c r="K717" s="20">
        <f>IF($A717="","",Master_Data!G717)</f>
        <v/>
      </c>
      <c r="L717" s="20">
        <f>IF($A717="","",Master_Data!G718)</f>
        <v/>
      </c>
      <c r="M717" s="20">
        <f>IF(AND(ISNUMBER(K717),ISNUMBER(L717)),L717-K717,"")</f>
        <v/>
      </c>
      <c r="N717" s="19">
        <f>IF(G717="","",IF(AND(ISNUMBER(K717),ISNUMBER(L717)),IF(OR(F717="GOC",F717="OWC",F717="GWC",F717="OWC_TRANSITION",F717="GOC_TRANSITION"),IF(L717&gt;=K717,"Supports","Conflicts"),"N/A"),"No Sw"))</f>
        <v/>
      </c>
      <c r="O717" s="20">
        <f>IF(G717="","",Settings!$B$6*IF(OR(F717="GOC",F717="OWC",F717="GWC"),1,0.7)+Settings!$B$7*IF(N717="Supports",1,IF(N717="Conflicts",0,0.5))+Settings!$B$8*IF(AND(Master_Data!R717&lt;&gt;"",Master_Data!S717&lt;&gt;"",Master_Data!R718&lt;&gt;"",Master_Data!S718&lt;&gt;""),1,0.5))</f>
        <v/>
      </c>
      <c r="P717" s="19">
        <f>IF(G717="","",IF(N717="Conflicts","SW_CONFLICT",IF(OR(F717="GOC",F717="OWC",F717="GWC"),"DIRECT_FLUID_TRANSITION","TRANSITION_INTERVAL")))</f>
        <v/>
      </c>
      <c r="Q717" s="19">
        <f>IF(G717="","",IF(N717="Conflicts","Investigate contact interpretation / saturation behaviour",IF(OR(F717="OWC",F717="GOC",F717="GWC"),"Candidate contact — validate with logs, pressure and dynamic evidence","Transition zone — do not force to a sharp contact")))</f>
        <v/>
      </c>
    </row>
    <row r="718">
      <c r="A718" s="19">
        <f>IF(AND(Master_Data!A718&lt;&gt;"",Master_Data!A718=Master_Data!A719),Master_Data!A718,"")</f>
        <v/>
      </c>
      <c r="B718" s="19">
        <f>IF($A718="","",Master_Data!B718)</f>
        <v/>
      </c>
      <c r="C718" s="19">
        <f>IF($A718="","",Master_Data!B719)</f>
        <v/>
      </c>
      <c r="D718" s="19">
        <f>IF($A718="","",Master_Data!Q718)</f>
        <v/>
      </c>
      <c r="E718" s="19">
        <f>IF($A718="","",Master_Data!Q719)</f>
        <v/>
      </c>
      <c r="F718" s="19">
        <f>IF($A718="","",IF(AND(D718="GAS",E718="OIL"),"GOC",IF(AND(D718="OIL",E718="WATER"),"OWC",IF(AND(D718="GAS",E718="WATER"),"GWC",IF(AND(D718="OIL",E718="OIL_WATER"),"OWC_TRANSITION",IF(AND(D718="OIL_WATER",E718="WATER"),"OWC_TRANSITION",IF(AND(D718="GAS",E718="GAS_WATER"),"GOC_TRANSITION",IF(AND(D718="GAS_WATER",E718="OIL"),"GOC_TRANSITION",IF(OR(D718="OIL_WATER",D718="GAS_WATER"),"TRANSITION_INTERVAL","")))))))))</f>
        <v/>
      </c>
      <c r="G718" s="20">
        <f>IF(OR(F718="",Master_Data!R718="",Master_Data!S718=""),"",IF(RIGHT(F718,10)="TRANSITION",AVERAGE(Master_Data!R718:Master_Data!S718),AVERAGE(Master_Data!S718,Master_Data!R719)))</f>
        <v/>
      </c>
      <c r="H718" s="20">
        <f>IF(G718="","",MAX(Settings!$B$4,Settings!$B$5*AVERAGE(IF(Master_Data!O718&lt;&gt;"",Master_Data!O718,Master_Data!H718),IF(Master_Data!O719&lt;&gt;"",Master_Data!O719,Master_Data!H719))))</f>
        <v/>
      </c>
      <c r="I718" s="20">
        <f>IF(G718="","",G718-H718)</f>
        <v/>
      </c>
      <c r="J718" s="20">
        <f>IF(G718="","",G718+H718)</f>
        <v/>
      </c>
      <c r="K718" s="20">
        <f>IF($A718="","",Master_Data!G718)</f>
        <v/>
      </c>
      <c r="L718" s="20">
        <f>IF($A718="","",Master_Data!G719)</f>
        <v/>
      </c>
      <c r="M718" s="20">
        <f>IF(AND(ISNUMBER(K718),ISNUMBER(L718)),L718-K718,"")</f>
        <v/>
      </c>
      <c r="N718" s="19">
        <f>IF(G718="","",IF(AND(ISNUMBER(K718),ISNUMBER(L718)),IF(OR(F718="GOC",F718="OWC",F718="GWC",F718="OWC_TRANSITION",F718="GOC_TRANSITION"),IF(L718&gt;=K718,"Supports","Conflicts"),"N/A"),"No Sw"))</f>
        <v/>
      </c>
      <c r="O718" s="20">
        <f>IF(G718="","",Settings!$B$6*IF(OR(F718="GOC",F718="OWC",F718="GWC"),1,0.7)+Settings!$B$7*IF(N718="Supports",1,IF(N718="Conflicts",0,0.5))+Settings!$B$8*IF(AND(Master_Data!R718&lt;&gt;"",Master_Data!S718&lt;&gt;"",Master_Data!R719&lt;&gt;"",Master_Data!S719&lt;&gt;""),1,0.5))</f>
        <v/>
      </c>
      <c r="P718" s="19">
        <f>IF(G718="","",IF(N718="Conflicts","SW_CONFLICT",IF(OR(F718="GOC",F718="OWC",F718="GWC"),"DIRECT_FLUID_TRANSITION","TRANSITION_INTERVAL")))</f>
        <v/>
      </c>
      <c r="Q718" s="19">
        <f>IF(G718="","",IF(N718="Conflicts","Investigate contact interpretation / saturation behaviour",IF(OR(F718="OWC",F718="GOC",F718="GWC"),"Candidate contact — validate with logs, pressure and dynamic evidence","Transition zone — do not force to a sharp contact")))</f>
        <v/>
      </c>
    </row>
    <row r="719">
      <c r="A719" s="19">
        <f>IF(AND(Master_Data!A719&lt;&gt;"",Master_Data!A719=Master_Data!A720),Master_Data!A719,"")</f>
        <v/>
      </c>
      <c r="B719" s="19">
        <f>IF($A719="","",Master_Data!B719)</f>
        <v/>
      </c>
      <c r="C719" s="19">
        <f>IF($A719="","",Master_Data!B720)</f>
        <v/>
      </c>
      <c r="D719" s="19">
        <f>IF($A719="","",Master_Data!Q719)</f>
        <v/>
      </c>
      <c r="E719" s="19">
        <f>IF($A719="","",Master_Data!Q720)</f>
        <v/>
      </c>
      <c r="F719" s="19">
        <f>IF($A719="","",IF(AND(D719="GAS",E719="OIL"),"GOC",IF(AND(D719="OIL",E719="WATER"),"OWC",IF(AND(D719="GAS",E719="WATER"),"GWC",IF(AND(D719="OIL",E719="OIL_WATER"),"OWC_TRANSITION",IF(AND(D719="OIL_WATER",E719="WATER"),"OWC_TRANSITION",IF(AND(D719="GAS",E719="GAS_WATER"),"GOC_TRANSITION",IF(AND(D719="GAS_WATER",E719="OIL"),"GOC_TRANSITION",IF(OR(D719="OIL_WATER",D719="GAS_WATER"),"TRANSITION_INTERVAL","")))))))))</f>
        <v/>
      </c>
      <c r="G719" s="20">
        <f>IF(OR(F719="",Master_Data!R719="",Master_Data!S719=""),"",IF(RIGHT(F719,10)="TRANSITION",AVERAGE(Master_Data!R719:Master_Data!S719),AVERAGE(Master_Data!S719,Master_Data!R720)))</f>
        <v/>
      </c>
      <c r="H719" s="20">
        <f>IF(G719="","",MAX(Settings!$B$4,Settings!$B$5*AVERAGE(IF(Master_Data!O719&lt;&gt;"",Master_Data!O719,Master_Data!H719),IF(Master_Data!O720&lt;&gt;"",Master_Data!O720,Master_Data!H720))))</f>
        <v/>
      </c>
      <c r="I719" s="20">
        <f>IF(G719="","",G719-H719)</f>
        <v/>
      </c>
      <c r="J719" s="20">
        <f>IF(G719="","",G719+H719)</f>
        <v/>
      </c>
      <c r="K719" s="20">
        <f>IF($A719="","",Master_Data!G719)</f>
        <v/>
      </c>
      <c r="L719" s="20">
        <f>IF($A719="","",Master_Data!G720)</f>
        <v/>
      </c>
      <c r="M719" s="20">
        <f>IF(AND(ISNUMBER(K719),ISNUMBER(L719)),L719-K719,"")</f>
        <v/>
      </c>
      <c r="N719" s="19">
        <f>IF(G719="","",IF(AND(ISNUMBER(K719),ISNUMBER(L719)),IF(OR(F719="GOC",F719="OWC",F719="GWC",F719="OWC_TRANSITION",F719="GOC_TRANSITION"),IF(L719&gt;=K719,"Supports","Conflicts"),"N/A"),"No Sw"))</f>
        <v/>
      </c>
      <c r="O719" s="20">
        <f>IF(G719="","",Settings!$B$6*IF(OR(F719="GOC",F719="OWC",F719="GWC"),1,0.7)+Settings!$B$7*IF(N719="Supports",1,IF(N719="Conflicts",0,0.5))+Settings!$B$8*IF(AND(Master_Data!R719&lt;&gt;"",Master_Data!S719&lt;&gt;"",Master_Data!R720&lt;&gt;"",Master_Data!S720&lt;&gt;""),1,0.5))</f>
        <v/>
      </c>
      <c r="P719" s="19">
        <f>IF(G719="","",IF(N719="Conflicts","SW_CONFLICT",IF(OR(F719="GOC",F719="OWC",F719="GWC"),"DIRECT_FLUID_TRANSITION","TRANSITION_INTERVAL")))</f>
        <v/>
      </c>
      <c r="Q719" s="19">
        <f>IF(G719="","",IF(N719="Conflicts","Investigate contact interpretation / saturation behaviour",IF(OR(F719="OWC",F719="GOC",F719="GWC"),"Candidate contact — validate with logs, pressure and dynamic evidence","Transition zone — do not force to a sharp contact")))</f>
        <v/>
      </c>
    </row>
    <row r="720">
      <c r="A720" s="19">
        <f>IF(AND(Master_Data!A720&lt;&gt;"",Master_Data!A720=Master_Data!A721),Master_Data!A720,"")</f>
        <v/>
      </c>
      <c r="B720" s="19">
        <f>IF($A720="","",Master_Data!B720)</f>
        <v/>
      </c>
      <c r="C720" s="19">
        <f>IF($A720="","",Master_Data!B721)</f>
        <v/>
      </c>
      <c r="D720" s="19">
        <f>IF($A720="","",Master_Data!Q720)</f>
        <v/>
      </c>
      <c r="E720" s="19">
        <f>IF($A720="","",Master_Data!Q721)</f>
        <v/>
      </c>
      <c r="F720" s="19">
        <f>IF($A720="","",IF(AND(D720="GAS",E720="OIL"),"GOC",IF(AND(D720="OIL",E720="WATER"),"OWC",IF(AND(D720="GAS",E720="WATER"),"GWC",IF(AND(D720="OIL",E720="OIL_WATER"),"OWC_TRANSITION",IF(AND(D720="OIL_WATER",E720="WATER"),"OWC_TRANSITION",IF(AND(D720="GAS",E720="GAS_WATER"),"GOC_TRANSITION",IF(AND(D720="GAS_WATER",E720="OIL"),"GOC_TRANSITION",IF(OR(D720="OIL_WATER",D720="GAS_WATER"),"TRANSITION_INTERVAL","")))))))))</f>
        <v/>
      </c>
      <c r="G720" s="20">
        <f>IF(OR(F720="",Master_Data!R720="",Master_Data!S720=""),"",IF(RIGHT(F720,10)="TRANSITION",AVERAGE(Master_Data!R720:Master_Data!S720),AVERAGE(Master_Data!S720,Master_Data!R721)))</f>
        <v/>
      </c>
      <c r="H720" s="20">
        <f>IF(G720="","",MAX(Settings!$B$4,Settings!$B$5*AVERAGE(IF(Master_Data!O720&lt;&gt;"",Master_Data!O720,Master_Data!H720),IF(Master_Data!O721&lt;&gt;"",Master_Data!O721,Master_Data!H721))))</f>
        <v/>
      </c>
      <c r="I720" s="20">
        <f>IF(G720="","",G720-H720)</f>
        <v/>
      </c>
      <c r="J720" s="20">
        <f>IF(G720="","",G720+H720)</f>
        <v/>
      </c>
      <c r="K720" s="20">
        <f>IF($A720="","",Master_Data!G720)</f>
        <v/>
      </c>
      <c r="L720" s="20">
        <f>IF($A720="","",Master_Data!G721)</f>
        <v/>
      </c>
      <c r="M720" s="20">
        <f>IF(AND(ISNUMBER(K720),ISNUMBER(L720)),L720-K720,"")</f>
        <v/>
      </c>
      <c r="N720" s="19">
        <f>IF(G720="","",IF(AND(ISNUMBER(K720),ISNUMBER(L720)),IF(OR(F720="GOC",F720="OWC",F720="GWC",F720="OWC_TRANSITION",F720="GOC_TRANSITION"),IF(L720&gt;=K720,"Supports","Conflicts"),"N/A"),"No Sw"))</f>
        <v/>
      </c>
      <c r="O720" s="20">
        <f>IF(G720="","",Settings!$B$6*IF(OR(F720="GOC",F720="OWC",F720="GWC"),1,0.7)+Settings!$B$7*IF(N720="Supports",1,IF(N720="Conflicts",0,0.5))+Settings!$B$8*IF(AND(Master_Data!R720&lt;&gt;"",Master_Data!S720&lt;&gt;"",Master_Data!R721&lt;&gt;"",Master_Data!S721&lt;&gt;""),1,0.5))</f>
        <v/>
      </c>
      <c r="P720" s="19">
        <f>IF(G720="","",IF(N720="Conflicts","SW_CONFLICT",IF(OR(F720="GOC",F720="OWC",F720="GWC"),"DIRECT_FLUID_TRANSITION","TRANSITION_INTERVAL")))</f>
        <v/>
      </c>
      <c r="Q720" s="19">
        <f>IF(G720="","",IF(N720="Conflicts","Investigate contact interpretation / saturation behaviour",IF(OR(F720="OWC",F720="GOC",F720="GWC"),"Candidate contact — validate with logs, pressure and dynamic evidence","Transition zone — do not force to a sharp contact")))</f>
        <v/>
      </c>
    </row>
    <row r="721">
      <c r="A721" s="19">
        <f>IF(AND(Master_Data!A721&lt;&gt;"",Master_Data!A721=Master_Data!A722),Master_Data!A721,"")</f>
        <v/>
      </c>
      <c r="B721" s="19">
        <f>IF($A721="","",Master_Data!B721)</f>
        <v/>
      </c>
      <c r="C721" s="19">
        <f>IF($A721="","",Master_Data!B722)</f>
        <v/>
      </c>
      <c r="D721" s="19">
        <f>IF($A721="","",Master_Data!Q721)</f>
        <v/>
      </c>
      <c r="E721" s="19">
        <f>IF($A721="","",Master_Data!Q722)</f>
        <v/>
      </c>
      <c r="F721" s="19">
        <f>IF($A721="","",IF(AND(D721="GAS",E721="OIL"),"GOC",IF(AND(D721="OIL",E721="WATER"),"OWC",IF(AND(D721="GAS",E721="WATER"),"GWC",IF(AND(D721="OIL",E721="OIL_WATER"),"OWC_TRANSITION",IF(AND(D721="OIL_WATER",E721="WATER"),"OWC_TRANSITION",IF(AND(D721="GAS",E721="GAS_WATER"),"GOC_TRANSITION",IF(AND(D721="GAS_WATER",E721="OIL"),"GOC_TRANSITION",IF(OR(D721="OIL_WATER",D721="GAS_WATER"),"TRANSITION_INTERVAL","")))))))))</f>
        <v/>
      </c>
      <c r="G721" s="20">
        <f>IF(OR(F721="",Master_Data!R721="",Master_Data!S721=""),"",IF(RIGHT(F721,10)="TRANSITION",AVERAGE(Master_Data!R721:Master_Data!S721),AVERAGE(Master_Data!S721,Master_Data!R722)))</f>
        <v/>
      </c>
      <c r="H721" s="20">
        <f>IF(G721="","",MAX(Settings!$B$4,Settings!$B$5*AVERAGE(IF(Master_Data!O721&lt;&gt;"",Master_Data!O721,Master_Data!H721),IF(Master_Data!O722&lt;&gt;"",Master_Data!O722,Master_Data!H722))))</f>
        <v/>
      </c>
      <c r="I721" s="20">
        <f>IF(G721="","",G721-H721)</f>
        <v/>
      </c>
      <c r="J721" s="20">
        <f>IF(G721="","",G721+H721)</f>
        <v/>
      </c>
      <c r="K721" s="20">
        <f>IF($A721="","",Master_Data!G721)</f>
        <v/>
      </c>
      <c r="L721" s="20">
        <f>IF($A721="","",Master_Data!G722)</f>
        <v/>
      </c>
      <c r="M721" s="20">
        <f>IF(AND(ISNUMBER(K721),ISNUMBER(L721)),L721-K721,"")</f>
        <v/>
      </c>
      <c r="N721" s="19">
        <f>IF(G721="","",IF(AND(ISNUMBER(K721),ISNUMBER(L721)),IF(OR(F721="GOC",F721="OWC",F721="GWC",F721="OWC_TRANSITION",F721="GOC_TRANSITION"),IF(L721&gt;=K721,"Supports","Conflicts"),"N/A"),"No Sw"))</f>
        <v/>
      </c>
      <c r="O721" s="20">
        <f>IF(G721="","",Settings!$B$6*IF(OR(F721="GOC",F721="OWC",F721="GWC"),1,0.7)+Settings!$B$7*IF(N721="Supports",1,IF(N721="Conflicts",0,0.5))+Settings!$B$8*IF(AND(Master_Data!R721&lt;&gt;"",Master_Data!S721&lt;&gt;"",Master_Data!R722&lt;&gt;"",Master_Data!S722&lt;&gt;""),1,0.5))</f>
        <v/>
      </c>
      <c r="P721" s="19">
        <f>IF(G721="","",IF(N721="Conflicts","SW_CONFLICT",IF(OR(F721="GOC",F721="OWC",F721="GWC"),"DIRECT_FLUID_TRANSITION","TRANSITION_INTERVAL")))</f>
        <v/>
      </c>
      <c r="Q721" s="19">
        <f>IF(G721="","",IF(N721="Conflicts","Investigate contact interpretation / saturation behaviour",IF(OR(F721="OWC",F721="GOC",F721="GWC"),"Candidate contact — validate with logs, pressure and dynamic evidence","Transition zone — do not force to a sharp contact")))</f>
        <v/>
      </c>
    </row>
    <row r="722">
      <c r="A722" s="19">
        <f>IF(AND(Master_Data!A722&lt;&gt;"",Master_Data!A722=Master_Data!A723),Master_Data!A722,"")</f>
        <v/>
      </c>
      <c r="B722" s="19">
        <f>IF($A722="","",Master_Data!B722)</f>
        <v/>
      </c>
      <c r="C722" s="19">
        <f>IF($A722="","",Master_Data!B723)</f>
        <v/>
      </c>
      <c r="D722" s="19">
        <f>IF($A722="","",Master_Data!Q722)</f>
        <v/>
      </c>
      <c r="E722" s="19">
        <f>IF($A722="","",Master_Data!Q723)</f>
        <v/>
      </c>
      <c r="F722" s="19">
        <f>IF($A722="","",IF(AND(D722="GAS",E722="OIL"),"GOC",IF(AND(D722="OIL",E722="WATER"),"OWC",IF(AND(D722="GAS",E722="WATER"),"GWC",IF(AND(D722="OIL",E722="OIL_WATER"),"OWC_TRANSITION",IF(AND(D722="OIL_WATER",E722="WATER"),"OWC_TRANSITION",IF(AND(D722="GAS",E722="GAS_WATER"),"GOC_TRANSITION",IF(AND(D722="GAS_WATER",E722="OIL"),"GOC_TRANSITION",IF(OR(D722="OIL_WATER",D722="GAS_WATER"),"TRANSITION_INTERVAL","")))))))))</f>
        <v/>
      </c>
      <c r="G722" s="20">
        <f>IF(OR(F722="",Master_Data!R722="",Master_Data!S722=""),"",IF(RIGHT(F722,10)="TRANSITION",AVERAGE(Master_Data!R722:Master_Data!S722),AVERAGE(Master_Data!S722,Master_Data!R723)))</f>
        <v/>
      </c>
      <c r="H722" s="20">
        <f>IF(G722="","",MAX(Settings!$B$4,Settings!$B$5*AVERAGE(IF(Master_Data!O722&lt;&gt;"",Master_Data!O722,Master_Data!H722),IF(Master_Data!O723&lt;&gt;"",Master_Data!O723,Master_Data!H723))))</f>
        <v/>
      </c>
      <c r="I722" s="20">
        <f>IF(G722="","",G722-H722)</f>
        <v/>
      </c>
      <c r="J722" s="20">
        <f>IF(G722="","",G722+H722)</f>
        <v/>
      </c>
      <c r="K722" s="20">
        <f>IF($A722="","",Master_Data!G722)</f>
        <v/>
      </c>
      <c r="L722" s="20">
        <f>IF($A722="","",Master_Data!G723)</f>
        <v/>
      </c>
      <c r="M722" s="20">
        <f>IF(AND(ISNUMBER(K722),ISNUMBER(L722)),L722-K722,"")</f>
        <v/>
      </c>
      <c r="N722" s="19">
        <f>IF(G722="","",IF(AND(ISNUMBER(K722),ISNUMBER(L722)),IF(OR(F722="GOC",F722="OWC",F722="GWC",F722="OWC_TRANSITION",F722="GOC_TRANSITION"),IF(L722&gt;=K722,"Supports","Conflicts"),"N/A"),"No Sw"))</f>
        <v/>
      </c>
      <c r="O722" s="20">
        <f>IF(G722="","",Settings!$B$6*IF(OR(F722="GOC",F722="OWC",F722="GWC"),1,0.7)+Settings!$B$7*IF(N722="Supports",1,IF(N722="Conflicts",0,0.5))+Settings!$B$8*IF(AND(Master_Data!R722&lt;&gt;"",Master_Data!S722&lt;&gt;"",Master_Data!R723&lt;&gt;"",Master_Data!S723&lt;&gt;""),1,0.5))</f>
        <v/>
      </c>
      <c r="P722" s="19">
        <f>IF(G722="","",IF(N722="Conflicts","SW_CONFLICT",IF(OR(F722="GOC",F722="OWC",F722="GWC"),"DIRECT_FLUID_TRANSITION","TRANSITION_INTERVAL")))</f>
        <v/>
      </c>
      <c r="Q722" s="19">
        <f>IF(G722="","",IF(N722="Conflicts","Investigate contact interpretation / saturation behaviour",IF(OR(F722="OWC",F722="GOC",F722="GWC"),"Candidate contact — validate with logs, pressure and dynamic evidence","Transition zone — do not force to a sharp contact")))</f>
        <v/>
      </c>
    </row>
    <row r="723">
      <c r="A723" s="19">
        <f>IF(AND(Master_Data!A723&lt;&gt;"",Master_Data!A723=Master_Data!A724),Master_Data!A723,"")</f>
        <v/>
      </c>
      <c r="B723" s="19">
        <f>IF($A723="","",Master_Data!B723)</f>
        <v/>
      </c>
      <c r="C723" s="19">
        <f>IF($A723="","",Master_Data!B724)</f>
        <v/>
      </c>
      <c r="D723" s="19">
        <f>IF($A723="","",Master_Data!Q723)</f>
        <v/>
      </c>
      <c r="E723" s="19">
        <f>IF($A723="","",Master_Data!Q724)</f>
        <v/>
      </c>
      <c r="F723" s="19">
        <f>IF($A723="","",IF(AND(D723="GAS",E723="OIL"),"GOC",IF(AND(D723="OIL",E723="WATER"),"OWC",IF(AND(D723="GAS",E723="WATER"),"GWC",IF(AND(D723="OIL",E723="OIL_WATER"),"OWC_TRANSITION",IF(AND(D723="OIL_WATER",E723="WATER"),"OWC_TRANSITION",IF(AND(D723="GAS",E723="GAS_WATER"),"GOC_TRANSITION",IF(AND(D723="GAS_WATER",E723="OIL"),"GOC_TRANSITION",IF(OR(D723="OIL_WATER",D723="GAS_WATER"),"TRANSITION_INTERVAL","")))))))))</f>
        <v/>
      </c>
      <c r="G723" s="20">
        <f>IF(OR(F723="",Master_Data!R723="",Master_Data!S723=""),"",IF(RIGHT(F723,10)="TRANSITION",AVERAGE(Master_Data!R723:Master_Data!S723),AVERAGE(Master_Data!S723,Master_Data!R724)))</f>
        <v/>
      </c>
      <c r="H723" s="20">
        <f>IF(G723="","",MAX(Settings!$B$4,Settings!$B$5*AVERAGE(IF(Master_Data!O723&lt;&gt;"",Master_Data!O723,Master_Data!H723),IF(Master_Data!O724&lt;&gt;"",Master_Data!O724,Master_Data!H724))))</f>
        <v/>
      </c>
      <c r="I723" s="20">
        <f>IF(G723="","",G723-H723)</f>
        <v/>
      </c>
      <c r="J723" s="20">
        <f>IF(G723="","",G723+H723)</f>
        <v/>
      </c>
      <c r="K723" s="20">
        <f>IF($A723="","",Master_Data!G723)</f>
        <v/>
      </c>
      <c r="L723" s="20">
        <f>IF($A723="","",Master_Data!G724)</f>
        <v/>
      </c>
      <c r="M723" s="20">
        <f>IF(AND(ISNUMBER(K723),ISNUMBER(L723)),L723-K723,"")</f>
        <v/>
      </c>
      <c r="N723" s="19">
        <f>IF(G723="","",IF(AND(ISNUMBER(K723),ISNUMBER(L723)),IF(OR(F723="GOC",F723="OWC",F723="GWC",F723="OWC_TRANSITION",F723="GOC_TRANSITION"),IF(L723&gt;=K723,"Supports","Conflicts"),"N/A"),"No Sw"))</f>
        <v/>
      </c>
      <c r="O723" s="20">
        <f>IF(G723="","",Settings!$B$6*IF(OR(F723="GOC",F723="OWC",F723="GWC"),1,0.7)+Settings!$B$7*IF(N723="Supports",1,IF(N723="Conflicts",0,0.5))+Settings!$B$8*IF(AND(Master_Data!R723&lt;&gt;"",Master_Data!S723&lt;&gt;"",Master_Data!R724&lt;&gt;"",Master_Data!S724&lt;&gt;""),1,0.5))</f>
        <v/>
      </c>
      <c r="P723" s="19">
        <f>IF(G723="","",IF(N723="Conflicts","SW_CONFLICT",IF(OR(F723="GOC",F723="OWC",F723="GWC"),"DIRECT_FLUID_TRANSITION","TRANSITION_INTERVAL")))</f>
        <v/>
      </c>
      <c r="Q723" s="19">
        <f>IF(G723="","",IF(N723="Conflicts","Investigate contact interpretation / saturation behaviour",IF(OR(F723="OWC",F723="GOC",F723="GWC"),"Candidate contact — validate with logs, pressure and dynamic evidence","Transition zone — do not force to a sharp contact")))</f>
        <v/>
      </c>
    </row>
    <row r="724">
      <c r="A724" s="19">
        <f>IF(AND(Master_Data!A724&lt;&gt;"",Master_Data!A724=Master_Data!A725),Master_Data!A724,"")</f>
        <v/>
      </c>
      <c r="B724" s="19">
        <f>IF($A724="","",Master_Data!B724)</f>
        <v/>
      </c>
      <c r="C724" s="19">
        <f>IF($A724="","",Master_Data!B725)</f>
        <v/>
      </c>
      <c r="D724" s="19">
        <f>IF($A724="","",Master_Data!Q724)</f>
        <v/>
      </c>
      <c r="E724" s="19">
        <f>IF($A724="","",Master_Data!Q725)</f>
        <v/>
      </c>
      <c r="F724" s="19">
        <f>IF($A724="","",IF(AND(D724="GAS",E724="OIL"),"GOC",IF(AND(D724="OIL",E724="WATER"),"OWC",IF(AND(D724="GAS",E724="WATER"),"GWC",IF(AND(D724="OIL",E724="OIL_WATER"),"OWC_TRANSITION",IF(AND(D724="OIL_WATER",E724="WATER"),"OWC_TRANSITION",IF(AND(D724="GAS",E724="GAS_WATER"),"GOC_TRANSITION",IF(AND(D724="GAS_WATER",E724="OIL"),"GOC_TRANSITION",IF(OR(D724="OIL_WATER",D724="GAS_WATER"),"TRANSITION_INTERVAL","")))))))))</f>
        <v/>
      </c>
      <c r="G724" s="20">
        <f>IF(OR(F724="",Master_Data!R724="",Master_Data!S724=""),"",IF(RIGHT(F724,10)="TRANSITION",AVERAGE(Master_Data!R724:Master_Data!S724),AVERAGE(Master_Data!S724,Master_Data!R725)))</f>
        <v/>
      </c>
      <c r="H724" s="20">
        <f>IF(G724="","",MAX(Settings!$B$4,Settings!$B$5*AVERAGE(IF(Master_Data!O724&lt;&gt;"",Master_Data!O724,Master_Data!H724),IF(Master_Data!O725&lt;&gt;"",Master_Data!O725,Master_Data!H725))))</f>
        <v/>
      </c>
      <c r="I724" s="20">
        <f>IF(G724="","",G724-H724)</f>
        <v/>
      </c>
      <c r="J724" s="20">
        <f>IF(G724="","",G724+H724)</f>
        <v/>
      </c>
      <c r="K724" s="20">
        <f>IF($A724="","",Master_Data!G724)</f>
        <v/>
      </c>
      <c r="L724" s="20">
        <f>IF($A724="","",Master_Data!G725)</f>
        <v/>
      </c>
      <c r="M724" s="20">
        <f>IF(AND(ISNUMBER(K724),ISNUMBER(L724)),L724-K724,"")</f>
        <v/>
      </c>
      <c r="N724" s="19">
        <f>IF(G724="","",IF(AND(ISNUMBER(K724),ISNUMBER(L724)),IF(OR(F724="GOC",F724="OWC",F724="GWC",F724="OWC_TRANSITION",F724="GOC_TRANSITION"),IF(L724&gt;=K724,"Supports","Conflicts"),"N/A"),"No Sw"))</f>
        <v/>
      </c>
      <c r="O724" s="20">
        <f>IF(G724="","",Settings!$B$6*IF(OR(F724="GOC",F724="OWC",F724="GWC"),1,0.7)+Settings!$B$7*IF(N724="Supports",1,IF(N724="Conflicts",0,0.5))+Settings!$B$8*IF(AND(Master_Data!R724&lt;&gt;"",Master_Data!S724&lt;&gt;"",Master_Data!R725&lt;&gt;"",Master_Data!S725&lt;&gt;""),1,0.5))</f>
        <v/>
      </c>
      <c r="P724" s="19">
        <f>IF(G724="","",IF(N724="Conflicts","SW_CONFLICT",IF(OR(F724="GOC",F724="OWC",F724="GWC"),"DIRECT_FLUID_TRANSITION","TRANSITION_INTERVAL")))</f>
        <v/>
      </c>
      <c r="Q724" s="19">
        <f>IF(G724="","",IF(N724="Conflicts","Investigate contact interpretation / saturation behaviour",IF(OR(F724="OWC",F724="GOC",F724="GWC"),"Candidate contact — validate with logs, pressure and dynamic evidence","Transition zone — do not force to a sharp contact")))</f>
        <v/>
      </c>
    </row>
    <row r="725">
      <c r="A725" s="19">
        <f>IF(AND(Master_Data!A725&lt;&gt;"",Master_Data!A725=Master_Data!A726),Master_Data!A725,"")</f>
        <v/>
      </c>
      <c r="B725" s="19">
        <f>IF($A725="","",Master_Data!B725)</f>
        <v/>
      </c>
      <c r="C725" s="19">
        <f>IF($A725="","",Master_Data!B726)</f>
        <v/>
      </c>
      <c r="D725" s="19">
        <f>IF($A725="","",Master_Data!Q725)</f>
        <v/>
      </c>
      <c r="E725" s="19">
        <f>IF($A725="","",Master_Data!Q726)</f>
        <v/>
      </c>
      <c r="F725" s="19">
        <f>IF($A725="","",IF(AND(D725="GAS",E725="OIL"),"GOC",IF(AND(D725="OIL",E725="WATER"),"OWC",IF(AND(D725="GAS",E725="WATER"),"GWC",IF(AND(D725="OIL",E725="OIL_WATER"),"OWC_TRANSITION",IF(AND(D725="OIL_WATER",E725="WATER"),"OWC_TRANSITION",IF(AND(D725="GAS",E725="GAS_WATER"),"GOC_TRANSITION",IF(AND(D725="GAS_WATER",E725="OIL"),"GOC_TRANSITION",IF(OR(D725="OIL_WATER",D725="GAS_WATER"),"TRANSITION_INTERVAL","")))))))))</f>
        <v/>
      </c>
      <c r="G725" s="20">
        <f>IF(OR(F725="",Master_Data!R725="",Master_Data!S725=""),"",IF(RIGHT(F725,10)="TRANSITION",AVERAGE(Master_Data!R725:Master_Data!S725),AVERAGE(Master_Data!S725,Master_Data!R726)))</f>
        <v/>
      </c>
      <c r="H725" s="20">
        <f>IF(G725="","",MAX(Settings!$B$4,Settings!$B$5*AVERAGE(IF(Master_Data!O725&lt;&gt;"",Master_Data!O725,Master_Data!H725),IF(Master_Data!O726&lt;&gt;"",Master_Data!O726,Master_Data!H726))))</f>
        <v/>
      </c>
      <c r="I725" s="20">
        <f>IF(G725="","",G725-H725)</f>
        <v/>
      </c>
      <c r="J725" s="20">
        <f>IF(G725="","",G725+H725)</f>
        <v/>
      </c>
      <c r="K725" s="20">
        <f>IF($A725="","",Master_Data!G725)</f>
        <v/>
      </c>
      <c r="L725" s="20">
        <f>IF($A725="","",Master_Data!G726)</f>
        <v/>
      </c>
      <c r="M725" s="20">
        <f>IF(AND(ISNUMBER(K725),ISNUMBER(L725)),L725-K725,"")</f>
        <v/>
      </c>
      <c r="N725" s="19">
        <f>IF(G725="","",IF(AND(ISNUMBER(K725),ISNUMBER(L725)),IF(OR(F725="GOC",F725="OWC",F725="GWC",F725="OWC_TRANSITION",F725="GOC_TRANSITION"),IF(L725&gt;=K725,"Supports","Conflicts"),"N/A"),"No Sw"))</f>
        <v/>
      </c>
      <c r="O725" s="20">
        <f>IF(G725="","",Settings!$B$6*IF(OR(F725="GOC",F725="OWC",F725="GWC"),1,0.7)+Settings!$B$7*IF(N725="Supports",1,IF(N725="Conflicts",0,0.5))+Settings!$B$8*IF(AND(Master_Data!R725&lt;&gt;"",Master_Data!S725&lt;&gt;"",Master_Data!R726&lt;&gt;"",Master_Data!S726&lt;&gt;""),1,0.5))</f>
        <v/>
      </c>
      <c r="P725" s="19">
        <f>IF(G725="","",IF(N725="Conflicts","SW_CONFLICT",IF(OR(F725="GOC",F725="OWC",F725="GWC"),"DIRECT_FLUID_TRANSITION","TRANSITION_INTERVAL")))</f>
        <v/>
      </c>
      <c r="Q725" s="19">
        <f>IF(G725="","",IF(N725="Conflicts","Investigate contact interpretation / saturation behaviour",IF(OR(F725="OWC",F725="GOC",F725="GWC"),"Candidate contact — validate with logs, pressure and dynamic evidence","Transition zone — do not force to a sharp contact")))</f>
        <v/>
      </c>
    </row>
    <row r="726">
      <c r="A726" s="19">
        <f>IF(AND(Master_Data!A726&lt;&gt;"",Master_Data!A726=Master_Data!A727),Master_Data!A726,"")</f>
        <v/>
      </c>
      <c r="B726" s="19">
        <f>IF($A726="","",Master_Data!B726)</f>
        <v/>
      </c>
      <c r="C726" s="19">
        <f>IF($A726="","",Master_Data!B727)</f>
        <v/>
      </c>
      <c r="D726" s="19">
        <f>IF($A726="","",Master_Data!Q726)</f>
        <v/>
      </c>
      <c r="E726" s="19">
        <f>IF($A726="","",Master_Data!Q727)</f>
        <v/>
      </c>
      <c r="F726" s="19">
        <f>IF($A726="","",IF(AND(D726="GAS",E726="OIL"),"GOC",IF(AND(D726="OIL",E726="WATER"),"OWC",IF(AND(D726="GAS",E726="WATER"),"GWC",IF(AND(D726="OIL",E726="OIL_WATER"),"OWC_TRANSITION",IF(AND(D726="OIL_WATER",E726="WATER"),"OWC_TRANSITION",IF(AND(D726="GAS",E726="GAS_WATER"),"GOC_TRANSITION",IF(AND(D726="GAS_WATER",E726="OIL"),"GOC_TRANSITION",IF(OR(D726="OIL_WATER",D726="GAS_WATER"),"TRANSITION_INTERVAL","")))))))))</f>
        <v/>
      </c>
      <c r="G726" s="20">
        <f>IF(OR(F726="",Master_Data!R726="",Master_Data!S726=""),"",IF(RIGHT(F726,10)="TRANSITION",AVERAGE(Master_Data!R726:Master_Data!S726),AVERAGE(Master_Data!S726,Master_Data!R727)))</f>
        <v/>
      </c>
      <c r="H726" s="20">
        <f>IF(G726="","",MAX(Settings!$B$4,Settings!$B$5*AVERAGE(IF(Master_Data!O726&lt;&gt;"",Master_Data!O726,Master_Data!H726),IF(Master_Data!O727&lt;&gt;"",Master_Data!O727,Master_Data!H727))))</f>
        <v/>
      </c>
      <c r="I726" s="20">
        <f>IF(G726="","",G726-H726)</f>
        <v/>
      </c>
      <c r="J726" s="20">
        <f>IF(G726="","",G726+H726)</f>
        <v/>
      </c>
      <c r="K726" s="20">
        <f>IF($A726="","",Master_Data!G726)</f>
        <v/>
      </c>
      <c r="L726" s="20">
        <f>IF($A726="","",Master_Data!G727)</f>
        <v/>
      </c>
      <c r="M726" s="20">
        <f>IF(AND(ISNUMBER(K726),ISNUMBER(L726)),L726-K726,"")</f>
        <v/>
      </c>
      <c r="N726" s="19">
        <f>IF(G726="","",IF(AND(ISNUMBER(K726),ISNUMBER(L726)),IF(OR(F726="GOC",F726="OWC",F726="GWC",F726="OWC_TRANSITION",F726="GOC_TRANSITION"),IF(L726&gt;=K726,"Supports","Conflicts"),"N/A"),"No Sw"))</f>
        <v/>
      </c>
      <c r="O726" s="20">
        <f>IF(G726="","",Settings!$B$6*IF(OR(F726="GOC",F726="OWC",F726="GWC"),1,0.7)+Settings!$B$7*IF(N726="Supports",1,IF(N726="Conflicts",0,0.5))+Settings!$B$8*IF(AND(Master_Data!R726&lt;&gt;"",Master_Data!S726&lt;&gt;"",Master_Data!R727&lt;&gt;"",Master_Data!S727&lt;&gt;""),1,0.5))</f>
        <v/>
      </c>
      <c r="P726" s="19">
        <f>IF(G726="","",IF(N726="Conflicts","SW_CONFLICT",IF(OR(F726="GOC",F726="OWC",F726="GWC"),"DIRECT_FLUID_TRANSITION","TRANSITION_INTERVAL")))</f>
        <v/>
      </c>
      <c r="Q726" s="19">
        <f>IF(G726="","",IF(N726="Conflicts","Investigate contact interpretation / saturation behaviour",IF(OR(F726="OWC",F726="GOC",F726="GWC"),"Candidate contact — validate with logs, pressure and dynamic evidence","Transition zone — do not force to a sharp contact")))</f>
        <v/>
      </c>
    </row>
    <row r="727">
      <c r="A727" s="19">
        <f>IF(AND(Master_Data!A727&lt;&gt;"",Master_Data!A727=Master_Data!A728),Master_Data!A727,"")</f>
        <v/>
      </c>
      <c r="B727" s="19">
        <f>IF($A727="","",Master_Data!B727)</f>
        <v/>
      </c>
      <c r="C727" s="19">
        <f>IF($A727="","",Master_Data!B728)</f>
        <v/>
      </c>
      <c r="D727" s="19">
        <f>IF($A727="","",Master_Data!Q727)</f>
        <v/>
      </c>
      <c r="E727" s="19">
        <f>IF($A727="","",Master_Data!Q728)</f>
        <v/>
      </c>
      <c r="F727" s="19">
        <f>IF($A727="","",IF(AND(D727="GAS",E727="OIL"),"GOC",IF(AND(D727="OIL",E727="WATER"),"OWC",IF(AND(D727="GAS",E727="WATER"),"GWC",IF(AND(D727="OIL",E727="OIL_WATER"),"OWC_TRANSITION",IF(AND(D727="OIL_WATER",E727="WATER"),"OWC_TRANSITION",IF(AND(D727="GAS",E727="GAS_WATER"),"GOC_TRANSITION",IF(AND(D727="GAS_WATER",E727="OIL"),"GOC_TRANSITION",IF(OR(D727="OIL_WATER",D727="GAS_WATER"),"TRANSITION_INTERVAL","")))))))))</f>
        <v/>
      </c>
      <c r="G727" s="20">
        <f>IF(OR(F727="",Master_Data!R727="",Master_Data!S727=""),"",IF(RIGHT(F727,10)="TRANSITION",AVERAGE(Master_Data!R727:Master_Data!S727),AVERAGE(Master_Data!S727,Master_Data!R728)))</f>
        <v/>
      </c>
      <c r="H727" s="20">
        <f>IF(G727="","",MAX(Settings!$B$4,Settings!$B$5*AVERAGE(IF(Master_Data!O727&lt;&gt;"",Master_Data!O727,Master_Data!H727),IF(Master_Data!O728&lt;&gt;"",Master_Data!O728,Master_Data!H728))))</f>
        <v/>
      </c>
      <c r="I727" s="20">
        <f>IF(G727="","",G727-H727)</f>
        <v/>
      </c>
      <c r="J727" s="20">
        <f>IF(G727="","",G727+H727)</f>
        <v/>
      </c>
      <c r="K727" s="20">
        <f>IF($A727="","",Master_Data!G727)</f>
        <v/>
      </c>
      <c r="L727" s="20">
        <f>IF($A727="","",Master_Data!G728)</f>
        <v/>
      </c>
      <c r="M727" s="20">
        <f>IF(AND(ISNUMBER(K727),ISNUMBER(L727)),L727-K727,"")</f>
        <v/>
      </c>
      <c r="N727" s="19">
        <f>IF(G727="","",IF(AND(ISNUMBER(K727),ISNUMBER(L727)),IF(OR(F727="GOC",F727="OWC",F727="GWC",F727="OWC_TRANSITION",F727="GOC_TRANSITION"),IF(L727&gt;=K727,"Supports","Conflicts"),"N/A"),"No Sw"))</f>
        <v/>
      </c>
      <c r="O727" s="20">
        <f>IF(G727="","",Settings!$B$6*IF(OR(F727="GOC",F727="OWC",F727="GWC"),1,0.7)+Settings!$B$7*IF(N727="Supports",1,IF(N727="Conflicts",0,0.5))+Settings!$B$8*IF(AND(Master_Data!R727&lt;&gt;"",Master_Data!S727&lt;&gt;"",Master_Data!R728&lt;&gt;"",Master_Data!S728&lt;&gt;""),1,0.5))</f>
        <v/>
      </c>
      <c r="P727" s="19">
        <f>IF(G727="","",IF(N727="Conflicts","SW_CONFLICT",IF(OR(F727="GOC",F727="OWC",F727="GWC"),"DIRECT_FLUID_TRANSITION","TRANSITION_INTERVAL")))</f>
        <v/>
      </c>
      <c r="Q727" s="19">
        <f>IF(G727="","",IF(N727="Conflicts","Investigate contact interpretation / saturation behaviour",IF(OR(F727="OWC",F727="GOC",F727="GWC"),"Candidate contact — validate with logs, pressure and dynamic evidence","Transition zone — do not force to a sharp contact")))</f>
        <v/>
      </c>
    </row>
    <row r="728">
      <c r="A728" s="19">
        <f>IF(AND(Master_Data!A728&lt;&gt;"",Master_Data!A728=Master_Data!A729),Master_Data!A728,"")</f>
        <v/>
      </c>
      <c r="B728" s="19">
        <f>IF($A728="","",Master_Data!B728)</f>
        <v/>
      </c>
      <c r="C728" s="19">
        <f>IF($A728="","",Master_Data!B729)</f>
        <v/>
      </c>
      <c r="D728" s="19">
        <f>IF($A728="","",Master_Data!Q728)</f>
        <v/>
      </c>
      <c r="E728" s="19">
        <f>IF($A728="","",Master_Data!Q729)</f>
        <v/>
      </c>
      <c r="F728" s="19">
        <f>IF($A728="","",IF(AND(D728="GAS",E728="OIL"),"GOC",IF(AND(D728="OIL",E728="WATER"),"OWC",IF(AND(D728="GAS",E728="WATER"),"GWC",IF(AND(D728="OIL",E728="OIL_WATER"),"OWC_TRANSITION",IF(AND(D728="OIL_WATER",E728="WATER"),"OWC_TRANSITION",IF(AND(D728="GAS",E728="GAS_WATER"),"GOC_TRANSITION",IF(AND(D728="GAS_WATER",E728="OIL"),"GOC_TRANSITION",IF(OR(D728="OIL_WATER",D728="GAS_WATER"),"TRANSITION_INTERVAL","")))))))))</f>
        <v/>
      </c>
      <c r="G728" s="20">
        <f>IF(OR(F728="",Master_Data!R728="",Master_Data!S728=""),"",IF(RIGHT(F728,10)="TRANSITION",AVERAGE(Master_Data!R728:Master_Data!S728),AVERAGE(Master_Data!S728,Master_Data!R729)))</f>
        <v/>
      </c>
      <c r="H728" s="20">
        <f>IF(G728="","",MAX(Settings!$B$4,Settings!$B$5*AVERAGE(IF(Master_Data!O728&lt;&gt;"",Master_Data!O728,Master_Data!H728),IF(Master_Data!O729&lt;&gt;"",Master_Data!O729,Master_Data!H729))))</f>
        <v/>
      </c>
      <c r="I728" s="20">
        <f>IF(G728="","",G728-H728)</f>
        <v/>
      </c>
      <c r="J728" s="20">
        <f>IF(G728="","",G728+H728)</f>
        <v/>
      </c>
      <c r="K728" s="20">
        <f>IF($A728="","",Master_Data!G728)</f>
        <v/>
      </c>
      <c r="L728" s="20">
        <f>IF($A728="","",Master_Data!G729)</f>
        <v/>
      </c>
      <c r="M728" s="20">
        <f>IF(AND(ISNUMBER(K728),ISNUMBER(L728)),L728-K728,"")</f>
        <v/>
      </c>
      <c r="N728" s="19">
        <f>IF(G728="","",IF(AND(ISNUMBER(K728),ISNUMBER(L728)),IF(OR(F728="GOC",F728="OWC",F728="GWC",F728="OWC_TRANSITION",F728="GOC_TRANSITION"),IF(L728&gt;=K728,"Supports","Conflicts"),"N/A"),"No Sw"))</f>
        <v/>
      </c>
      <c r="O728" s="20">
        <f>IF(G728="","",Settings!$B$6*IF(OR(F728="GOC",F728="OWC",F728="GWC"),1,0.7)+Settings!$B$7*IF(N728="Supports",1,IF(N728="Conflicts",0,0.5))+Settings!$B$8*IF(AND(Master_Data!R728&lt;&gt;"",Master_Data!S728&lt;&gt;"",Master_Data!R729&lt;&gt;"",Master_Data!S729&lt;&gt;""),1,0.5))</f>
        <v/>
      </c>
      <c r="P728" s="19">
        <f>IF(G728="","",IF(N728="Conflicts","SW_CONFLICT",IF(OR(F728="GOC",F728="OWC",F728="GWC"),"DIRECT_FLUID_TRANSITION","TRANSITION_INTERVAL")))</f>
        <v/>
      </c>
      <c r="Q728" s="19">
        <f>IF(G728="","",IF(N728="Conflicts","Investigate contact interpretation / saturation behaviour",IF(OR(F728="OWC",F728="GOC",F728="GWC"),"Candidate contact — validate with logs, pressure and dynamic evidence","Transition zone — do not force to a sharp contact")))</f>
        <v/>
      </c>
    </row>
    <row r="729">
      <c r="A729" s="19">
        <f>IF(AND(Master_Data!A729&lt;&gt;"",Master_Data!A729=Master_Data!A730),Master_Data!A729,"")</f>
        <v/>
      </c>
      <c r="B729" s="19">
        <f>IF($A729="","",Master_Data!B729)</f>
        <v/>
      </c>
      <c r="C729" s="19">
        <f>IF($A729="","",Master_Data!B730)</f>
        <v/>
      </c>
      <c r="D729" s="19">
        <f>IF($A729="","",Master_Data!Q729)</f>
        <v/>
      </c>
      <c r="E729" s="19">
        <f>IF($A729="","",Master_Data!Q730)</f>
        <v/>
      </c>
      <c r="F729" s="19">
        <f>IF($A729="","",IF(AND(D729="GAS",E729="OIL"),"GOC",IF(AND(D729="OIL",E729="WATER"),"OWC",IF(AND(D729="GAS",E729="WATER"),"GWC",IF(AND(D729="OIL",E729="OIL_WATER"),"OWC_TRANSITION",IF(AND(D729="OIL_WATER",E729="WATER"),"OWC_TRANSITION",IF(AND(D729="GAS",E729="GAS_WATER"),"GOC_TRANSITION",IF(AND(D729="GAS_WATER",E729="OIL"),"GOC_TRANSITION",IF(OR(D729="OIL_WATER",D729="GAS_WATER"),"TRANSITION_INTERVAL","")))))))))</f>
        <v/>
      </c>
      <c r="G729" s="20">
        <f>IF(OR(F729="",Master_Data!R729="",Master_Data!S729=""),"",IF(RIGHT(F729,10)="TRANSITION",AVERAGE(Master_Data!R729:Master_Data!S729),AVERAGE(Master_Data!S729,Master_Data!R730)))</f>
        <v/>
      </c>
      <c r="H729" s="20">
        <f>IF(G729="","",MAX(Settings!$B$4,Settings!$B$5*AVERAGE(IF(Master_Data!O729&lt;&gt;"",Master_Data!O729,Master_Data!H729),IF(Master_Data!O730&lt;&gt;"",Master_Data!O730,Master_Data!H730))))</f>
        <v/>
      </c>
      <c r="I729" s="20">
        <f>IF(G729="","",G729-H729)</f>
        <v/>
      </c>
      <c r="J729" s="20">
        <f>IF(G729="","",G729+H729)</f>
        <v/>
      </c>
      <c r="K729" s="20">
        <f>IF($A729="","",Master_Data!G729)</f>
        <v/>
      </c>
      <c r="L729" s="20">
        <f>IF($A729="","",Master_Data!G730)</f>
        <v/>
      </c>
      <c r="M729" s="20">
        <f>IF(AND(ISNUMBER(K729),ISNUMBER(L729)),L729-K729,"")</f>
        <v/>
      </c>
      <c r="N729" s="19">
        <f>IF(G729="","",IF(AND(ISNUMBER(K729),ISNUMBER(L729)),IF(OR(F729="GOC",F729="OWC",F729="GWC",F729="OWC_TRANSITION",F729="GOC_TRANSITION"),IF(L729&gt;=K729,"Supports","Conflicts"),"N/A"),"No Sw"))</f>
        <v/>
      </c>
      <c r="O729" s="20">
        <f>IF(G729="","",Settings!$B$6*IF(OR(F729="GOC",F729="OWC",F729="GWC"),1,0.7)+Settings!$B$7*IF(N729="Supports",1,IF(N729="Conflicts",0,0.5))+Settings!$B$8*IF(AND(Master_Data!R729&lt;&gt;"",Master_Data!S729&lt;&gt;"",Master_Data!R730&lt;&gt;"",Master_Data!S730&lt;&gt;""),1,0.5))</f>
        <v/>
      </c>
      <c r="P729" s="19">
        <f>IF(G729="","",IF(N729="Conflicts","SW_CONFLICT",IF(OR(F729="GOC",F729="OWC",F729="GWC"),"DIRECT_FLUID_TRANSITION","TRANSITION_INTERVAL")))</f>
        <v/>
      </c>
      <c r="Q729" s="19">
        <f>IF(G729="","",IF(N729="Conflicts","Investigate contact interpretation / saturation behaviour",IF(OR(F729="OWC",F729="GOC",F729="GWC"),"Candidate contact — validate with logs, pressure and dynamic evidence","Transition zone — do not force to a sharp contact")))</f>
        <v/>
      </c>
    </row>
    <row r="730">
      <c r="A730" s="19">
        <f>IF(AND(Master_Data!A730&lt;&gt;"",Master_Data!A730=Master_Data!A731),Master_Data!A730,"")</f>
        <v/>
      </c>
      <c r="B730" s="19">
        <f>IF($A730="","",Master_Data!B730)</f>
        <v/>
      </c>
      <c r="C730" s="19">
        <f>IF($A730="","",Master_Data!B731)</f>
        <v/>
      </c>
      <c r="D730" s="19">
        <f>IF($A730="","",Master_Data!Q730)</f>
        <v/>
      </c>
      <c r="E730" s="19">
        <f>IF($A730="","",Master_Data!Q731)</f>
        <v/>
      </c>
      <c r="F730" s="19">
        <f>IF($A730="","",IF(AND(D730="GAS",E730="OIL"),"GOC",IF(AND(D730="OIL",E730="WATER"),"OWC",IF(AND(D730="GAS",E730="WATER"),"GWC",IF(AND(D730="OIL",E730="OIL_WATER"),"OWC_TRANSITION",IF(AND(D730="OIL_WATER",E730="WATER"),"OWC_TRANSITION",IF(AND(D730="GAS",E730="GAS_WATER"),"GOC_TRANSITION",IF(AND(D730="GAS_WATER",E730="OIL"),"GOC_TRANSITION",IF(OR(D730="OIL_WATER",D730="GAS_WATER"),"TRANSITION_INTERVAL","")))))))))</f>
        <v/>
      </c>
      <c r="G730" s="20">
        <f>IF(OR(F730="",Master_Data!R730="",Master_Data!S730=""),"",IF(RIGHT(F730,10)="TRANSITION",AVERAGE(Master_Data!R730:Master_Data!S730),AVERAGE(Master_Data!S730,Master_Data!R731)))</f>
        <v/>
      </c>
      <c r="H730" s="20">
        <f>IF(G730="","",MAX(Settings!$B$4,Settings!$B$5*AVERAGE(IF(Master_Data!O730&lt;&gt;"",Master_Data!O730,Master_Data!H730),IF(Master_Data!O731&lt;&gt;"",Master_Data!O731,Master_Data!H731))))</f>
        <v/>
      </c>
      <c r="I730" s="20">
        <f>IF(G730="","",G730-H730)</f>
        <v/>
      </c>
      <c r="J730" s="20">
        <f>IF(G730="","",G730+H730)</f>
        <v/>
      </c>
      <c r="K730" s="20">
        <f>IF($A730="","",Master_Data!G730)</f>
        <v/>
      </c>
      <c r="L730" s="20">
        <f>IF($A730="","",Master_Data!G731)</f>
        <v/>
      </c>
      <c r="M730" s="20">
        <f>IF(AND(ISNUMBER(K730),ISNUMBER(L730)),L730-K730,"")</f>
        <v/>
      </c>
      <c r="N730" s="19">
        <f>IF(G730="","",IF(AND(ISNUMBER(K730),ISNUMBER(L730)),IF(OR(F730="GOC",F730="OWC",F730="GWC",F730="OWC_TRANSITION",F730="GOC_TRANSITION"),IF(L730&gt;=K730,"Supports","Conflicts"),"N/A"),"No Sw"))</f>
        <v/>
      </c>
      <c r="O730" s="20">
        <f>IF(G730="","",Settings!$B$6*IF(OR(F730="GOC",F730="OWC",F730="GWC"),1,0.7)+Settings!$B$7*IF(N730="Supports",1,IF(N730="Conflicts",0,0.5))+Settings!$B$8*IF(AND(Master_Data!R730&lt;&gt;"",Master_Data!S730&lt;&gt;"",Master_Data!R731&lt;&gt;"",Master_Data!S731&lt;&gt;""),1,0.5))</f>
        <v/>
      </c>
      <c r="P730" s="19">
        <f>IF(G730="","",IF(N730="Conflicts","SW_CONFLICT",IF(OR(F730="GOC",F730="OWC",F730="GWC"),"DIRECT_FLUID_TRANSITION","TRANSITION_INTERVAL")))</f>
        <v/>
      </c>
      <c r="Q730" s="19">
        <f>IF(G730="","",IF(N730="Conflicts","Investigate contact interpretation / saturation behaviour",IF(OR(F730="OWC",F730="GOC",F730="GWC"),"Candidate contact — validate with logs, pressure and dynamic evidence","Transition zone — do not force to a sharp contact")))</f>
        <v/>
      </c>
    </row>
    <row r="731">
      <c r="A731" s="19">
        <f>IF(AND(Master_Data!A731&lt;&gt;"",Master_Data!A731=Master_Data!A732),Master_Data!A731,"")</f>
        <v/>
      </c>
      <c r="B731" s="19">
        <f>IF($A731="","",Master_Data!B731)</f>
        <v/>
      </c>
      <c r="C731" s="19">
        <f>IF($A731="","",Master_Data!B732)</f>
        <v/>
      </c>
      <c r="D731" s="19">
        <f>IF($A731="","",Master_Data!Q731)</f>
        <v/>
      </c>
      <c r="E731" s="19">
        <f>IF($A731="","",Master_Data!Q732)</f>
        <v/>
      </c>
      <c r="F731" s="19">
        <f>IF($A731="","",IF(AND(D731="GAS",E731="OIL"),"GOC",IF(AND(D731="OIL",E731="WATER"),"OWC",IF(AND(D731="GAS",E731="WATER"),"GWC",IF(AND(D731="OIL",E731="OIL_WATER"),"OWC_TRANSITION",IF(AND(D731="OIL_WATER",E731="WATER"),"OWC_TRANSITION",IF(AND(D731="GAS",E731="GAS_WATER"),"GOC_TRANSITION",IF(AND(D731="GAS_WATER",E731="OIL"),"GOC_TRANSITION",IF(OR(D731="OIL_WATER",D731="GAS_WATER"),"TRANSITION_INTERVAL","")))))))))</f>
        <v/>
      </c>
      <c r="G731" s="20">
        <f>IF(OR(F731="",Master_Data!R731="",Master_Data!S731=""),"",IF(RIGHT(F731,10)="TRANSITION",AVERAGE(Master_Data!R731:Master_Data!S731),AVERAGE(Master_Data!S731,Master_Data!R732)))</f>
        <v/>
      </c>
      <c r="H731" s="20">
        <f>IF(G731="","",MAX(Settings!$B$4,Settings!$B$5*AVERAGE(IF(Master_Data!O731&lt;&gt;"",Master_Data!O731,Master_Data!H731),IF(Master_Data!O732&lt;&gt;"",Master_Data!O732,Master_Data!H732))))</f>
        <v/>
      </c>
      <c r="I731" s="20">
        <f>IF(G731="","",G731-H731)</f>
        <v/>
      </c>
      <c r="J731" s="20">
        <f>IF(G731="","",G731+H731)</f>
        <v/>
      </c>
      <c r="K731" s="20">
        <f>IF($A731="","",Master_Data!G731)</f>
        <v/>
      </c>
      <c r="L731" s="20">
        <f>IF($A731="","",Master_Data!G732)</f>
        <v/>
      </c>
      <c r="M731" s="20">
        <f>IF(AND(ISNUMBER(K731),ISNUMBER(L731)),L731-K731,"")</f>
        <v/>
      </c>
      <c r="N731" s="19">
        <f>IF(G731="","",IF(AND(ISNUMBER(K731),ISNUMBER(L731)),IF(OR(F731="GOC",F731="OWC",F731="GWC",F731="OWC_TRANSITION",F731="GOC_TRANSITION"),IF(L731&gt;=K731,"Supports","Conflicts"),"N/A"),"No Sw"))</f>
        <v/>
      </c>
      <c r="O731" s="20">
        <f>IF(G731="","",Settings!$B$6*IF(OR(F731="GOC",F731="OWC",F731="GWC"),1,0.7)+Settings!$B$7*IF(N731="Supports",1,IF(N731="Conflicts",0,0.5))+Settings!$B$8*IF(AND(Master_Data!R731&lt;&gt;"",Master_Data!S731&lt;&gt;"",Master_Data!R732&lt;&gt;"",Master_Data!S732&lt;&gt;""),1,0.5))</f>
        <v/>
      </c>
      <c r="P731" s="19">
        <f>IF(G731="","",IF(N731="Conflicts","SW_CONFLICT",IF(OR(F731="GOC",F731="OWC",F731="GWC"),"DIRECT_FLUID_TRANSITION","TRANSITION_INTERVAL")))</f>
        <v/>
      </c>
      <c r="Q731" s="19">
        <f>IF(G731="","",IF(N731="Conflicts","Investigate contact interpretation / saturation behaviour",IF(OR(F731="OWC",F731="GOC",F731="GWC"),"Candidate contact — validate with logs, pressure and dynamic evidence","Transition zone — do not force to a sharp contact")))</f>
        <v/>
      </c>
    </row>
    <row r="732">
      <c r="A732" s="19">
        <f>IF(AND(Master_Data!A732&lt;&gt;"",Master_Data!A732=Master_Data!A733),Master_Data!A732,"")</f>
        <v/>
      </c>
      <c r="B732" s="19">
        <f>IF($A732="","",Master_Data!B732)</f>
        <v/>
      </c>
      <c r="C732" s="19">
        <f>IF($A732="","",Master_Data!B733)</f>
        <v/>
      </c>
      <c r="D732" s="19">
        <f>IF($A732="","",Master_Data!Q732)</f>
        <v/>
      </c>
      <c r="E732" s="19">
        <f>IF($A732="","",Master_Data!Q733)</f>
        <v/>
      </c>
      <c r="F732" s="19">
        <f>IF($A732="","",IF(AND(D732="GAS",E732="OIL"),"GOC",IF(AND(D732="OIL",E732="WATER"),"OWC",IF(AND(D732="GAS",E732="WATER"),"GWC",IF(AND(D732="OIL",E732="OIL_WATER"),"OWC_TRANSITION",IF(AND(D732="OIL_WATER",E732="WATER"),"OWC_TRANSITION",IF(AND(D732="GAS",E732="GAS_WATER"),"GOC_TRANSITION",IF(AND(D732="GAS_WATER",E732="OIL"),"GOC_TRANSITION",IF(OR(D732="OIL_WATER",D732="GAS_WATER"),"TRANSITION_INTERVAL","")))))))))</f>
        <v/>
      </c>
      <c r="G732" s="20">
        <f>IF(OR(F732="",Master_Data!R732="",Master_Data!S732=""),"",IF(RIGHT(F732,10)="TRANSITION",AVERAGE(Master_Data!R732:Master_Data!S732),AVERAGE(Master_Data!S732,Master_Data!R733)))</f>
        <v/>
      </c>
      <c r="H732" s="20">
        <f>IF(G732="","",MAX(Settings!$B$4,Settings!$B$5*AVERAGE(IF(Master_Data!O732&lt;&gt;"",Master_Data!O732,Master_Data!H732),IF(Master_Data!O733&lt;&gt;"",Master_Data!O733,Master_Data!H733))))</f>
        <v/>
      </c>
      <c r="I732" s="20">
        <f>IF(G732="","",G732-H732)</f>
        <v/>
      </c>
      <c r="J732" s="20">
        <f>IF(G732="","",G732+H732)</f>
        <v/>
      </c>
      <c r="K732" s="20">
        <f>IF($A732="","",Master_Data!G732)</f>
        <v/>
      </c>
      <c r="L732" s="20">
        <f>IF($A732="","",Master_Data!G733)</f>
        <v/>
      </c>
      <c r="M732" s="20">
        <f>IF(AND(ISNUMBER(K732),ISNUMBER(L732)),L732-K732,"")</f>
        <v/>
      </c>
      <c r="N732" s="19">
        <f>IF(G732="","",IF(AND(ISNUMBER(K732),ISNUMBER(L732)),IF(OR(F732="GOC",F732="OWC",F732="GWC",F732="OWC_TRANSITION",F732="GOC_TRANSITION"),IF(L732&gt;=K732,"Supports","Conflicts"),"N/A"),"No Sw"))</f>
        <v/>
      </c>
      <c r="O732" s="20">
        <f>IF(G732="","",Settings!$B$6*IF(OR(F732="GOC",F732="OWC",F732="GWC"),1,0.7)+Settings!$B$7*IF(N732="Supports",1,IF(N732="Conflicts",0,0.5))+Settings!$B$8*IF(AND(Master_Data!R732&lt;&gt;"",Master_Data!S732&lt;&gt;"",Master_Data!R733&lt;&gt;"",Master_Data!S733&lt;&gt;""),1,0.5))</f>
        <v/>
      </c>
      <c r="P732" s="19">
        <f>IF(G732="","",IF(N732="Conflicts","SW_CONFLICT",IF(OR(F732="GOC",F732="OWC",F732="GWC"),"DIRECT_FLUID_TRANSITION","TRANSITION_INTERVAL")))</f>
        <v/>
      </c>
      <c r="Q732" s="19">
        <f>IF(G732="","",IF(N732="Conflicts","Investigate contact interpretation / saturation behaviour",IF(OR(F732="OWC",F732="GOC",F732="GWC"),"Candidate contact — validate with logs, pressure and dynamic evidence","Transition zone — do not force to a sharp contact")))</f>
        <v/>
      </c>
    </row>
    <row r="733">
      <c r="A733" s="19">
        <f>IF(AND(Master_Data!A733&lt;&gt;"",Master_Data!A733=Master_Data!A734),Master_Data!A733,"")</f>
        <v/>
      </c>
      <c r="B733" s="19">
        <f>IF($A733="","",Master_Data!B733)</f>
        <v/>
      </c>
      <c r="C733" s="19">
        <f>IF($A733="","",Master_Data!B734)</f>
        <v/>
      </c>
      <c r="D733" s="19">
        <f>IF($A733="","",Master_Data!Q733)</f>
        <v/>
      </c>
      <c r="E733" s="19">
        <f>IF($A733="","",Master_Data!Q734)</f>
        <v/>
      </c>
      <c r="F733" s="19">
        <f>IF($A733="","",IF(AND(D733="GAS",E733="OIL"),"GOC",IF(AND(D733="OIL",E733="WATER"),"OWC",IF(AND(D733="GAS",E733="WATER"),"GWC",IF(AND(D733="OIL",E733="OIL_WATER"),"OWC_TRANSITION",IF(AND(D733="OIL_WATER",E733="WATER"),"OWC_TRANSITION",IF(AND(D733="GAS",E733="GAS_WATER"),"GOC_TRANSITION",IF(AND(D733="GAS_WATER",E733="OIL"),"GOC_TRANSITION",IF(OR(D733="OIL_WATER",D733="GAS_WATER"),"TRANSITION_INTERVAL","")))))))))</f>
        <v/>
      </c>
      <c r="G733" s="20">
        <f>IF(OR(F733="",Master_Data!R733="",Master_Data!S733=""),"",IF(RIGHT(F733,10)="TRANSITION",AVERAGE(Master_Data!R733:Master_Data!S733),AVERAGE(Master_Data!S733,Master_Data!R734)))</f>
        <v/>
      </c>
      <c r="H733" s="20">
        <f>IF(G733="","",MAX(Settings!$B$4,Settings!$B$5*AVERAGE(IF(Master_Data!O733&lt;&gt;"",Master_Data!O733,Master_Data!H733),IF(Master_Data!O734&lt;&gt;"",Master_Data!O734,Master_Data!H734))))</f>
        <v/>
      </c>
      <c r="I733" s="20">
        <f>IF(G733="","",G733-H733)</f>
        <v/>
      </c>
      <c r="J733" s="20">
        <f>IF(G733="","",G733+H733)</f>
        <v/>
      </c>
      <c r="K733" s="20">
        <f>IF($A733="","",Master_Data!G733)</f>
        <v/>
      </c>
      <c r="L733" s="20">
        <f>IF($A733="","",Master_Data!G734)</f>
        <v/>
      </c>
      <c r="M733" s="20">
        <f>IF(AND(ISNUMBER(K733),ISNUMBER(L733)),L733-K733,"")</f>
        <v/>
      </c>
      <c r="N733" s="19">
        <f>IF(G733="","",IF(AND(ISNUMBER(K733),ISNUMBER(L733)),IF(OR(F733="GOC",F733="OWC",F733="GWC",F733="OWC_TRANSITION",F733="GOC_TRANSITION"),IF(L733&gt;=K733,"Supports","Conflicts"),"N/A"),"No Sw"))</f>
        <v/>
      </c>
      <c r="O733" s="20">
        <f>IF(G733="","",Settings!$B$6*IF(OR(F733="GOC",F733="OWC",F733="GWC"),1,0.7)+Settings!$B$7*IF(N733="Supports",1,IF(N733="Conflicts",0,0.5))+Settings!$B$8*IF(AND(Master_Data!R733&lt;&gt;"",Master_Data!S733&lt;&gt;"",Master_Data!R734&lt;&gt;"",Master_Data!S734&lt;&gt;""),1,0.5))</f>
        <v/>
      </c>
      <c r="P733" s="19">
        <f>IF(G733="","",IF(N733="Conflicts","SW_CONFLICT",IF(OR(F733="GOC",F733="OWC",F733="GWC"),"DIRECT_FLUID_TRANSITION","TRANSITION_INTERVAL")))</f>
        <v/>
      </c>
      <c r="Q733" s="19">
        <f>IF(G733="","",IF(N733="Conflicts","Investigate contact interpretation / saturation behaviour",IF(OR(F733="OWC",F733="GOC",F733="GWC"),"Candidate contact — validate with logs, pressure and dynamic evidence","Transition zone — do not force to a sharp contact")))</f>
        <v/>
      </c>
    </row>
    <row r="734">
      <c r="A734" s="19">
        <f>IF(AND(Master_Data!A734&lt;&gt;"",Master_Data!A734=Master_Data!A735),Master_Data!A734,"")</f>
        <v/>
      </c>
      <c r="B734" s="19">
        <f>IF($A734="","",Master_Data!B734)</f>
        <v/>
      </c>
      <c r="C734" s="19">
        <f>IF($A734="","",Master_Data!B735)</f>
        <v/>
      </c>
      <c r="D734" s="19">
        <f>IF($A734="","",Master_Data!Q734)</f>
        <v/>
      </c>
      <c r="E734" s="19">
        <f>IF($A734="","",Master_Data!Q735)</f>
        <v/>
      </c>
      <c r="F734" s="19">
        <f>IF($A734="","",IF(AND(D734="GAS",E734="OIL"),"GOC",IF(AND(D734="OIL",E734="WATER"),"OWC",IF(AND(D734="GAS",E734="WATER"),"GWC",IF(AND(D734="OIL",E734="OIL_WATER"),"OWC_TRANSITION",IF(AND(D734="OIL_WATER",E734="WATER"),"OWC_TRANSITION",IF(AND(D734="GAS",E734="GAS_WATER"),"GOC_TRANSITION",IF(AND(D734="GAS_WATER",E734="OIL"),"GOC_TRANSITION",IF(OR(D734="OIL_WATER",D734="GAS_WATER"),"TRANSITION_INTERVAL","")))))))))</f>
        <v/>
      </c>
      <c r="G734" s="20">
        <f>IF(OR(F734="",Master_Data!R734="",Master_Data!S734=""),"",IF(RIGHT(F734,10)="TRANSITION",AVERAGE(Master_Data!R734:Master_Data!S734),AVERAGE(Master_Data!S734,Master_Data!R735)))</f>
        <v/>
      </c>
      <c r="H734" s="20">
        <f>IF(G734="","",MAX(Settings!$B$4,Settings!$B$5*AVERAGE(IF(Master_Data!O734&lt;&gt;"",Master_Data!O734,Master_Data!H734),IF(Master_Data!O735&lt;&gt;"",Master_Data!O735,Master_Data!H735))))</f>
        <v/>
      </c>
      <c r="I734" s="20">
        <f>IF(G734="","",G734-H734)</f>
        <v/>
      </c>
      <c r="J734" s="20">
        <f>IF(G734="","",G734+H734)</f>
        <v/>
      </c>
      <c r="K734" s="20">
        <f>IF($A734="","",Master_Data!G734)</f>
        <v/>
      </c>
      <c r="L734" s="20">
        <f>IF($A734="","",Master_Data!G735)</f>
        <v/>
      </c>
      <c r="M734" s="20">
        <f>IF(AND(ISNUMBER(K734),ISNUMBER(L734)),L734-K734,"")</f>
        <v/>
      </c>
      <c r="N734" s="19">
        <f>IF(G734="","",IF(AND(ISNUMBER(K734),ISNUMBER(L734)),IF(OR(F734="GOC",F734="OWC",F734="GWC",F734="OWC_TRANSITION",F734="GOC_TRANSITION"),IF(L734&gt;=K734,"Supports","Conflicts"),"N/A"),"No Sw"))</f>
        <v/>
      </c>
      <c r="O734" s="20">
        <f>IF(G734="","",Settings!$B$6*IF(OR(F734="GOC",F734="OWC",F734="GWC"),1,0.7)+Settings!$B$7*IF(N734="Supports",1,IF(N734="Conflicts",0,0.5))+Settings!$B$8*IF(AND(Master_Data!R734&lt;&gt;"",Master_Data!S734&lt;&gt;"",Master_Data!R735&lt;&gt;"",Master_Data!S735&lt;&gt;""),1,0.5))</f>
        <v/>
      </c>
      <c r="P734" s="19">
        <f>IF(G734="","",IF(N734="Conflicts","SW_CONFLICT",IF(OR(F734="GOC",F734="OWC",F734="GWC"),"DIRECT_FLUID_TRANSITION","TRANSITION_INTERVAL")))</f>
        <v/>
      </c>
      <c r="Q734" s="19">
        <f>IF(G734="","",IF(N734="Conflicts","Investigate contact interpretation / saturation behaviour",IF(OR(F734="OWC",F734="GOC",F734="GWC"),"Candidate contact — validate with logs, pressure and dynamic evidence","Transition zone — do not force to a sharp contact")))</f>
        <v/>
      </c>
    </row>
    <row r="735">
      <c r="A735" s="19">
        <f>IF(AND(Master_Data!A735&lt;&gt;"",Master_Data!A735=Master_Data!A736),Master_Data!A735,"")</f>
        <v/>
      </c>
      <c r="B735" s="19">
        <f>IF($A735="","",Master_Data!B735)</f>
        <v/>
      </c>
      <c r="C735" s="19">
        <f>IF($A735="","",Master_Data!B736)</f>
        <v/>
      </c>
      <c r="D735" s="19">
        <f>IF($A735="","",Master_Data!Q735)</f>
        <v/>
      </c>
      <c r="E735" s="19">
        <f>IF($A735="","",Master_Data!Q736)</f>
        <v/>
      </c>
      <c r="F735" s="19">
        <f>IF($A735="","",IF(AND(D735="GAS",E735="OIL"),"GOC",IF(AND(D735="OIL",E735="WATER"),"OWC",IF(AND(D735="GAS",E735="WATER"),"GWC",IF(AND(D735="OIL",E735="OIL_WATER"),"OWC_TRANSITION",IF(AND(D735="OIL_WATER",E735="WATER"),"OWC_TRANSITION",IF(AND(D735="GAS",E735="GAS_WATER"),"GOC_TRANSITION",IF(AND(D735="GAS_WATER",E735="OIL"),"GOC_TRANSITION",IF(OR(D735="OIL_WATER",D735="GAS_WATER"),"TRANSITION_INTERVAL","")))))))))</f>
        <v/>
      </c>
      <c r="G735" s="20">
        <f>IF(OR(F735="",Master_Data!R735="",Master_Data!S735=""),"",IF(RIGHT(F735,10)="TRANSITION",AVERAGE(Master_Data!R735:Master_Data!S735),AVERAGE(Master_Data!S735,Master_Data!R736)))</f>
        <v/>
      </c>
      <c r="H735" s="20">
        <f>IF(G735="","",MAX(Settings!$B$4,Settings!$B$5*AVERAGE(IF(Master_Data!O735&lt;&gt;"",Master_Data!O735,Master_Data!H735),IF(Master_Data!O736&lt;&gt;"",Master_Data!O736,Master_Data!H736))))</f>
        <v/>
      </c>
      <c r="I735" s="20">
        <f>IF(G735="","",G735-H735)</f>
        <v/>
      </c>
      <c r="J735" s="20">
        <f>IF(G735="","",G735+H735)</f>
        <v/>
      </c>
      <c r="K735" s="20">
        <f>IF($A735="","",Master_Data!G735)</f>
        <v/>
      </c>
      <c r="L735" s="20">
        <f>IF($A735="","",Master_Data!G736)</f>
        <v/>
      </c>
      <c r="M735" s="20">
        <f>IF(AND(ISNUMBER(K735),ISNUMBER(L735)),L735-K735,"")</f>
        <v/>
      </c>
      <c r="N735" s="19">
        <f>IF(G735="","",IF(AND(ISNUMBER(K735),ISNUMBER(L735)),IF(OR(F735="GOC",F735="OWC",F735="GWC",F735="OWC_TRANSITION",F735="GOC_TRANSITION"),IF(L735&gt;=K735,"Supports","Conflicts"),"N/A"),"No Sw"))</f>
        <v/>
      </c>
      <c r="O735" s="20">
        <f>IF(G735="","",Settings!$B$6*IF(OR(F735="GOC",F735="OWC",F735="GWC"),1,0.7)+Settings!$B$7*IF(N735="Supports",1,IF(N735="Conflicts",0,0.5))+Settings!$B$8*IF(AND(Master_Data!R735&lt;&gt;"",Master_Data!S735&lt;&gt;"",Master_Data!R736&lt;&gt;"",Master_Data!S736&lt;&gt;""),1,0.5))</f>
        <v/>
      </c>
      <c r="P735" s="19">
        <f>IF(G735="","",IF(N735="Conflicts","SW_CONFLICT",IF(OR(F735="GOC",F735="OWC",F735="GWC"),"DIRECT_FLUID_TRANSITION","TRANSITION_INTERVAL")))</f>
        <v/>
      </c>
      <c r="Q735" s="19">
        <f>IF(G735="","",IF(N735="Conflicts","Investigate contact interpretation / saturation behaviour",IF(OR(F735="OWC",F735="GOC",F735="GWC"),"Candidate contact — validate with logs, pressure and dynamic evidence","Transition zone — do not force to a sharp contact")))</f>
        <v/>
      </c>
    </row>
    <row r="736">
      <c r="A736" s="19">
        <f>IF(AND(Master_Data!A736&lt;&gt;"",Master_Data!A736=Master_Data!A737),Master_Data!A736,"")</f>
        <v/>
      </c>
      <c r="B736" s="19">
        <f>IF($A736="","",Master_Data!B736)</f>
        <v/>
      </c>
      <c r="C736" s="19">
        <f>IF($A736="","",Master_Data!B737)</f>
        <v/>
      </c>
      <c r="D736" s="19">
        <f>IF($A736="","",Master_Data!Q736)</f>
        <v/>
      </c>
      <c r="E736" s="19">
        <f>IF($A736="","",Master_Data!Q737)</f>
        <v/>
      </c>
      <c r="F736" s="19">
        <f>IF($A736="","",IF(AND(D736="GAS",E736="OIL"),"GOC",IF(AND(D736="OIL",E736="WATER"),"OWC",IF(AND(D736="GAS",E736="WATER"),"GWC",IF(AND(D736="OIL",E736="OIL_WATER"),"OWC_TRANSITION",IF(AND(D736="OIL_WATER",E736="WATER"),"OWC_TRANSITION",IF(AND(D736="GAS",E736="GAS_WATER"),"GOC_TRANSITION",IF(AND(D736="GAS_WATER",E736="OIL"),"GOC_TRANSITION",IF(OR(D736="OIL_WATER",D736="GAS_WATER"),"TRANSITION_INTERVAL","")))))))))</f>
        <v/>
      </c>
      <c r="G736" s="20">
        <f>IF(OR(F736="",Master_Data!R736="",Master_Data!S736=""),"",IF(RIGHT(F736,10)="TRANSITION",AVERAGE(Master_Data!R736:Master_Data!S736),AVERAGE(Master_Data!S736,Master_Data!R737)))</f>
        <v/>
      </c>
      <c r="H736" s="20">
        <f>IF(G736="","",MAX(Settings!$B$4,Settings!$B$5*AVERAGE(IF(Master_Data!O736&lt;&gt;"",Master_Data!O736,Master_Data!H736),IF(Master_Data!O737&lt;&gt;"",Master_Data!O737,Master_Data!H737))))</f>
        <v/>
      </c>
      <c r="I736" s="20">
        <f>IF(G736="","",G736-H736)</f>
        <v/>
      </c>
      <c r="J736" s="20">
        <f>IF(G736="","",G736+H736)</f>
        <v/>
      </c>
      <c r="K736" s="20">
        <f>IF($A736="","",Master_Data!G736)</f>
        <v/>
      </c>
      <c r="L736" s="20">
        <f>IF($A736="","",Master_Data!G737)</f>
        <v/>
      </c>
      <c r="M736" s="20">
        <f>IF(AND(ISNUMBER(K736),ISNUMBER(L736)),L736-K736,"")</f>
        <v/>
      </c>
      <c r="N736" s="19">
        <f>IF(G736="","",IF(AND(ISNUMBER(K736),ISNUMBER(L736)),IF(OR(F736="GOC",F736="OWC",F736="GWC",F736="OWC_TRANSITION",F736="GOC_TRANSITION"),IF(L736&gt;=K736,"Supports","Conflicts"),"N/A"),"No Sw"))</f>
        <v/>
      </c>
      <c r="O736" s="20">
        <f>IF(G736="","",Settings!$B$6*IF(OR(F736="GOC",F736="OWC",F736="GWC"),1,0.7)+Settings!$B$7*IF(N736="Supports",1,IF(N736="Conflicts",0,0.5))+Settings!$B$8*IF(AND(Master_Data!R736&lt;&gt;"",Master_Data!S736&lt;&gt;"",Master_Data!R737&lt;&gt;"",Master_Data!S737&lt;&gt;""),1,0.5))</f>
        <v/>
      </c>
      <c r="P736" s="19">
        <f>IF(G736="","",IF(N736="Conflicts","SW_CONFLICT",IF(OR(F736="GOC",F736="OWC",F736="GWC"),"DIRECT_FLUID_TRANSITION","TRANSITION_INTERVAL")))</f>
        <v/>
      </c>
      <c r="Q736" s="19">
        <f>IF(G736="","",IF(N736="Conflicts","Investigate contact interpretation / saturation behaviour",IF(OR(F736="OWC",F736="GOC",F736="GWC"),"Candidate contact — validate with logs, pressure and dynamic evidence","Transition zone — do not force to a sharp contact")))</f>
        <v/>
      </c>
    </row>
    <row r="737">
      <c r="A737" s="19">
        <f>IF(AND(Master_Data!A737&lt;&gt;"",Master_Data!A737=Master_Data!A738),Master_Data!A737,"")</f>
        <v/>
      </c>
      <c r="B737" s="19">
        <f>IF($A737="","",Master_Data!B737)</f>
        <v/>
      </c>
      <c r="C737" s="19">
        <f>IF($A737="","",Master_Data!B738)</f>
        <v/>
      </c>
      <c r="D737" s="19">
        <f>IF($A737="","",Master_Data!Q737)</f>
        <v/>
      </c>
      <c r="E737" s="19">
        <f>IF($A737="","",Master_Data!Q738)</f>
        <v/>
      </c>
      <c r="F737" s="19">
        <f>IF($A737="","",IF(AND(D737="GAS",E737="OIL"),"GOC",IF(AND(D737="OIL",E737="WATER"),"OWC",IF(AND(D737="GAS",E737="WATER"),"GWC",IF(AND(D737="OIL",E737="OIL_WATER"),"OWC_TRANSITION",IF(AND(D737="OIL_WATER",E737="WATER"),"OWC_TRANSITION",IF(AND(D737="GAS",E737="GAS_WATER"),"GOC_TRANSITION",IF(AND(D737="GAS_WATER",E737="OIL"),"GOC_TRANSITION",IF(OR(D737="OIL_WATER",D737="GAS_WATER"),"TRANSITION_INTERVAL","")))))))))</f>
        <v/>
      </c>
      <c r="G737" s="20">
        <f>IF(OR(F737="",Master_Data!R737="",Master_Data!S737=""),"",IF(RIGHT(F737,10)="TRANSITION",AVERAGE(Master_Data!R737:Master_Data!S737),AVERAGE(Master_Data!S737,Master_Data!R738)))</f>
        <v/>
      </c>
      <c r="H737" s="20">
        <f>IF(G737="","",MAX(Settings!$B$4,Settings!$B$5*AVERAGE(IF(Master_Data!O737&lt;&gt;"",Master_Data!O737,Master_Data!H737),IF(Master_Data!O738&lt;&gt;"",Master_Data!O738,Master_Data!H738))))</f>
        <v/>
      </c>
      <c r="I737" s="20">
        <f>IF(G737="","",G737-H737)</f>
        <v/>
      </c>
      <c r="J737" s="20">
        <f>IF(G737="","",G737+H737)</f>
        <v/>
      </c>
      <c r="K737" s="20">
        <f>IF($A737="","",Master_Data!G737)</f>
        <v/>
      </c>
      <c r="L737" s="20">
        <f>IF($A737="","",Master_Data!G738)</f>
        <v/>
      </c>
      <c r="M737" s="20">
        <f>IF(AND(ISNUMBER(K737),ISNUMBER(L737)),L737-K737,"")</f>
        <v/>
      </c>
      <c r="N737" s="19">
        <f>IF(G737="","",IF(AND(ISNUMBER(K737),ISNUMBER(L737)),IF(OR(F737="GOC",F737="OWC",F737="GWC",F737="OWC_TRANSITION",F737="GOC_TRANSITION"),IF(L737&gt;=K737,"Supports","Conflicts"),"N/A"),"No Sw"))</f>
        <v/>
      </c>
      <c r="O737" s="20">
        <f>IF(G737="","",Settings!$B$6*IF(OR(F737="GOC",F737="OWC",F737="GWC"),1,0.7)+Settings!$B$7*IF(N737="Supports",1,IF(N737="Conflicts",0,0.5))+Settings!$B$8*IF(AND(Master_Data!R737&lt;&gt;"",Master_Data!S737&lt;&gt;"",Master_Data!R738&lt;&gt;"",Master_Data!S738&lt;&gt;""),1,0.5))</f>
        <v/>
      </c>
      <c r="P737" s="19">
        <f>IF(G737="","",IF(N737="Conflicts","SW_CONFLICT",IF(OR(F737="GOC",F737="OWC",F737="GWC"),"DIRECT_FLUID_TRANSITION","TRANSITION_INTERVAL")))</f>
        <v/>
      </c>
      <c r="Q737" s="19">
        <f>IF(G737="","",IF(N737="Conflicts","Investigate contact interpretation / saturation behaviour",IF(OR(F737="OWC",F737="GOC",F737="GWC"),"Candidate contact — validate with logs, pressure and dynamic evidence","Transition zone — do not force to a sharp contact")))</f>
        <v/>
      </c>
    </row>
    <row r="738">
      <c r="A738" s="19">
        <f>IF(AND(Master_Data!A738&lt;&gt;"",Master_Data!A738=Master_Data!A739),Master_Data!A738,"")</f>
        <v/>
      </c>
      <c r="B738" s="19">
        <f>IF($A738="","",Master_Data!B738)</f>
        <v/>
      </c>
      <c r="C738" s="19">
        <f>IF($A738="","",Master_Data!B739)</f>
        <v/>
      </c>
      <c r="D738" s="19">
        <f>IF($A738="","",Master_Data!Q738)</f>
        <v/>
      </c>
      <c r="E738" s="19">
        <f>IF($A738="","",Master_Data!Q739)</f>
        <v/>
      </c>
      <c r="F738" s="19">
        <f>IF($A738="","",IF(AND(D738="GAS",E738="OIL"),"GOC",IF(AND(D738="OIL",E738="WATER"),"OWC",IF(AND(D738="GAS",E738="WATER"),"GWC",IF(AND(D738="OIL",E738="OIL_WATER"),"OWC_TRANSITION",IF(AND(D738="OIL_WATER",E738="WATER"),"OWC_TRANSITION",IF(AND(D738="GAS",E738="GAS_WATER"),"GOC_TRANSITION",IF(AND(D738="GAS_WATER",E738="OIL"),"GOC_TRANSITION",IF(OR(D738="OIL_WATER",D738="GAS_WATER"),"TRANSITION_INTERVAL","")))))))))</f>
        <v/>
      </c>
      <c r="G738" s="20">
        <f>IF(OR(F738="",Master_Data!R738="",Master_Data!S738=""),"",IF(RIGHT(F738,10)="TRANSITION",AVERAGE(Master_Data!R738:Master_Data!S738),AVERAGE(Master_Data!S738,Master_Data!R739)))</f>
        <v/>
      </c>
      <c r="H738" s="20">
        <f>IF(G738="","",MAX(Settings!$B$4,Settings!$B$5*AVERAGE(IF(Master_Data!O738&lt;&gt;"",Master_Data!O738,Master_Data!H738),IF(Master_Data!O739&lt;&gt;"",Master_Data!O739,Master_Data!H739))))</f>
        <v/>
      </c>
      <c r="I738" s="20">
        <f>IF(G738="","",G738-H738)</f>
        <v/>
      </c>
      <c r="J738" s="20">
        <f>IF(G738="","",G738+H738)</f>
        <v/>
      </c>
      <c r="K738" s="20">
        <f>IF($A738="","",Master_Data!G738)</f>
        <v/>
      </c>
      <c r="L738" s="20">
        <f>IF($A738="","",Master_Data!G739)</f>
        <v/>
      </c>
      <c r="M738" s="20">
        <f>IF(AND(ISNUMBER(K738),ISNUMBER(L738)),L738-K738,"")</f>
        <v/>
      </c>
      <c r="N738" s="19">
        <f>IF(G738="","",IF(AND(ISNUMBER(K738),ISNUMBER(L738)),IF(OR(F738="GOC",F738="OWC",F738="GWC",F738="OWC_TRANSITION",F738="GOC_TRANSITION"),IF(L738&gt;=K738,"Supports","Conflicts"),"N/A"),"No Sw"))</f>
        <v/>
      </c>
      <c r="O738" s="20">
        <f>IF(G738="","",Settings!$B$6*IF(OR(F738="GOC",F738="OWC",F738="GWC"),1,0.7)+Settings!$B$7*IF(N738="Supports",1,IF(N738="Conflicts",0,0.5))+Settings!$B$8*IF(AND(Master_Data!R738&lt;&gt;"",Master_Data!S738&lt;&gt;"",Master_Data!R739&lt;&gt;"",Master_Data!S739&lt;&gt;""),1,0.5))</f>
        <v/>
      </c>
      <c r="P738" s="19">
        <f>IF(G738="","",IF(N738="Conflicts","SW_CONFLICT",IF(OR(F738="GOC",F738="OWC",F738="GWC"),"DIRECT_FLUID_TRANSITION","TRANSITION_INTERVAL")))</f>
        <v/>
      </c>
      <c r="Q738" s="19">
        <f>IF(G738="","",IF(N738="Conflicts","Investigate contact interpretation / saturation behaviour",IF(OR(F738="OWC",F738="GOC",F738="GWC"),"Candidate contact — validate with logs, pressure and dynamic evidence","Transition zone — do not force to a sharp contact")))</f>
        <v/>
      </c>
    </row>
    <row r="739">
      <c r="A739" s="19">
        <f>IF(AND(Master_Data!A739&lt;&gt;"",Master_Data!A739=Master_Data!A740),Master_Data!A739,"")</f>
        <v/>
      </c>
      <c r="B739" s="19">
        <f>IF($A739="","",Master_Data!B739)</f>
        <v/>
      </c>
      <c r="C739" s="19">
        <f>IF($A739="","",Master_Data!B740)</f>
        <v/>
      </c>
      <c r="D739" s="19">
        <f>IF($A739="","",Master_Data!Q739)</f>
        <v/>
      </c>
      <c r="E739" s="19">
        <f>IF($A739="","",Master_Data!Q740)</f>
        <v/>
      </c>
      <c r="F739" s="19">
        <f>IF($A739="","",IF(AND(D739="GAS",E739="OIL"),"GOC",IF(AND(D739="OIL",E739="WATER"),"OWC",IF(AND(D739="GAS",E739="WATER"),"GWC",IF(AND(D739="OIL",E739="OIL_WATER"),"OWC_TRANSITION",IF(AND(D739="OIL_WATER",E739="WATER"),"OWC_TRANSITION",IF(AND(D739="GAS",E739="GAS_WATER"),"GOC_TRANSITION",IF(AND(D739="GAS_WATER",E739="OIL"),"GOC_TRANSITION",IF(OR(D739="OIL_WATER",D739="GAS_WATER"),"TRANSITION_INTERVAL","")))))))))</f>
        <v/>
      </c>
      <c r="G739" s="20">
        <f>IF(OR(F739="",Master_Data!R739="",Master_Data!S739=""),"",IF(RIGHT(F739,10)="TRANSITION",AVERAGE(Master_Data!R739:Master_Data!S739),AVERAGE(Master_Data!S739,Master_Data!R740)))</f>
        <v/>
      </c>
      <c r="H739" s="20">
        <f>IF(G739="","",MAX(Settings!$B$4,Settings!$B$5*AVERAGE(IF(Master_Data!O739&lt;&gt;"",Master_Data!O739,Master_Data!H739),IF(Master_Data!O740&lt;&gt;"",Master_Data!O740,Master_Data!H740))))</f>
        <v/>
      </c>
      <c r="I739" s="20">
        <f>IF(G739="","",G739-H739)</f>
        <v/>
      </c>
      <c r="J739" s="20">
        <f>IF(G739="","",G739+H739)</f>
        <v/>
      </c>
      <c r="K739" s="20">
        <f>IF($A739="","",Master_Data!G739)</f>
        <v/>
      </c>
      <c r="L739" s="20">
        <f>IF($A739="","",Master_Data!G740)</f>
        <v/>
      </c>
      <c r="M739" s="20">
        <f>IF(AND(ISNUMBER(K739),ISNUMBER(L739)),L739-K739,"")</f>
        <v/>
      </c>
      <c r="N739" s="19">
        <f>IF(G739="","",IF(AND(ISNUMBER(K739),ISNUMBER(L739)),IF(OR(F739="GOC",F739="OWC",F739="GWC",F739="OWC_TRANSITION",F739="GOC_TRANSITION"),IF(L739&gt;=K739,"Supports","Conflicts"),"N/A"),"No Sw"))</f>
        <v/>
      </c>
      <c r="O739" s="20">
        <f>IF(G739="","",Settings!$B$6*IF(OR(F739="GOC",F739="OWC",F739="GWC"),1,0.7)+Settings!$B$7*IF(N739="Supports",1,IF(N739="Conflicts",0,0.5))+Settings!$B$8*IF(AND(Master_Data!R739&lt;&gt;"",Master_Data!S739&lt;&gt;"",Master_Data!R740&lt;&gt;"",Master_Data!S740&lt;&gt;""),1,0.5))</f>
        <v/>
      </c>
      <c r="P739" s="19">
        <f>IF(G739="","",IF(N739="Conflicts","SW_CONFLICT",IF(OR(F739="GOC",F739="OWC",F739="GWC"),"DIRECT_FLUID_TRANSITION","TRANSITION_INTERVAL")))</f>
        <v/>
      </c>
      <c r="Q739" s="19">
        <f>IF(G739="","",IF(N739="Conflicts","Investigate contact interpretation / saturation behaviour",IF(OR(F739="OWC",F739="GOC",F739="GWC"),"Candidate contact — validate with logs, pressure and dynamic evidence","Transition zone — do not force to a sharp contact")))</f>
        <v/>
      </c>
    </row>
    <row r="740">
      <c r="A740" s="19">
        <f>IF(AND(Master_Data!A740&lt;&gt;"",Master_Data!A740=Master_Data!A741),Master_Data!A740,"")</f>
        <v/>
      </c>
      <c r="B740" s="19">
        <f>IF($A740="","",Master_Data!B740)</f>
        <v/>
      </c>
      <c r="C740" s="19">
        <f>IF($A740="","",Master_Data!B741)</f>
        <v/>
      </c>
      <c r="D740" s="19">
        <f>IF($A740="","",Master_Data!Q740)</f>
        <v/>
      </c>
      <c r="E740" s="19">
        <f>IF($A740="","",Master_Data!Q741)</f>
        <v/>
      </c>
      <c r="F740" s="19">
        <f>IF($A740="","",IF(AND(D740="GAS",E740="OIL"),"GOC",IF(AND(D740="OIL",E740="WATER"),"OWC",IF(AND(D740="GAS",E740="WATER"),"GWC",IF(AND(D740="OIL",E740="OIL_WATER"),"OWC_TRANSITION",IF(AND(D740="OIL_WATER",E740="WATER"),"OWC_TRANSITION",IF(AND(D740="GAS",E740="GAS_WATER"),"GOC_TRANSITION",IF(AND(D740="GAS_WATER",E740="OIL"),"GOC_TRANSITION",IF(OR(D740="OIL_WATER",D740="GAS_WATER"),"TRANSITION_INTERVAL","")))))))))</f>
        <v/>
      </c>
      <c r="G740" s="20">
        <f>IF(OR(F740="",Master_Data!R740="",Master_Data!S740=""),"",IF(RIGHT(F740,10)="TRANSITION",AVERAGE(Master_Data!R740:Master_Data!S740),AVERAGE(Master_Data!S740,Master_Data!R741)))</f>
        <v/>
      </c>
      <c r="H740" s="20">
        <f>IF(G740="","",MAX(Settings!$B$4,Settings!$B$5*AVERAGE(IF(Master_Data!O740&lt;&gt;"",Master_Data!O740,Master_Data!H740),IF(Master_Data!O741&lt;&gt;"",Master_Data!O741,Master_Data!H741))))</f>
        <v/>
      </c>
      <c r="I740" s="20">
        <f>IF(G740="","",G740-H740)</f>
        <v/>
      </c>
      <c r="J740" s="20">
        <f>IF(G740="","",G740+H740)</f>
        <v/>
      </c>
      <c r="K740" s="20">
        <f>IF($A740="","",Master_Data!G740)</f>
        <v/>
      </c>
      <c r="L740" s="20">
        <f>IF($A740="","",Master_Data!G741)</f>
        <v/>
      </c>
      <c r="M740" s="20">
        <f>IF(AND(ISNUMBER(K740),ISNUMBER(L740)),L740-K740,"")</f>
        <v/>
      </c>
      <c r="N740" s="19">
        <f>IF(G740="","",IF(AND(ISNUMBER(K740),ISNUMBER(L740)),IF(OR(F740="GOC",F740="OWC",F740="GWC",F740="OWC_TRANSITION",F740="GOC_TRANSITION"),IF(L740&gt;=K740,"Supports","Conflicts"),"N/A"),"No Sw"))</f>
        <v/>
      </c>
      <c r="O740" s="20">
        <f>IF(G740="","",Settings!$B$6*IF(OR(F740="GOC",F740="OWC",F740="GWC"),1,0.7)+Settings!$B$7*IF(N740="Supports",1,IF(N740="Conflicts",0,0.5))+Settings!$B$8*IF(AND(Master_Data!R740&lt;&gt;"",Master_Data!S740&lt;&gt;"",Master_Data!R741&lt;&gt;"",Master_Data!S741&lt;&gt;""),1,0.5))</f>
        <v/>
      </c>
      <c r="P740" s="19">
        <f>IF(G740="","",IF(N740="Conflicts","SW_CONFLICT",IF(OR(F740="GOC",F740="OWC",F740="GWC"),"DIRECT_FLUID_TRANSITION","TRANSITION_INTERVAL")))</f>
        <v/>
      </c>
      <c r="Q740" s="19">
        <f>IF(G740="","",IF(N740="Conflicts","Investigate contact interpretation / saturation behaviour",IF(OR(F740="OWC",F740="GOC",F740="GWC"),"Candidate contact — validate with logs, pressure and dynamic evidence","Transition zone — do not force to a sharp contact")))</f>
        <v/>
      </c>
    </row>
    <row r="741">
      <c r="A741" s="19">
        <f>IF(AND(Master_Data!A741&lt;&gt;"",Master_Data!A741=Master_Data!A742),Master_Data!A741,"")</f>
        <v/>
      </c>
      <c r="B741" s="19">
        <f>IF($A741="","",Master_Data!B741)</f>
        <v/>
      </c>
      <c r="C741" s="19">
        <f>IF($A741="","",Master_Data!B742)</f>
        <v/>
      </c>
      <c r="D741" s="19">
        <f>IF($A741="","",Master_Data!Q741)</f>
        <v/>
      </c>
      <c r="E741" s="19">
        <f>IF($A741="","",Master_Data!Q742)</f>
        <v/>
      </c>
      <c r="F741" s="19">
        <f>IF($A741="","",IF(AND(D741="GAS",E741="OIL"),"GOC",IF(AND(D741="OIL",E741="WATER"),"OWC",IF(AND(D741="GAS",E741="WATER"),"GWC",IF(AND(D741="OIL",E741="OIL_WATER"),"OWC_TRANSITION",IF(AND(D741="OIL_WATER",E741="WATER"),"OWC_TRANSITION",IF(AND(D741="GAS",E741="GAS_WATER"),"GOC_TRANSITION",IF(AND(D741="GAS_WATER",E741="OIL"),"GOC_TRANSITION",IF(OR(D741="OIL_WATER",D741="GAS_WATER"),"TRANSITION_INTERVAL","")))))))))</f>
        <v/>
      </c>
      <c r="G741" s="20">
        <f>IF(OR(F741="",Master_Data!R741="",Master_Data!S741=""),"",IF(RIGHT(F741,10)="TRANSITION",AVERAGE(Master_Data!R741:Master_Data!S741),AVERAGE(Master_Data!S741,Master_Data!R742)))</f>
        <v/>
      </c>
      <c r="H741" s="20">
        <f>IF(G741="","",MAX(Settings!$B$4,Settings!$B$5*AVERAGE(IF(Master_Data!O741&lt;&gt;"",Master_Data!O741,Master_Data!H741),IF(Master_Data!O742&lt;&gt;"",Master_Data!O742,Master_Data!H742))))</f>
        <v/>
      </c>
      <c r="I741" s="20">
        <f>IF(G741="","",G741-H741)</f>
        <v/>
      </c>
      <c r="J741" s="20">
        <f>IF(G741="","",G741+H741)</f>
        <v/>
      </c>
      <c r="K741" s="20">
        <f>IF($A741="","",Master_Data!G741)</f>
        <v/>
      </c>
      <c r="L741" s="20">
        <f>IF($A741="","",Master_Data!G742)</f>
        <v/>
      </c>
      <c r="M741" s="20">
        <f>IF(AND(ISNUMBER(K741),ISNUMBER(L741)),L741-K741,"")</f>
        <v/>
      </c>
      <c r="N741" s="19">
        <f>IF(G741="","",IF(AND(ISNUMBER(K741),ISNUMBER(L741)),IF(OR(F741="GOC",F741="OWC",F741="GWC",F741="OWC_TRANSITION",F741="GOC_TRANSITION"),IF(L741&gt;=K741,"Supports","Conflicts"),"N/A"),"No Sw"))</f>
        <v/>
      </c>
      <c r="O741" s="20">
        <f>IF(G741="","",Settings!$B$6*IF(OR(F741="GOC",F741="OWC",F741="GWC"),1,0.7)+Settings!$B$7*IF(N741="Supports",1,IF(N741="Conflicts",0,0.5))+Settings!$B$8*IF(AND(Master_Data!R741&lt;&gt;"",Master_Data!S741&lt;&gt;"",Master_Data!R742&lt;&gt;"",Master_Data!S742&lt;&gt;""),1,0.5))</f>
        <v/>
      </c>
      <c r="P741" s="19">
        <f>IF(G741="","",IF(N741="Conflicts","SW_CONFLICT",IF(OR(F741="GOC",F741="OWC",F741="GWC"),"DIRECT_FLUID_TRANSITION","TRANSITION_INTERVAL")))</f>
        <v/>
      </c>
      <c r="Q741" s="19">
        <f>IF(G741="","",IF(N741="Conflicts","Investigate contact interpretation / saturation behaviour",IF(OR(F741="OWC",F741="GOC",F741="GWC"),"Candidate contact — validate with logs, pressure and dynamic evidence","Transition zone — do not force to a sharp contact")))</f>
        <v/>
      </c>
    </row>
    <row r="742">
      <c r="A742" s="19">
        <f>IF(AND(Master_Data!A742&lt;&gt;"",Master_Data!A742=Master_Data!A743),Master_Data!A742,"")</f>
        <v/>
      </c>
      <c r="B742" s="19">
        <f>IF($A742="","",Master_Data!B742)</f>
        <v/>
      </c>
      <c r="C742" s="19">
        <f>IF($A742="","",Master_Data!B743)</f>
        <v/>
      </c>
      <c r="D742" s="19">
        <f>IF($A742="","",Master_Data!Q742)</f>
        <v/>
      </c>
      <c r="E742" s="19">
        <f>IF($A742="","",Master_Data!Q743)</f>
        <v/>
      </c>
      <c r="F742" s="19">
        <f>IF($A742="","",IF(AND(D742="GAS",E742="OIL"),"GOC",IF(AND(D742="OIL",E742="WATER"),"OWC",IF(AND(D742="GAS",E742="WATER"),"GWC",IF(AND(D742="OIL",E742="OIL_WATER"),"OWC_TRANSITION",IF(AND(D742="OIL_WATER",E742="WATER"),"OWC_TRANSITION",IF(AND(D742="GAS",E742="GAS_WATER"),"GOC_TRANSITION",IF(AND(D742="GAS_WATER",E742="OIL"),"GOC_TRANSITION",IF(OR(D742="OIL_WATER",D742="GAS_WATER"),"TRANSITION_INTERVAL","")))))))))</f>
        <v/>
      </c>
      <c r="G742" s="20">
        <f>IF(OR(F742="",Master_Data!R742="",Master_Data!S742=""),"",IF(RIGHT(F742,10)="TRANSITION",AVERAGE(Master_Data!R742:Master_Data!S742),AVERAGE(Master_Data!S742,Master_Data!R743)))</f>
        <v/>
      </c>
      <c r="H742" s="20">
        <f>IF(G742="","",MAX(Settings!$B$4,Settings!$B$5*AVERAGE(IF(Master_Data!O742&lt;&gt;"",Master_Data!O742,Master_Data!H742),IF(Master_Data!O743&lt;&gt;"",Master_Data!O743,Master_Data!H743))))</f>
        <v/>
      </c>
      <c r="I742" s="20">
        <f>IF(G742="","",G742-H742)</f>
        <v/>
      </c>
      <c r="J742" s="20">
        <f>IF(G742="","",G742+H742)</f>
        <v/>
      </c>
      <c r="K742" s="20">
        <f>IF($A742="","",Master_Data!G742)</f>
        <v/>
      </c>
      <c r="L742" s="20">
        <f>IF($A742="","",Master_Data!G743)</f>
        <v/>
      </c>
      <c r="M742" s="20">
        <f>IF(AND(ISNUMBER(K742),ISNUMBER(L742)),L742-K742,"")</f>
        <v/>
      </c>
      <c r="N742" s="19">
        <f>IF(G742="","",IF(AND(ISNUMBER(K742),ISNUMBER(L742)),IF(OR(F742="GOC",F742="OWC",F742="GWC",F742="OWC_TRANSITION",F742="GOC_TRANSITION"),IF(L742&gt;=K742,"Supports","Conflicts"),"N/A"),"No Sw"))</f>
        <v/>
      </c>
      <c r="O742" s="20">
        <f>IF(G742="","",Settings!$B$6*IF(OR(F742="GOC",F742="OWC",F742="GWC"),1,0.7)+Settings!$B$7*IF(N742="Supports",1,IF(N742="Conflicts",0,0.5))+Settings!$B$8*IF(AND(Master_Data!R742&lt;&gt;"",Master_Data!S742&lt;&gt;"",Master_Data!R743&lt;&gt;"",Master_Data!S743&lt;&gt;""),1,0.5))</f>
        <v/>
      </c>
      <c r="P742" s="19">
        <f>IF(G742="","",IF(N742="Conflicts","SW_CONFLICT",IF(OR(F742="GOC",F742="OWC",F742="GWC"),"DIRECT_FLUID_TRANSITION","TRANSITION_INTERVAL")))</f>
        <v/>
      </c>
      <c r="Q742" s="19">
        <f>IF(G742="","",IF(N742="Conflicts","Investigate contact interpretation / saturation behaviour",IF(OR(F742="OWC",F742="GOC",F742="GWC"),"Candidate contact — validate with logs, pressure and dynamic evidence","Transition zone — do not force to a sharp contact")))</f>
        <v/>
      </c>
    </row>
    <row r="743">
      <c r="A743" s="19">
        <f>IF(AND(Master_Data!A743&lt;&gt;"",Master_Data!A743=Master_Data!A744),Master_Data!A743,"")</f>
        <v/>
      </c>
      <c r="B743" s="19">
        <f>IF($A743="","",Master_Data!B743)</f>
        <v/>
      </c>
      <c r="C743" s="19">
        <f>IF($A743="","",Master_Data!B744)</f>
        <v/>
      </c>
      <c r="D743" s="19">
        <f>IF($A743="","",Master_Data!Q743)</f>
        <v/>
      </c>
      <c r="E743" s="19">
        <f>IF($A743="","",Master_Data!Q744)</f>
        <v/>
      </c>
      <c r="F743" s="19">
        <f>IF($A743="","",IF(AND(D743="GAS",E743="OIL"),"GOC",IF(AND(D743="OIL",E743="WATER"),"OWC",IF(AND(D743="GAS",E743="WATER"),"GWC",IF(AND(D743="OIL",E743="OIL_WATER"),"OWC_TRANSITION",IF(AND(D743="OIL_WATER",E743="WATER"),"OWC_TRANSITION",IF(AND(D743="GAS",E743="GAS_WATER"),"GOC_TRANSITION",IF(AND(D743="GAS_WATER",E743="OIL"),"GOC_TRANSITION",IF(OR(D743="OIL_WATER",D743="GAS_WATER"),"TRANSITION_INTERVAL","")))))))))</f>
        <v/>
      </c>
      <c r="G743" s="20">
        <f>IF(OR(F743="",Master_Data!R743="",Master_Data!S743=""),"",IF(RIGHT(F743,10)="TRANSITION",AVERAGE(Master_Data!R743:Master_Data!S743),AVERAGE(Master_Data!S743,Master_Data!R744)))</f>
        <v/>
      </c>
      <c r="H743" s="20">
        <f>IF(G743="","",MAX(Settings!$B$4,Settings!$B$5*AVERAGE(IF(Master_Data!O743&lt;&gt;"",Master_Data!O743,Master_Data!H743),IF(Master_Data!O744&lt;&gt;"",Master_Data!O744,Master_Data!H744))))</f>
        <v/>
      </c>
      <c r="I743" s="20">
        <f>IF(G743="","",G743-H743)</f>
        <v/>
      </c>
      <c r="J743" s="20">
        <f>IF(G743="","",G743+H743)</f>
        <v/>
      </c>
      <c r="K743" s="20">
        <f>IF($A743="","",Master_Data!G743)</f>
        <v/>
      </c>
      <c r="L743" s="20">
        <f>IF($A743="","",Master_Data!G744)</f>
        <v/>
      </c>
      <c r="M743" s="20">
        <f>IF(AND(ISNUMBER(K743),ISNUMBER(L743)),L743-K743,"")</f>
        <v/>
      </c>
      <c r="N743" s="19">
        <f>IF(G743="","",IF(AND(ISNUMBER(K743),ISNUMBER(L743)),IF(OR(F743="GOC",F743="OWC",F743="GWC",F743="OWC_TRANSITION",F743="GOC_TRANSITION"),IF(L743&gt;=K743,"Supports","Conflicts"),"N/A"),"No Sw"))</f>
        <v/>
      </c>
      <c r="O743" s="20">
        <f>IF(G743="","",Settings!$B$6*IF(OR(F743="GOC",F743="OWC",F743="GWC"),1,0.7)+Settings!$B$7*IF(N743="Supports",1,IF(N743="Conflicts",0,0.5))+Settings!$B$8*IF(AND(Master_Data!R743&lt;&gt;"",Master_Data!S743&lt;&gt;"",Master_Data!R744&lt;&gt;"",Master_Data!S744&lt;&gt;""),1,0.5))</f>
        <v/>
      </c>
      <c r="P743" s="19">
        <f>IF(G743="","",IF(N743="Conflicts","SW_CONFLICT",IF(OR(F743="GOC",F743="OWC",F743="GWC"),"DIRECT_FLUID_TRANSITION","TRANSITION_INTERVAL")))</f>
        <v/>
      </c>
      <c r="Q743" s="19">
        <f>IF(G743="","",IF(N743="Conflicts","Investigate contact interpretation / saturation behaviour",IF(OR(F743="OWC",F743="GOC",F743="GWC"),"Candidate contact — validate with logs, pressure and dynamic evidence","Transition zone — do not force to a sharp contact")))</f>
        <v/>
      </c>
    </row>
    <row r="744">
      <c r="A744" s="19">
        <f>IF(AND(Master_Data!A744&lt;&gt;"",Master_Data!A744=Master_Data!A745),Master_Data!A744,"")</f>
        <v/>
      </c>
      <c r="B744" s="19">
        <f>IF($A744="","",Master_Data!B744)</f>
        <v/>
      </c>
      <c r="C744" s="19">
        <f>IF($A744="","",Master_Data!B745)</f>
        <v/>
      </c>
      <c r="D744" s="19">
        <f>IF($A744="","",Master_Data!Q744)</f>
        <v/>
      </c>
      <c r="E744" s="19">
        <f>IF($A744="","",Master_Data!Q745)</f>
        <v/>
      </c>
      <c r="F744" s="19">
        <f>IF($A744="","",IF(AND(D744="GAS",E744="OIL"),"GOC",IF(AND(D744="OIL",E744="WATER"),"OWC",IF(AND(D744="GAS",E744="WATER"),"GWC",IF(AND(D744="OIL",E744="OIL_WATER"),"OWC_TRANSITION",IF(AND(D744="OIL_WATER",E744="WATER"),"OWC_TRANSITION",IF(AND(D744="GAS",E744="GAS_WATER"),"GOC_TRANSITION",IF(AND(D744="GAS_WATER",E744="OIL"),"GOC_TRANSITION",IF(OR(D744="OIL_WATER",D744="GAS_WATER"),"TRANSITION_INTERVAL","")))))))))</f>
        <v/>
      </c>
      <c r="G744" s="20">
        <f>IF(OR(F744="",Master_Data!R744="",Master_Data!S744=""),"",IF(RIGHT(F744,10)="TRANSITION",AVERAGE(Master_Data!R744:Master_Data!S744),AVERAGE(Master_Data!S744,Master_Data!R745)))</f>
        <v/>
      </c>
      <c r="H744" s="20">
        <f>IF(G744="","",MAX(Settings!$B$4,Settings!$B$5*AVERAGE(IF(Master_Data!O744&lt;&gt;"",Master_Data!O744,Master_Data!H744),IF(Master_Data!O745&lt;&gt;"",Master_Data!O745,Master_Data!H745))))</f>
        <v/>
      </c>
      <c r="I744" s="20">
        <f>IF(G744="","",G744-H744)</f>
        <v/>
      </c>
      <c r="J744" s="20">
        <f>IF(G744="","",G744+H744)</f>
        <v/>
      </c>
      <c r="K744" s="20">
        <f>IF($A744="","",Master_Data!G744)</f>
        <v/>
      </c>
      <c r="L744" s="20">
        <f>IF($A744="","",Master_Data!G745)</f>
        <v/>
      </c>
      <c r="M744" s="20">
        <f>IF(AND(ISNUMBER(K744),ISNUMBER(L744)),L744-K744,"")</f>
        <v/>
      </c>
      <c r="N744" s="19">
        <f>IF(G744="","",IF(AND(ISNUMBER(K744),ISNUMBER(L744)),IF(OR(F744="GOC",F744="OWC",F744="GWC",F744="OWC_TRANSITION",F744="GOC_TRANSITION"),IF(L744&gt;=K744,"Supports","Conflicts"),"N/A"),"No Sw"))</f>
        <v/>
      </c>
      <c r="O744" s="20">
        <f>IF(G744="","",Settings!$B$6*IF(OR(F744="GOC",F744="OWC",F744="GWC"),1,0.7)+Settings!$B$7*IF(N744="Supports",1,IF(N744="Conflicts",0,0.5))+Settings!$B$8*IF(AND(Master_Data!R744&lt;&gt;"",Master_Data!S744&lt;&gt;"",Master_Data!R745&lt;&gt;"",Master_Data!S745&lt;&gt;""),1,0.5))</f>
        <v/>
      </c>
      <c r="P744" s="19">
        <f>IF(G744="","",IF(N744="Conflicts","SW_CONFLICT",IF(OR(F744="GOC",F744="OWC",F744="GWC"),"DIRECT_FLUID_TRANSITION","TRANSITION_INTERVAL")))</f>
        <v/>
      </c>
      <c r="Q744" s="19">
        <f>IF(G744="","",IF(N744="Conflicts","Investigate contact interpretation / saturation behaviour",IF(OR(F744="OWC",F744="GOC",F744="GWC"),"Candidate contact — validate with logs, pressure and dynamic evidence","Transition zone — do not force to a sharp contact")))</f>
        <v/>
      </c>
    </row>
    <row r="745">
      <c r="A745" s="19">
        <f>IF(AND(Master_Data!A745&lt;&gt;"",Master_Data!A745=Master_Data!A746),Master_Data!A745,"")</f>
        <v/>
      </c>
      <c r="B745" s="19">
        <f>IF($A745="","",Master_Data!B745)</f>
        <v/>
      </c>
      <c r="C745" s="19">
        <f>IF($A745="","",Master_Data!B746)</f>
        <v/>
      </c>
      <c r="D745" s="19">
        <f>IF($A745="","",Master_Data!Q745)</f>
        <v/>
      </c>
      <c r="E745" s="19">
        <f>IF($A745="","",Master_Data!Q746)</f>
        <v/>
      </c>
      <c r="F745" s="19">
        <f>IF($A745="","",IF(AND(D745="GAS",E745="OIL"),"GOC",IF(AND(D745="OIL",E745="WATER"),"OWC",IF(AND(D745="GAS",E745="WATER"),"GWC",IF(AND(D745="OIL",E745="OIL_WATER"),"OWC_TRANSITION",IF(AND(D745="OIL_WATER",E745="WATER"),"OWC_TRANSITION",IF(AND(D745="GAS",E745="GAS_WATER"),"GOC_TRANSITION",IF(AND(D745="GAS_WATER",E745="OIL"),"GOC_TRANSITION",IF(OR(D745="OIL_WATER",D745="GAS_WATER"),"TRANSITION_INTERVAL","")))))))))</f>
        <v/>
      </c>
      <c r="G745" s="20">
        <f>IF(OR(F745="",Master_Data!R745="",Master_Data!S745=""),"",IF(RIGHT(F745,10)="TRANSITION",AVERAGE(Master_Data!R745:Master_Data!S745),AVERAGE(Master_Data!S745,Master_Data!R746)))</f>
        <v/>
      </c>
      <c r="H745" s="20">
        <f>IF(G745="","",MAX(Settings!$B$4,Settings!$B$5*AVERAGE(IF(Master_Data!O745&lt;&gt;"",Master_Data!O745,Master_Data!H745),IF(Master_Data!O746&lt;&gt;"",Master_Data!O746,Master_Data!H746))))</f>
        <v/>
      </c>
      <c r="I745" s="20">
        <f>IF(G745="","",G745-H745)</f>
        <v/>
      </c>
      <c r="J745" s="20">
        <f>IF(G745="","",G745+H745)</f>
        <v/>
      </c>
      <c r="K745" s="20">
        <f>IF($A745="","",Master_Data!G745)</f>
        <v/>
      </c>
      <c r="L745" s="20">
        <f>IF($A745="","",Master_Data!G746)</f>
        <v/>
      </c>
      <c r="M745" s="20">
        <f>IF(AND(ISNUMBER(K745),ISNUMBER(L745)),L745-K745,"")</f>
        <v/>
      </c>
      <c r="N745" s="19">
        <f>IF(G745="","",IF(AND(ISNUMBER(K745),ISNUMBER(L745)),IF(OR(F745="GOC",F745="OWC",F745="GWC",F745="OWC_TRANSITION",F745="GOC_TRANSITION"),IF(L745&gt;=K745,"Supports","Conflicts"),"N/A"),"No Sw"))</f>
        <v/>
      </c>
      <c r="O745" s="20">
        <f>IF(G745="","",Settings!$B$6*IF(OR(F745="GOC",F745="OWC",F745="GWC"),1,0.7)+Settings!$B$7*IF(N745="Supports",1,IF(N745="Conflicts",0,0.5))+Settings!$B$8*IF(AND(Master_Data!R745&lt;&gt;"",Master_Data!S745&lt;&gt;"",Master_Data!R746&lt;&gt;"",Master_Data!S746&lt;&gt;""),1,0.5))</f>
        <v/>
      </c>
      <c r="P745" s="19">
        <f>IF(G745="","",IF(N745="Conflicts","SW_CONFLICT",IF(OR(F745="GOC",F745="OWC",F745="GWC"),"DIRECT_FLUID_TRANSITION","TRANSITION_INTERVAL")))</f>
        <v/>
      </c>
      <c r="Q745" s="19">
        <f>IF(G745="","",IF(N745="Conflicts","Investigate contact interpretation / saturation behaviour",IF(OR(F745="OWC",F745="GOC",F745="GWC"),"Candidate contact — validate with logs, pressure and dynamic evidence","Transition zone — do not force to a sharp contact")))</f>
        <v/>
      </c>
    </row>
    <row r="746">
      <c r="A746" s="19">
        <f>IF(AND(Master_Data!A746&lt;&gt;"",Master_Data!A746=Master_Data!A747),Master_Data!A746,"")</f>
        <v/>
      </c>
      <c r="B746" s="19">
        <f>IF($A746="","",Master_Data!B746)</f>
        <v/>
      </c>
      <c r="C746" s="19">
        <f>IF($A746="","",Master_Data!B747)</f>
        <v/>
      </c>
      <c r="D746" s="19">
        <f>IF($A746="","",Master_Data!Q746)</f>
        <v/>
      </c>
      <c r="E746" s="19">
        <f>IF($A746="","",Master_Data!Q747)</f>
        <v/>
      </c>
      <c r="F746" s="19">
        <f>IF($A746="","",IF(AND(D746="GAS",E746="OIL"),"GOC",IF(AND(D746="OIL",E746="WATER"),"OWC",IF(AND(D746="GAS",E746="WATER"),"GWC",IF(AND(D746="OIL",E746="OIL_WATER"),"OWC_TRANSITION",IF(AND(D746="OIL_WATER",E746="WATER"),"OWC_TRANSITION",IF(AND(D746="GAS",E746="GAS_WATER"),"GOC_TRANSITION",IF(AND(D746="GAS_WATER",E746="OIL"),"GOC_TRANSITION",IF(OR(D746="OIL_WATER",D746="GAS_WATER"),"TRANSITION_INTERVAL","")))))))))</f>
        <v/>
      </c>
      <c r="G746" s="20">
        <f>IF(OR(F746="",Master_Data!R746="",Master_Data!S746=""),"",IF(RIGHT(F746,10)="TRANSITION",AVERAGE(Master_Data!R746:Master_Data!S746),AVERAGE(Master_Data!S746,Master_Data!R747)))</f>
        <v/>
      </c>
      <c r="H746" s="20">
        <f>IF(G746="","",MAX(Settings!$B$4,Settings!$B$5*AVERAGE(IF(Master_Data!O746&lt;&gt;"",Master_Data!O746,Master_Data!H746),IF(Master_Data!O747&lt;&gt;"",Master_Data!O747,Master_Data!H747))))</f>
        <v/>
      </c>
      <c r="I746" s="20">
        <f>IF(G746="","",G746-H746)</f>
        <v/>
      </c>
      <c r="J746" s="20">
        <f>IF(G746="","",G746+H746)</f>
        <v/>
      </c>
      <c r="K746" s="20">
        <f>IF($A746="","",Master_Data!G746)</f>
        <v/>
      </c>
      <c r="L746" s="20">
        <f>IF($A746="","",Master_Data!G747)</f>
        <v/>
      </c>
      <c r="M746" s="20">
        <f>IF(AND(ISNUMBER(K746),ISNUMBER(L746)),L746-K746,"")</f>
        <v/>
      </c>
      <c r="N746" s="19">
        <f>IF(G746="","",IF(AND(ISNUMBER(K746),ISNUMBER(L746)),IF(OR(F746="GOC",F746="OWC",F746="GWC",F746="OWC_TRANSITION",F746="GOC_TRANSITION"),IF(L746&gt;=K746,"Supports","Conflicts"),"N/A"),"No Sw"))</f>
        <v/>
      </c>
      <c r="O746" s="20">
        <f>IF(G746="","",Settings!$B$6*IF(OR(F746="GOC",F746="OWC",F746="GWC"),1,0.7)+Settings!$B$7*IF(N746="Supports",1,IF(N746="Conflicts",0,0.5))+Settings!$B$8*IF(AND(Master_Data!R746&lt;&gt;"",Master_Data!S746&lt;&gt;"",Master_Data!R747&lt;&gt;"",Master_Data!S747&lt;&gt;""),1,0.5))</f>
        <v/>
      </c>
      <c r="P746" s="19">
        <f>IF(G746="","",IF(N746="Conflicts","SW_CONFLICT",IF(OR(F746="GOC",F746="OWC",F746="GWC"),"DIRECT_FLUID_TRANSITION","TRANSITION_INTERVAL")))</f>
        <v/>
      </c>
      <c r="Q746" s="19">
        <f>IF(G746="","",IF(N746="Conflicts","Investigate contact interpretation / saturation behaviour",IF(OR(F746="OWC",F746="GOC",F746="GWC"),"Candidate contact — validate with logs, pressure and dynamic evidence","Transition zone — do not force to a sharp contact")))</f>
        <v/>
      </c>
    </row>
    <row r="747">
      <c r="A747" s="19">
        <f>IF(AND(Master_Data!A747&lt;&gt;"",Master_Data!A747=Master_Data!A748),Master_Data!A747,"")</f>
        <v/>
      </c>
      <c r="B747" s="19">
        <f>IF($A747="","",Master_Data!B747)</f>
        <v/>
      </c>
      <c r="C747" s="19">
        <f>IF($A747="","",Master_Data!B748)</f>
        <v/>
      </c>
      <c r="D747" s="19">
        <f>IF($A747="","",Master_Data!Q747)</f>
        <v/>
      </c>
      <c r="E747" s="19">
        <f>IF($A747="","",Master_Data!Q748)</f>
        <v/>
      </c>
      <c r="F747" s="19">
        <f>IF($A747="","",IF(AND(D747="GAS",E747="OIL"),"GOC",IF(AND(D747="OIL",E747="WATER"),"OWC",IF(AND(D747="GAS",E747="WATER"),"GWC",IF(AND(D747="OIL",E747="OIL_WATER"),"OWC_TRANSITION",IF(AND(D747="OIL_WATER",E747="WATER"),"OWC_TRANSITION",IF(AND(D747="GAS",E747="GAS_WATER"),"GOC_TRANSITION",IF(AND(D747="GAS_WATER",E747="OIL"),"GOC_TRANSITION",IF(OR(D747="OIL_WATER",D747="GAS_WATER"),"TRANSITION_INTERVAL","")))))))))</f>
        <v/>
      </c>
      <c r="G747" s="20">
        <f>IF(OR(F747="",Master_Data!R747="",Master_Data!S747=""),"",IF(RIGHT(F747,10)="TRANSITION",AVERAGE(Master_Data!R747:Master_Data!S747),AVERAGE(Master_Data!S747,Master_Data!R748)))</f>
        <v/>
      </c>
      <c r="H747" s="20">
        <f>IF(G747="","",MAX(Settings!$B$4,Settings!$B$5*AVERAGE(IF(Master_Data!O747&lt;&gt;"",Master_Data!O747,Master_Data!H747),IF(Master_Data!O748&lt;&gt;"",Master_Data!O748,Master_Data!H748))))</f>
        <v/>
      </c>
      <c r="I747" s="20">
        <f>IF(G747="","",G747-H747)</f>
        <v/>
      </c>
      <c r="J747" s="20">
        <f>IF(G747="","",G747+H747)</f>
        <v/>
      </c>
      <c r="K747" s="20">
        <f>IF($A747="","",Master_Data!G747)</f>
        <v/>
      </c>
      <c r="L747" s="20">
        <f>IF($A747="","",Master_Data!G748)</f>
        <v/>
      </c>
      <c r="M747" s="20">
        <f>IF(AND(ISNUMBER(K747),ISNUMBER(L747)),L747-K747,"")</f>
        <v/>
      </c>
      <c r="N747" s="19">
        <f>IF(G747="","",IF(AND(ISNUMBER(K747),ISNUMBER(L747)),IF(OR(F747="GOC",F747="OWC",F747="GWC",F747="OWC_TRANSITION",F747="GOC_TRANSITION"),IF(L747&gt;=K747,"Supports","Conflicts"),"N/A"),"No Sw"))</f>
        <v/>
      </c>
      <c r="O747" s="20">
        <f>IF(G747="","",Settings!$B$6*IF(OR(F747="GOC",F747="OWC",F747="GWC"),1,0.7)+Settings!$B$7*IF(N747="Supports",1,IF(N747="Conflicts",0,0.5))+Settings!$B$8*IF(AND(Master_Data!R747&lt;&gt;"",Master_Data!S747&lt;&gt;"",Master_Data!R748&lt;&gt;"",Master_Data!S748&lt;&gt;""),1,0.5))</f>
        <v/>
      </c>
      <c r="P747" s="19">
        <f>IF(G747="","",IF(N747="Conflicts","SW_CONFLICT",IF(OR(F747="GOC",F747="OWC",F747="GWC"),"DIRECT_FLUID_TRANSITION","TRANSITION_INTERVAL")))</f>
        <v/>
      </c>
      <c r="Q747" s="19">
        <f>IF(G747="","",IF(N747="Conflicts","Investigate contact interpretation / saturation behaviour",IF(OR(F747="OWC",F747="GOC",F747="GWC"),"Candidate contact — validate with logs, pressure and dynamic evidence","Transition zone — do not force to a sharp contact")))</f>
        <v/>
      </c>
    </row>
    <row r="748">
      <c r="A748" s="19">
        <f>IF(AND(Master_Data!A748&lt;&gt;"",Master_Data!A748=Master_Data!A749),Master_Data!A748,"")</f>
        <v/>
      </c>
      <c r="B748" s="19">
        <f>IF($A748="","",Master_Data!B748)</f>
        <v/>
      </c>
      <c r="C748" s="19">
        <f>IF($A748="","",Master_Data!B749)</f>
        <v/>
      </c>
      <c r="D748" s="19">
        <f>IF($A748="","",Master_Data!Q748)</f>
        <v/>
      </c>
      <c r="E748" s="19">
        <f>IF($A748="","",Master_Data!Q749)</f>
        <v/>
      </c>
      <c r="F748" s="19">
        <f>IF($A748="","",IF(AND(D748="GAS",E748="OIL"),"GOC",IF(AND(D748="OIL",E748="WATER"),"OWC",IF(AND(D748="GAS",E748="WATER"),"GWC",IF(AND(D748="OIL",E748="OIL_WATER"),"OWC_TRANSITION",IF(AND(D748="OIL_WATER",E748="WATER"),"OWC_TRANSITION",IF(AND(D748="GAS",E748="GAS_WATER"),"GOC_TRANSITION",IF(AND(D748="GAS_WATER",E748="OIL"),"GOC_TRANSITION",IF(OR(D748="OIL_WATER",D748="GAS_WATER"),"TRANSITION_INTERVAL","")))))))))</f>
        <v/>
      </c>
      <c r="G748" s="20">
        <f>IF(OR(F748="",Master_Data!R748="",Master_Data!S748=""),"",IF(RIGHT(F748,10)="TRANSITION",AVERAGE(Master_Data!R748:Master_Data!S748),AVERAGE(Master_Data!S748,Master_Data!R749)))</f>
        <v/>
      </c>
      <c r="H748" s="20">
        <f>IF(G748="","",MAX(Settings!$B$4,Settings!$B$5*AVERAGE(IF(Master_Data!O748&lt;&gt;"",Master_Data!O748,Master_Data!H748),IF(Master_Data!O749&lt;&gt;"",Master_Data!O749,Master_Data!H749))))</f>
        <v/>
      </c>
      <c r="I748" s="20">
        <f>IF(G748="","",G748-H748)</f>
        <v/>
      </c>
      <c r="J748" s="20">
        <f>IF(G748="","",G748+H748)</f>
        <v/>
      </c>
      <c r="K748" s="20">
        <f>IF($A748="","",Master_Data!G748)</f>
        <v/>
      </c>
      <c r="L748" s="20">
        <f>IF($A748="","",Master_Data!G749)</f>
        <v/>
      </c>
      <c r="M748" s="20">
        <f>IF(AND(ISNUMBER(K748),ISNUMBER(L748)),L748-K748,"")</f>
        <v/>
      </c>
      <c r="N748" s="19">
        <f>IF(G748="","",IF(AND(ISNUMBER(K748),ISNUMBER(L748)),IF(OR(F748="GOC",F748="OWC",F748="GWC",F748="OWC_TRANSITION",F748="GOC_TRANSITION"),IF(L748&gt;=K748,"Supports","Conflicts"),"N/A"),"No Sw"))</f>
        <v/>
      </c>
      <c r="O748" s="20">
        <f>IF(G748="","",Settings!$B$6*IF(OR(F748="GOC",F748="OWC",F748="GWC"),1,0.7)+Settings!$B$7*IF(N748="Supports",1,IF(N748="Conflicts",0,0.5))+Settings!$B$8*IF(AND(Master_Data!R748&lt;&gt;"",Master_Data!S748&lt;&gt;"",Master_Data!R749&lt;&gt;"",Master_Data!S749&lt;&gt;""),1,0.5))</f>
        <v/>
      </c>
      <c r="P748" s="19">
        <f>IF(G748="","",IF(N748="Conflicts","SW_CONFLICT",IF(OR(F748="GOC",F748="OWC",F748="GWC"),"DIRECT_FLUID_TRANSITION","TRANSITION_INTERVAL")))</f>
        <v/>
      </c>
      <c r="Q748" s="19">
        <f>IF(G748="","",IF(N748="Conflicts","Investigate contact interpretation / saturation behaviour",IF(OR(F748="OWC",F748="GOC",F748="GWC"),"Candidate contact — validate with logs, pressure and dynamic evidence","Transition zone — do not force to a sharp contact")))</f>
        <v/>
      </c>
    </row>
    <row r="749">
      <c r="A749" s="19">
        <f>IF(AND(Master_Data!A749&lt;&gt;"",Master_Data!A749=Master_Data!A750),Master_Data!A749,"")</f>
        <v/>
      </c>
      <c r="B749" s="19">
        <f>IF($A749="","",Master_Data!B749)</f>
        <v/>
      </c>
      <c r="C749" s="19">
        <f>IF($A749="","",Master_Data!B750)</f>
        <v/>
      </c>
      <c r="D749" s="19">
        <f>IF($A749="","",Master_Data!Q749)</f>
        <v/>
      </c>
      <c r="E749" s="19">
        <f>IF($A749="","",Master_Data!Q750)</f>
        <v/>
      </c>
      <c r="F749" s="19">
        <f>IF($A749="","",IF(AND(D749="GAS",E749="OIL"),"GOC",IF(AND(D749="OIL",E749="WATER"),"OWC",IF(AND(D749="GAS",E749="WATER"),"GWC",IF(AND(D749="OIL",E749="OIL_WATER"),"OWC_TRANSITION",IF(AND(D749="OIL_WATER",E749="WATER"),"OWC_TRANSITION",IF(AND(D749="GAS",E749="GAS_WATER"),"GOC_TRANSITION",IF(AND(D749="GAS_WATER",E749="OIL"),"GOC_TRANSITION",IF(OR(D749="OIL_WATER",D749="GAS_WATER"),"TRANSITION_INTERVAL","")))))))))</f>
        <v/>
      </c>
      <c r="G749" s="20">
        <f>IF(OR(F749="",Master_Data!R749="",Master_Data!S749=""),"",IF(RIGHT(F749,10)="TRANSITION",AVERAGE(Master_Data!R749:Master_Data!S749),AVERAGE(Master_Data!S749,Master_Data!R750)))</f>
        <v/>
      </c>
      <c r="H749" s="20">
        <f>IF(G749="","",MAX(Settings!$B$4,Settings!$B$5*AVERAGE(IF(Master_Data!O749&lt;&gt;"",Master_Data!O749,Master_Data!H749),IF(Master_Data!O750&lt;&gt;"",Master_Data!O750,Master_Data!H750))))</f>
        <v/>
      </c>
      <c r="I749" s="20">
        <f>IF(G749="","",G749-H749)</f>
        <v/>
      </c>
      <c r="J749" s="20">
        <f>IF(G749="","",G749+H749)</f>
        <v/>
      </c>
      <c r="K749" s="20">
        <f>IF($A749="","",Master_Data!G749)</f>
        <v/>
      </c>
      <c r="L749" s="20">
        <f>IF($A749="","",Master_Data!G750)</f>
        <v/>
      </c>
      <c r="M749" s="20">
        <f>IF(AND(ISNUMBER(K749),ISNUMBER(L749)),L749-K749,"")</f>
        <v/>
      </c>
      <c r="N749" s="19">
        <f>IF(G749="","",IF(AND(ISNUMBER(K749),ISNUMBER(L749)),IF(OR(F749="GOC",F749="OWC",F749="GWC",F749="OWC_TRANSITION",F749="GOC_TRANSITION"),IF(L749&gt;=K749,"Supports","Conflicts"),"N/A"),"No Sw"))</f>
        <v/>
      </c>
      <c r="O749" s="20">
        <f>IF(G749="","",Settings!$B$6*IF(OR(F749="GOC",F749="OWC",F749="GWC"),1,0.7)+Settings!$B$7*IF(N749="Supports",1,IF(N749="Conflicts",0,0.5))+Settings!$B$8*IF(AND(Master_Data!R749&lt;&gt;"",Master_Data!S749&lt;&gt;"",Master_Data!R750&lt;&gt;"",Master_Data!S750&lt;&gt;""),1,0.5))</f>
        <v/>
      </c>
      <c r="P749" s="19">
        <f>IF(G749="","",IF(N749="Conflicts","SW_CONFLICT",IF(OR(F749="GOC",F749="OWC",F749="GWC"),"DIRECT_FLUID_TRANSITION","TRANSITION_INTERVAL")))</f>
        <v/>
      </c>
      <c r="Q749" s="19">
        <f>IF(G749="","",IF(N749="Conflicts","Investigate contact interpretation / saturation behaviour",IF(OR(F749="OWC",F749="GOC",F749="GWC"),"Candidate contact — validate with logs, pressure and dynamic evidence","Transition zone — do not force to a sharp contact")))</f>
        <v/>
      </c>
    </row>
    <row r="750">
      <c r="A750" s="19">
        <f>IF(AND(Master_Data!A750&lt;&gt;"",Master_Data!A750=Master_Data!A751),Master_Data!A750,"")</f>
        <v/>
      </c>
      <c r="B750" s="19">
        <f>IF($A750="","",Master_Data!B750)</f>
        <v/>
      </c>
      <c r="C750" s="19">
        <f>IF($A750="","",Master_Data!B751)</f>
        <v/>
      </c>
      <c r="D750" s="19">
        <f>IF($A750="","",Master_Data!Q750)</f>
        <v/>
      </c>
      <c r="E750" s="19">
        <f>IF($A750="","",Master_Data!Q751)</f>
        <v/>
      </c>
      <c r="F750" s="19">
        <f>IF($A750="","",IF(AND(D750="GAS",E750="OIL"),"GOC",IF(AND(D750="OIL",E750="WATER"),"OWC",IF(AND(D750="GAS",E750="WATER"),"GWC",IF(AND(D750="OIL",E750="OIL_WATER"),"OWC_TRANSITION",IF(AND(D750="OIL_WATER",E750="WATER"),"OWC_TRANSITION",IF(AND(D750="GAS",E750="GAS_WATER"),"GOC_TRANSITION",IF(AND(D750="GAS_WATER",E750="OIL"),"GOC_TRANSITION",IF(OR(D750="OIL_WATER",D750="GAS_WATER"),"TRANSITION_INTERVAL","")))))))))</f>
        <v/>
      </c>
      <c r="G750" s="20">
        <f>IF(OR(F750="",Master_Data!R750="",Master_Data!S750=""),"",IF(RIGHT(F750,10)="TRANSITION",AVERAGE(Master_Data!R750:Master_Data!S750),AVERAGE(Master_Data!S750,Master_Data!R751)))</f>
        <v/>
      </c>
      <c r="H750" s="20">
        <f>IF(G750="","",MAX(Settings!$B$4,Settings!$B$5*AVERAGE(IF(Master_Data!O750&lt;&gt;"",Master_Data!O750,Master_Data!H750),IF(Master_Data!O751&lt;&gt;"",Master_Data!O751,Master_Data!H751))))</f>
        <v/>
      </c>
      <c r="I750" s="20">
        <f>IF(G750="","",G750-H750)</f>
        <v/>
      </c>
      <c r="J750" s="20">
        <f>IF(G750="","",G750+H750)</f>
        <v/>
      </c>
      <c r="K750" s="20">
        <f>IF($A750="","",Master_Data!G750)</f>
        <v/>
      </c>
      <c r="L750" s="20">
        <f>IF($A750="","",Master_Data!G751)</f>
        <v/>
      </c>
      <c r="M750" s="20">
        <f>IF(AND(ISNUMBER(K750),ISNUMBER(L750)),L750-K750,"")</f>
        <v/>
      </c>
      <c r="N750" s="19">
        <f>IF(G750="","",IF(AND(ISNUMBER(K750),ISNUMBER(L750)),IF(OR(F750="GOC",F750="OWC",F750="GWC",F750="OWC_TRANSITION",F750="GOC_TRANSITION"),IF(L750&gt;=K750,"Supports","Conflicts"),"N/A"),"No Sw"))</f>
        <v/>
      </c>
      <c r="O750" s="20">
        <f>IF(G750="","",Settings!$B$6*IF(OR(F750="GOC",F750="OWC",F750="GWC"),1,0.7)+Settings!$B$7*IF(N750="Supports",1,IF(N750="Conflicts",0,0.5))+Settings!$B$8*IF(AND(Master_Data!R750&lt;&gt;"",Master_Data!S750&lt;&gt;"",Master_Data!R751&lt;&gt;"",Master_Data!S751&lt;&gt;""),1,0.5))</f>
        <v/>
      </c>
      <c r="P750" s="19">
        <f>IF(G750="","",IF(N750="Conflicts","SW_CONFLICT",IF(OR(F750="GOC",F750="OWC",F750="GWC"),"DIRECT_FLUID_TRANSITION","TRANSITION_INTERVAL")))</f>
        <v/>
      </c>
      <c r="Q750" s="19">
        <f>IF(G750="","",IF(N750="Conflicts","Investigate contact interpretation / saturation behaviour",IF(OR(F750="OWC",F750="GOC",F750="GWC"),"Candidate contact — validate with logs, pressure and dynamic evidence","Transition zone — do not force to a sharp contact")))</f>
        <v/>
      </c>
    </row>
    <row r="751">
      <c r="A751" s="19">
        <f>IF(AND(Master_Data!A751&lt;&gt;"",Master_Data!A751=Master_Data!A752),Master_Data!A751,"")</f>
        <v/>
      </c>
      <c r="B751" s="19">
        <f>IF($A751="","",Master_Data!B751)</f>
        <v/>
      </c>
      <c r="C751" s="19">
        <f>IF($A751="","",Master_Data!B752)</f>
        <v/>
      </c>
      <c r="D751" s="19">
        <f>IF($A751="","",Master_Data!Q751)</f>
        <v/>
      </c>
      <c r="E751" s="19">
        <f>IF($A751="","",Master_Data!Q752)</f>
        <v/>
      </c>
      <c r="F751" s="19">
        <f>IF($A751="","",IF(AND(D751="GAS",E751="OIL"),"GOC",IF(AND(D751="OIL",E751="WATER"),"OWC",IF(AND(D751="GAS",E751="WATER"),"GWC",IF(AND(D751="OIL",E751="OIL_WATER"),"OWC_TRANSITION",IF(AND(D751="OIL_WATER",E751="WATER"),"OWC_TRANSITION",IF(AND(D751="GAS",E751="GAS_WATER"),"GOC_TRANSITION",IF(AND(D751="GAS_WATER",E751="OIL"),"GOC_TRANSITION",IF(OR(D751="OIL_WATER",D751="GAS_WATER"),"TRANSITION_INTERVAL","")))))))))</f>
        <v/>
      </c>
      <c r="G751" s="20">
        <f>IF(OR(F751="",Master_Data!R751="",Master_Data!S751=""),"",IF(RIGHT(F751,10)="TRANSITION",AVERAGE(Master_Data!R751:Master_Data!S751),AVERAGE(Master_Data!S751,Master_Data!R752)))</f>
        <v/>
      </c>
      <c r="H751" s="20">
        <f>IF(G751="","",MAX(Settings!$B$4,Settings!$B$5*AVERAGE(IF(Master_Data!O751&lt;&gt;"",Master_Data!O751,Master_Data!H751),IF(Master_Data!O752&lt;&gt;"",Master_Data!O752,Master_Data!H752))))</f>
        <v/>
      </c>
      <c r="I751" s="20">
        <f>IF(G751="","",G751-H751)</f>
        <v/>
      </c>
      <c r="J751" s="20">
        <f>IF(G751="","",G751+H751)</f>
        <v/>
      </c>
      <c r="K751" s="20">
        <f>IF($A751="","",Master_Data!G751)</f>
        <v/>
      </c>
      <c r="L751" s="20">
        <f>IF($A751="","",Master_Data!G752)</f>
        <v/>
      </c>
      <c r="M751" s="20">
        <f>IF(AND(ISNUMBER(K751),ISNUMBER(L751)),L751-K751,"")</f>
        <v/>
      </c>
      <c r="N751" s="19">
        <f>IF(G751="","",IF(AND(ISNUMBER(K751),ISNUMBER(L751)),IF(OR(F751="GOC",F751="OWC",F751="GWC",F751="OWC_TRANSITION",F751="GOC_TRANSITION"),IF(L751&gt;=K751,"Supports","Conflicts"),"N/A"),"No Sw"))</f>
        <v/>
      </c>
      <c r="O751" s="20">
        <f>IF(G751="","",Settings!$B$6*IF(OR(F751="GOC",F751="OWC",F751="GWC"),1,0.7)+Settings!$B$7*IF(N751="Supports",1,IF(N751="Conflicts",0,0.5))+Settings!$B$8*IF(AND(Master_Data!R751&lt;&gt;"",Master_Data!S751&lt;&gt;"",Master_Data!R752&lt;&gt;"",Master_Data!S752&lt;&gt;""),1,0.5))</f>
        <v/>
      </c>
      <c r="P751" s="19">
        <f>IF(G751="","",IF(N751="Conflicts","SW_CONFLICT",IF(OR(F751="GOC",F751="OWC",F751="GWC"),"DIRECT_FLUID_TRANSITION","TRANSITION_INTERVAL")))</f>
        <v/>
      </c>
      <c r="Q751" s="19">
        <f>IF(G751="","",IF(N751="Conflicts","Investigate contact interpretation / saturation behaviour",IF(OR(F751="OWC",F751="GOC",F751="GWC"),"Candidate contact — validate with logs, pressure and dynamic evidence","Transition zone — do not force to a sharp contact")))</f>
        <v/>
      </c>
    </row>
    <row r="752">
      <c r="A752" s="19">
        <f>IF(AND(Master_Data!A752&lt;&gt;"",Master_Data!A752=Master_Data!A753),Master_Data!A752,"")</f>
        <v/>
      </c>
      <c r="B752" s="19">
        <f>IF($A752="","",Master_Data!B752)</f>
        <v/>
      </c>
      <c r="C752" s="19">
        <f>IF($A752="","",Master_Data!B753)</f>
        <v/>
      </c>
      <c r="D752" s="19">
        <f>IF($A752="","",Master_Data!Q752)</f>
        <v/>
      </c>
      <c r="E752" s="19">
        <f>IF($A752="","",Master_Data!Q753)</f>
        <v/>
      </c>
      <c r="F752" s="19">
        <f>IF($A752="","",IF(AND(D752="GAS",E752="OIL"),"GOC",IF(AND(D752="OIL",E752="WATER"),"OWC",IF(AND(D752="GAS",E752="WATER"),"GWC",IF(AND(D752="OIL",E752="OIL_WATER"),"OWC_TRANSITION",IF(AND(D752="OIL_WATER",E752="WATER"),"OWC_TRANSITION",IF(AND(D752="GAS",E752="GAS_WATER"),"GOC_TRANSITION",IF(AND(D752="GAS_WATER",E752="OIL"),"GOC_TRANSITION",IF(OR(D752="OIL_WATER",D752="GAS_WATER"),"TRANSITION_INTERVAL","")))))))))</f>
        <v/>
      </c>
      <c r="G752" s="20">
        <f>IF(OR(F752="",Master_Data!R752="",Master_Data!S752=""),"",IF(RIGHT(F752,10)="TRANSITION",AVERAGE(Master_Data!R752:Master_Data!S752),AVERAGE(Master_Data!S752,Master_Data!R753)))</f>
        <v/>
      </c>
      <c r="H752" s="20">
        <f>IF(G752="","",MAX(Settings!$B$4,Settings!$B$5*AVERAGE(IF(Master_Data!O752&lt;&gt;"",Master_Data!O752,Master_Data!H752),IF(Master_Data!O753&lt;&gt;"",Master_Data!O753,Master_Data!H753))))</f>
        <v/>
      </c>
      <c r="I752" s="20">
        <f>IF(G752="","",G752-H752)</f>
        <v/>
      </c>
      <c r="J752" s="20">
        <f>IF(G752="","",G752+H752)</f>
        <v/>
      </c>
      <c r="K752" s="20">
        <f>IF($A752="","",Master_Data!G752)</f>
        <v/>
      </c>
      <c r="L752" s="20">
        <f>IF($A752="","",Master_Data!G753)</f>
        <v/>
      </c>
      <c r="M752" s="20">
        <f>IF(AND(ISNUMBER(K752),ISNUMBER(L752)),L752-K752,"")</f>
        <v/>
      </c>
      <c r="N752" s="19">
        <f>IF(G752="","",IF(AND(ISNUMBER(K752),ISNUMBER(L752)),IF(OR(F752="GOC",F752="OWC",F752="GWC",F752="OWC_TRANSITION",F752="GOC_TRANSITION"),IF(L752&gt;=K752,"Supports","Conflicts"),"N/A"),"No Sw"))</f>
        <v/>
      </c>
      <c r="O752" s="20">
        <f>IF(G752="","",Settings!$B$6*IF(OR(F752="GOC",F752="OWC",F752="GWC"),1,0.7)+Settings!$B$7*IF(N752="Supports",1,IF(N752="Conflicts",0,0.5))+Settings!$B$8*IF(AND(Master_Data!R752&lt;&gt;"",Master_Data!S752&lt;&gt;"",Master_Data!R753&lt;&gt;"",Master_Data!S753&lt;&gt;""),1,0.5))</f>
        <v/>
      </c>
      <c r="P752" s="19">
        <f>IF(G752="","",IF(N752="Conflicts","SW_CONFLICT",IF(OR(F752="GOC",F752="OWC",F752="GWC"),"DIRECT_FLUID_TRANSITION","TRANSITION_INTERVAL")))</f>
        <v/>
      </c>
      <c r="Q752" s="19">
        <f>IF(G752="","",IF(N752="Conflicts","Investigate contact interpretation / saturation behaviour",IF(OR(F752="OWC",F752="GOC",F752="GWC"),"Candidate contact — validate with logs, pressure and dynamic evidence","Transition zone — do not force to a sharp contact")))</f>
        <v/>
      </c>
    </row>
    <row r="753">
      <c r="A753" s="19">
        <f>IF(AND(Master_Data!A753&lt;&gt;"",Master_Data!A753=Master_Data!A754),Master_Data!A753,"")</f>
        <v/>
      </c>
      <c r="B753" s="19">
        <f>IF($A753="","",Master_Data!B753)</f>
        <v/>
      </c>
      <c r="C753" s="19">
        <f>IF($A753="","",Master_Data!B754)</f>
        <v/>
      </c>
      <c r="D753" s="19">
        <f>IF($A753="","",Master_Data!Q753)</f>
        <v/>
      </c>
      <c r="E753" s="19">
        <f>IF($A753="","",Master_Data!Q754)</f>
        <v/>
      </c>
      <c r="F753" s="19">
        <f>IF($A753="","",IF(AND(D753="GAS",E753="OIL"),"GOC",IF(AND(D753="OIL",E753="WATER"),"OWC",IF(AND(D753="GAS",E753="WATER"),"GWC",IF(AND(D753="OIL",E753="OIL_WATER"),"OWC_TRANSITION",IF(AND(D753="OIL_WATER",E753="WATER"),"OWC_TRANSITION",IF(AND(D753="GAS",E753="GAS_WATER"),"GOC_TRANSITION",IF(AND(D753="GAS_WATER",E753="OIL"),"GOC_TRANSITION",IF(OR(D753="OIL_WATER",D753="GAS_WATER"),"TRANSITION_INTERVAL","")))))))))</f>
        <v/>
      </c>
      <c r="G753" s="20">
        <f>IF(OR(F753="",Master_Data!R753="",Master_Data!S753=""),"",IF(RIGHT(F753,10)="TRANSITION",AVERAGE(Master_Data!R753:Master_Data!S753),AVERAGE(Master_Data!S753,Master_Data!R754)))</f>
        <v/>
      </c>
      <c r="H753" s="20">
        <f>IF(G753="","",MAX(Settings!$B$4,Settings!$B$5*AVERAGE(IF(Master_Data!O753&lt;&gt;"",Master_Data!O753,Master_Data!H753),IF(Master_Data!O754&lt;&gt;"",Master_Data!O754,Master_Data!H754))))</f>
        <v/>
      </c>
      <c r="I753" s="20">
        <f>IF(G753="","",G753-H753)</f>
        <v/>
      </c>
      <c r="J753" s="20">
        <f>IF(G753="","",G753+H753)</f>
        <v/>
      </c>
      <c r="K753" s="20">
        <f>IF($A753="","",Master_Data!G753)</f>
        <v/>
      </c>
      <c r="L753" s="20">
        <f>IF($A753="","",Master_Data!G754)</f>
        <v/>
      </c>
      <c r="M753" s="20">
        <f>IF(AND(ISNUMBER(K753),ISNUMBER(L753)),L753-K753,"")</f>
        <v/>
      </c>
      <c r="N753" s="19">
        <f>IF(G753="","",IF(AND(ISNUMBER(K753),ISNUMBER(L753)),IF(OR(F753="GOC",F753="OWC",F753="GWC",F753="OWC_TRANSITION",F753="GOC_TRANSITION"),IF(L753&gt;=K753,"Supports","Conflicts"),"N/A"),"No Sw"))</f>
        <v/>
      </c>
      <c r="O753" s="20">
        <f>IF(G753="","",Settings!$B$6*IF(OR(F753="GOC",F753="OWC",F753="GWC"),1,0.7)+Settings!$B$7*IF(N753="Supports",1,IF(N753="Conflicts",0,0.5))+Settings!$B$8*IF(AND(Master_Data!R753&lt;&gt;"",Master_Data!S753&lt;&gt;"",Master_Data!R754&lt;&gt;"",Master_Data!S754&lt;&gt;""),1,0.5))</f>
        <v/>
      </c>
      <c r="P753" s="19">
        <f>IF(G753="","",IF(N753="Conflicts","SW_CONFLICT",IF(OR(F753="GOC",F753="OWC",F753="GWC"),"DIRECT_FLUID_TRANSITION","TRANSITION_INTERVAL")))</f>
        <v/>
      </c>
      <c r="Q753" s="19">
        <f>IF(G753="","",IF(N753="Conflicts","Investigate contact interpretation / saturation behaviour",IF(OR(F753="OWC",F753="GOC",F753="GWC"),"Candidate contact — validate with logs, pressure and dynamic evidence","Transition zone — do not force to a sharp contact")))</f>
        <v/>
      </c>
    </row>
    <row r="754">
      <c r="A754" s="19">
        <f>IF(AND(Master_Data!A754&lt;&gt;"",Master_Data!A754=Master_Data!A755),Master_Data!A754,"")</f>
        <v/>
      </c>
      <c r="B754" s="19">
        <f>IF($A754="","",Master_Data!B754)</f>
        <v/>
      </c>
      <c r="C754" s="19">
        <f>IF($A754="","",Master_Data!B755)</f>
        <v/>
      </c>
      <c r="D754" s="19">
        <f>IF($A754="","",Master_Data!Q754)</f>
        <v/>
      </c>
      <c r="E754" s="19">
        <f>IF($A754="","",Master_Data!Q755)</f>
        <v/>
      </c>
      <c r="F754" s="19">
        <f>IF($A754="","",IF(AND(D754="GAS",E754="OIL"),"GOC",IF(AND(D754="OIL",E754="WATER"),"OWC",IF(AND(D754="GAS",E754="WATER"),"GWC",IF(AND(D754="OIL",E754="OIL_WATER"),"OWC_TRANSITION",IF(AND(D754="OIL_WATER",E754="WATER"),"OWC_TRANSITION",IF(AND(D754="GAS",E754="GAS_WATER"),"GOC_TRANSITION",IF(AND(D754="GAS_WATER",E754="OIL"),"GOC_TRANSITION",IF(OR(D754="OIL_WATER",D754="GAS_WATER"),"TRANSITION_INTERVAL","")))))))))</f>
        <v/>
      </c>
      <c r="G754" s="20">
        <f>IF(OR(F754="",Master_Data!R754="",Master_Data!S754=""),"",IF(RIGHT(F754,10)="TRANSITION",AVERAGE(Master_Data!R754:Master_Data!S754),AVERAGE(Master_Data!S754,Master_Data!R755)))</f>
        <v/>
      </c>
      <c r="H754" s="20">
        <f>IF(G754="","",MAX(Settings!$B$4,Settings!$B$5*AVERAGE(IF(Master_Data!O754&lt;&gt;"",Master_Data!O754,Master_Data!H754),IF(Master_Data!O755&lt;&gt;"",Master_Data!O755,Master_Data!H755))))</f>
        <v/>
      </c>
      <c r="I754" s="20">
        <f>IF(G754="","",G754-H754)</f>
        <v/>
      </c>
      <c r="J754" s="20">
        <f>IF(G754="","",G754+H754)</f>
        <v/>
      </c>
      <c r="K754" s="20">
        <f>IF($A754="","",Master_Data!G754)</f>
        <v/>
      </c>
      <c r="L754" s="20">
        <f>IF($A754="","",Master_Data!G755)</f>
        <v/>
      </c>
      <c r="M754" s="20">
        <f>IF(AND(ISNUMBER(K754),ISNUMBER(L754)),L754-K754,"")</f>
        <v/>
      </c>
      <c r="N754" s="19">
        <f>IF(G754="","",IF(AND(ISNUMBER(K754),ISNUMBER(L754)),IF(OR(F754="GOC",F754="OWC",F754="GWC",F754="OWC_TRANSITION",F754="GOC_TRANSITION"),IF(L754&gt;=K754,"Supports","Conflicts"),"N/A"),"No Sw"))</f>
        <v/>
      </c>
      <c r="O754" s="20">
        <f>IF(G754="","",Settings!$B$6*IF(OR(F754="GOC",F754="OWC",F754="GWC"),1,0.7)+Settings!$B$7*IF(N754="Supports",1,IF(N754="Conflicts",0,0.5))+Settings!$B$8*IF(AND(Master_Data!R754&lt;&gt;"",Master_Data!S754&lt;&gt;"",Master_Data!R755&lt;&gt;"",Master_Data!S755&lt;&gt;""),1,0.5))</f>
        <v/>
      </c>
      <c r="P754" s="19">
        <f>IF(G754="","",IF(N754="Conflicts","SW_CONFLICT",IF(OR(F754="GOC",F754="OWC",F754="GWC"),"DIRECT_FLUID_TRANSITION","TRANSITION_INTERVAL")))</f>
        <v/>
      </c>
      <c r="Q754" s="19">
        <f>IF(G754="","",IF(N754="Conflicts","Investigate contact interpretation / saturation behaviour",IF(OR(F754="OWC",F754="GOC",F754="GWC"),"Candidate contact — validate with logs, pressure and dynamic evidence","Transition zone — do not force to a sharp contact")))</f>
        <v/>
      </c>
    </row>
    <row r="755">
      <c r="A755" s="19">
        <f>IF(AND(Master_Data!A755&lt;&gt;"",Master_Data!A755=Master_Data!A756),Master_Data!A755,"")</f>
        <v/>
      </c>
      <c r="B755" s="19">
        <f>IF($A755="","",Master_Data!B755)</f>
        <v/>
      </c>
      <c r="C755" s="19">
        <f>IF($A755="","",Master_Data!B756)</f>
        <v/>
      </c>
      <c r="D755" s="19">
        <f>IF($A755="","",Master_Data!Q755)</f>
        <v/>
      </c>
      <c r="E755" s="19">
        <f>IF($A755="","",Master_Data!Q756)</f>
        <v/>
      </c>
      <c r="F755" s="19">
        <f>IF($A755="","",IF(AND(D755="GAS",E755="OIL"),"GOC",IF(AND(D755="OIL",E755="WATER"),"OWC",IF(AND(D755="GAS",E755="WATER"),"GWC",IF(AND(D755="OIL",E755="OIL_WATER"),"OWC_TRANSITION",IF(AND(D755="OIL_WATER",E755="WATER"),"OWC_TRANSITION",IF(AND(D755="GAS",E755="GAS_WATER"),"GOC_TRANSITION",IF(AND(D755="GAS_WATER",E755="OIL"),"GOC_TRANSITION",IF(OR(D755="OIL_WATER",D755="GAS_WATER"),"TRANSITION_INTERVAL","")))))))))</f>
        <v/>
      </c>
      <c r="G755" s="20">
        <f>IF(OR(F755="",Master_Data!R755="",Master_Data!S755=""),"",IF(RIGHT(F755,10)="TRANSITION",AVERAGE(Master_Data!R755:Master_Data!S755),AVERAGE(Master_Data!S755,Master_Data!R756)))</f>
        <v/>
      </c>
      <c r="H755" s="20">
        <f>IF(G755="","",MAX(Settings!$B$4,Settings!$B$5*AVERAGE(IF(Master_Data!O755&lt;&gt;"",Master_Data!O755,Master_Data!H755),IF(Master_Data!O756&lt;&gt;"",Master_Data!O756,Master_Data!H756))))</f>
        <v/>
      </c>
      <c r="I755" s="20">
        <f>IF(G755="","",G755-H755)</f>
        <v/>
      </c>
      <c r="J755" s="20">
        <f>IF(G755="","",G755+H755)</f>
        <v/>
      </c>
      <c r="K755" s="20">
        <f>IF($A755="","",Master_Data!G755)</f>
        <v/>
      </c>
      <c r="L755" s="20">
        <f>IF($A755="","",Master_Data!G756)</f>
        <v/>
      </c>
      <c r="M755" s="20">
        <f>IF(AND(ISNUMBER(K755),ISNUMBER(L755)),L755-K755,"")</f>
        <v/>
      </c>
      <c r="N755" s="19">
        <f>IF(G755="","",IF(AND(ISNUMBER(K755),ISNUMBER(L755)),IF(OR(F755="GOC",F755="OWC",F755="GWC",F755="OWC_TRANSITION",F755="GOC_TRANSITION"),IF(L755&gt;=K755,"Supports","Conflicts"),"N/A"),"No Sw"))</f>
        <v/>
      </c>
      <c r="O755" s="20">
        <f>IF(G755="","",Settings!$B$6*IF(OR(F755="GOC",F755="OWC",F755="GWC"),1,0.7)+Settings!$B$7*IF(N755="Supports",1,IF(N755="Conflicts",0,0.5))+Settings!$B$8*IF(AND(Master_Data!R755&lt;&gt;"",Master_Data!S755&lt;&gt;"",Master_Data!R756&lt;&gt;"",Master_Data!S756&lt;&gt;""),1,0.5))</f>
        <v/>
      </c>
      <c r="P755" s="19">
        <f>IF(G755="","",IF(N755="Conflicts","SW_CONFLICT",IF(OR(F755="GOC",F755="OWC",F755="GWC"),"DIRECT_FLUID_TRANSITION","TRANSITION_INTERVAL")))</f>
        <v/>
      </c>
      <c r="Q755" s="19">
        <f>IF(G755="","",IF(N755="Conflicts","Investigate contact interpretation / saturation behaviour",IF(OR(F755="OWC",F755="GOC",F755="GWC"),"Candidate contact — validate with logs, pressure and dynamic evidence","Transition zone — do not force to a sharp contact")))</f>
        <v/>
      </c>
    </row>
    <row r="756">
      <c r="A756" s="19">
        <f>IF(AND(Master_Data!A756&lt;&gt;"",Master_Data!A756=Master_Data!A757),Master_Data!A756,"")</f>
        <v/>
      </c>
      <c r="B756" s="19">
        <f>IF($A756="","",Master_Data!B756)</f>
        <v/>
      </c>
      <c r="C756" s="19">
        <f>IF($A756="","",Master_Data!B757)</f>
        <v/>
      </c>
      <c r="D756" s="19">
        <f>IF($A756="","",Master_Data!Q756)</f>
        <v/>
      </c>
      <c r="E756" s="19">
        <f>IF($A756="","",Master_Data!Q757)</f>
        <v/>
      </c>
      <c r="F756" s="19">
        <f>IF($A756="","",IF(AND(D756="GAS",E756="OIL"),"GOC",IF(AND(D756="OIL",E756="WATER"),"OWC",IF(AND(D756="GAS",E756="WATER"),"GWC",IF(AND(D756="OIL",E756="OIL_WATER"),"OWC_TRANSITION",IF(AND(D756="OIL_WATER",E756="WATER"),"OWC_TRANSITION",IF(AND(D756="GAS",E756="GAS_WATER"),"GOC_TRANSITION",IF(AND(D756="GAS_WATER",E756="OIL"),"GOC_TRANSITION",IF(OR(D756="OIL_WATER",D756="GAS_WATER"),"TRANSITION_INTERVAL","")))))))))</f>
        <v/>
      </c>
      <c r="G756" s="20">
        <f>IF(OR(F756="",Master_Data!R756="",Master_Data!S756=""),"",IF(RIGHT(F756,10)="TRANSITION",AVERAGE(Master_Data!R756:Master_Data!S756),AVERAGE(Master_Data!S756,Master_Data!R757)))</f>
        <v/>
      </c>
      <c r="H756" s="20">
        <f>IF(G756="","",MAX(Settings!$B$4,Settings!$B$5*AVERAGE(IF(Master_Data!O756&lt;&gt;"",Master_Data!O756,Master_Data!H756),IF(Master_Data!O757&lt;&gt;"",Master_Data!O757,Master_Data!H757))))</f>
        <v/>
      </c>
      <c r="I756" s="20">
        <f>IF(G756="","",G756-H756)</f>
        <v/>
      </c>
      <c r="J756" s="20">
        <f>IF(G756="","",G756+H756)</f>
        <v/>
      </c>
      <c r="K756" s="20">
        <f>IF($A756="","",Master_Data!G756)</f>
        <v/>
      </c>
      <c r="L756" s="20">
        <f>IF($A756="","",Master_Data!G757)</f>
        <v/>
      </c>
      <c r="M756" s="20">
        <f>IF(AND(ISNUMBER(K756),ISNUMBER(L756)),L756-K756,"")</f>
        <v/>
      </c>
      <c r="N756" s="19">
        <f>IF(G756="","",IF(AND(ISNUMBER(K756),ISNUMBER(L756)),IF(OR(F756="GOC",F756="OWC",F756="GWC",F756="OWC_TRANSITION",F756="GOC_TRANSITION"),IF(L756&gt;=K756,"Supports","Conflicts"),"N/A"),"No Sw"))</f>
        <v/>
      </c>
      <c r="O756" s="20">
        <f>IF(G756="","",Settings!$B$6*IF(OR(F756="GOC",F756="OWC",F756="GWC"),1,0.7)+Settings!$B$7*IF(N756="Supports",1,IF(N756="Conflicts",0,0.5))+Settings!$B$8*IF(AND(Master_Data!R756&lt;&gt;"",Master_Data!S756&lt;&gt;"",Master_Data!R757&lt;&gt;"",Master_Data!S757&lt;&gt;""),1,0.5))</f>
        <v/>
      </c>
      <c r="P756" s="19">
        <f>IF(G756="","",IF(N756="Conflicts","SW_CONFLICT",IF(OR(F756="GOC",F756="OWC",F756="GWC"),"DIRECT_FLUID_TRANSITION","TRANSITION_INTERVAL")))</f>
        <v/>
      </c>
      <c r="Q756" s="19">
        <f>IF(G756="","",IF(N756="Conflicts","Investigate contact interpretation / saturation behaviour",IF(OR(F756="OWC",F756="GOC",F756="GWC"),"Candidate contact — validate with logs, pressure and dynamic evidence","Transition zone — do not force to a sharp contact")))</f>
        <v/>
      </c>
    </row>
    <row r="757">
      <c r="A757" s="19">
        <f>IF(AND(Master_Data!A757&lt;&gt;"",Master_Data!A757=Master_Data!A758),Master_Data!A757,"")</f>
        <v/>
      </c>
      <c r="B757" s="19">
        <f>IF($A757="","",Master_Data!B757)</f>
        <v/>
      </c>
      <c r="C757" s="19">
        <f>IF($A757="","",Master_Data!B758)</f>
        <v/>
      </c>
      <c r="D757" s="19">
        <f>IF($A757="","",Master_Data!Q757)</f>
        <v/>
      </c>
      <c r="E757" s="19">
        <f>IF($A757="","",Master_Data!Q758)</f>
        <v/>
      </c>
      <c r="F757" s="19">
        <f>IF($A757="","",IF(AND(D757="GAS",E757="OIL"),"GOC",IF(AND(D757="OIL",E757="WATER"),"OWC",IF(AND(D757="GAS",E757="WATER"),"GWC",IF(AND(D757="OIL",E757="OIL_WATER"),"OWC_TRANSITION",IF(AND(D757="OIL_WATER",E757="WATER"),"OWC_TRANSITION",IF(AND(D757="GAS",E757="GAS_WATER"),"GOC_TRANSITION",IF(AND(D757="GAS_WATER",E757="OIL"),"GOC_TRANSITION",IF(OR(D757="OIL_WATER",D757="GAS_WATER"),"TRANSITION_INTERVAL","")))))))))</f>
        <v/>
      </c>
      <c r="G757" s="20">
        <f>IF(OR(F757="",Master_Data!R757="",Master_Data!S757=""),"",IF(RIGHT(F757,10)="TRANSITION",AVERAGE(Master_Data!R757:Master_Data!S757),AVERAGE(Master_Data!S757,Master_Data!R758)))</f>
        <v/>
      </c>
      <c r="H757" s="20">
        <f>IF(G757="","",MAX(Settings!$B$4,Settings!$B$5*AVERAGE(IF(Master_Data!O757&lt;&gt;"",Master_Data!O757,Master_Data!H757),IF(Master_Data!O758&lt;&gt;"",Master_Data!O758,Master_Data!H758))))</f>
        <v/>
      </c>
      <c r="I757" s="20">
        <f>IF(G757="","",G757-H757)</f>
        <v/>
      </c>
      <c r="J757" s="20">
        <f>IF(G757="","",G757+H757)</f>
        <v/>
      </c>
      <c r="K757" s="20">
        <f>IF($A757="","",Master_Data!G757)</f>
        <v/>
      </c>
      <c r="L757" s="20">
        <f>IF($A757="","",Master_Data!G758)</f>
        <v/>
      </c>
      <c r="M757" s="20">
        <f>IF(AND(ISNUMBER(K757),ISNUMBER(L757)),L757-K757,"")</f>
        <v/>
      </c>
      <c r="N757" s="19">
        <f>IF(G757="","",IF(AND(ISNUMBER(K757),ISNUMBER(L757)),IF(OR(F757="GOC",F757="OWC",F757="GWC",F757="OWC_TRANSITION",F757="GOC_TRANSITION"),IF(L757&gt;=K757,"Supports","Conflicts"),"N/A"),"No Sw"))</f>
        <v/>
      </c>
      <c r="O757" s="20">
        <f>IF(G757="","",Settings!$B$6*IF(OR(F757="GOC",F757="OWC",F757="GWC"),1,0.7)+Settings!$B$7*IF(N757="Supports",1,IF(N757="Conflicts",0,0.5))+Settings!$B$8*IF(AND(Master_Data!R757&lt;&gt;"",Master_Data!S757&lt;&gt;"",Master_Data!R758&lt;&gt;"",Master_Data!S758&lt;&gt;""),1,0.5))</f>
        <v/>
      </c>
      <c r="P757" s="19">
        <f>IF(G757="","",IF(N757="Conflicts","SW_CONFLICT",IF(OR(F757="GOC",F757="OWC",F757="GWC"),"DIRECT_FLUID_TRANSITION","TRANSITION_INTERVAL")))</f>
        <v/>
      </c>
      <c r="Q757" s="19">
        <f>IF(G757="","",IF(N757="Conflicts","Investigate contact interpretation / saturation behaviour",IF(OR(F757="OWC",F757="GOC",F757="GWC"),"Candidate contact — validate with logs, pressure and dynamic evidence","Transition zone — do not force to a sharp contact")))</f>
        <v/>
      </c>
    </row>
    <row r="758">
      <c r="A758" s="19">
        <f>IF(AND(Master_Data!A758&lt;&gt;"",Master_Data!A758=Master_Data!A759),Master_Data!A758,"")</f>
        <v/>
      </c>
      <c r="B758" s="19">
        <f>IF($A758="","",Master_Data!B758)</f>
        <v/>
      </c>
      <c r="C758" s="19">
        <f>IF($A758="","",Master_Data!B759)</f>
        <v/>
      </c>
      <c r="D758" s="19">
        <f>IF($A758="","",Master_Data!Q758)</f>
        <v/>
      </c>
      <c r="E758" s="19">
        <f>IF($A758="","",Master_Data!Q759)</f>
        <v/>
      </c>
      <c r="F758" s="19">
        <f>IF($A758="","",IF(AND(D758="GAS",E758="OIL"),"GOC",IF(AND(D758="OIL",E758="WATER"),"OWC",IF(AND(D758="GAS",E758="WATER"),"GWC",IF(AND(D758="OIL",E758="OIL_WATER"),"OWC_TRANSITION",IF(AND(D758="OIL_WATER",E758="WATER"),"OWC_TRANSITION",IF(AND(D758="GAS",E758="GAS_WATER"),"GOC_TRANSITION",IF(AND(D758="GAS_WATER",E758="OIL"),"GOC_TRANSITION",IF(OR(D758="OIL_WATER",D758="GAS_WATER"),"TRANSITION_INTERVAL","")))))))))</f>
        <v/>
      </c>
      <c r="G758" s="20">
        <f>IF(OR(F758="",Master_Data!R758="",Master_Data!S758=""),"",IF(RIGHT(F758,10)="TRANSITION",AVERAGE(Master_Data!R758:Master_Data!S758),AVERAGE(Master_Data!S758,Master_Data!R759)))</f>
        <v/>
      </c>
      <c r="H758" s="20">
        <f>IF(G758="","",MAX(Settings!$B$4,Settings!$B$5*AVERAGE(IF(Master_Data!O758&lt;&gt;"",Master_Data!O758,Master_Data!H758),IF(Master_Data!O759&lt;&gt;"",Master_Data!O759,Master_Data!H759))))</f>
        <v/>
      </c>
      <c r="I758" s="20">
        <f>IF(G758="","",G758-H758)</f>
        <v/>
      </c>
      <c r="J758" s="20">
        <f>IF(G758="","",G758+H758)</f>
        <v/>
      </c>
      <c r="K758" s="20">
        <f>IF($A758="","",Master_Data!G758)</f>
        <v/>
      </c>
      <c r="L758" s="20">
        <f>IF($A758="","",Master_Data!G759)</f>
        <v/>
      </c>
      <c r="M758" s="20">
        <f>IF(AND(ISNUMBER(K758),ISNUMBER(L758)),L758-K758,"")</f>
        <v/>
      </c>
      <c r="N758" s="19">
        <f>IF(G758="","",IF(AND(ISNUMBER(K758),ISNUMBER(L758)),IF(OR(F758="GOC",F758="OWC",F758="GWC",F758="OWC_TRANSITION",F758="GOC_TRANSITION"),IF(L758&gt;=K758,"Supports","Conflicts"),"N/A"),"No Sw"))</f>
        <v/>
      </c>
      <c r="O758" s="20">
        <f>IF(G758="","",Settings!$B$6*IF(OR(F758="GOC",F758="OWC",F758="GWC"),1,0.7)+Settings!$B$7*IF(N758="Supports",1,IF(N758="Conflicts",0,0.5))+Settings!$B$8*IF(AND(Master_Data!R758&lt;&gt;"",Master_Data!S758&lt;&gt;"",Master_Data!R759&lt;&gt;"",Master_Data!S759&lt;&gt;""),1,0.5))</f>
        <v/>
      </c>
      <c r="P758" s="19">
        <f>IF(G758="","",IF(N758="Conflicts","SW_CONFLICT",IF(OR(F758="GOC",F758="OWC",F758="GWC"),"DIRECT_FLUID_TRANSITION","TRANSITION_INTERVAL")))</f>
        <v/>
      </c>
      <c r="Q758" s="19">
        <f>IF(G758="","",IF(N758="Conflicts","Investigate contact interpretation / saturation behaviour",IF(OR(F758="OWC",F758="GOC",F758="GWC"),"Candidate contact — validate with logs, pressure and dynamic evidence","Transition zone — do not force to a sharp contact")))</f>
        <v/>
      </c>
    </row>
    <row r="759">
      <c r="A759" s="19">
        <f>IF(AND(Master_Data!A759&lt;&gt;"",Master_Data!A759=Master_Data!A760),Master_Data!A759,"")</f>
        <v/>
      </c>
      <c r="B759" s="19">
        <f>IF($A759="","",Master_Data!B759)</f>
        <v/>
      </c>
      <c r="C759" s="19">
        <f>IF($A759="","",Master_Data!B760)</f>
        <v/>
      </c>
      <c r="D759" s="19">
        <f>IF($A759="","",Master_Data!Q759)</f>
        <v/>
      </c>
      <c r="E759" s="19">
        <f>IF($A759="","",Master_Data!Q760)</f>
        <v/>
      </c>
      <c r="F759" s="19">
        <f>IF($A759="","",IF(AND(D759="GAS",E759="OIL"),"GOC",IF(AND(D759="OIL",E759="WATER"),"OWC",IF(AND(D759="GAS",E759="WATER"),"GWC",IF(AND(D759="OIL",E759="OIL_WATER"),"OWC_TRANSITION",IF(AND(D759="OIL_WATER",E759="WATER"),"OWC_TRANSITION",IF(AND(D759="GAS",E759="GAS_WATER"),"GOC_TRANSITION",IF(AND(D759="GAS_WATER",E759="OIL"),"GOC_TRANSITION",IF(OR(D759="OIL_WATER",D759="GAS_WATER"),"TRANSITION_INTERVAL","")))))))))</f>
        <v/>
      </c>
      <c r="G759" s="20">
        <f>IF(OR(F759="",Master_Data!R759="",Master_Data!S759=""),"",IF(RIGHT(F759,10)="TRANSITION",AVERAGE(Master_Data!R759:Master_Data!S759),AVERAGE(Master_Data!S759,Master_Data!R760)))</f>
        <v/>
      </c>
      <c r="H759" s="20">
        <f>IF(G759="","",MAX(Settings!$B$4,Settings!$B$5*AVERAGE(IF(Master_Data!O759&lt;&gt;"",Master_Data!O759,Master_Data!H759),IF(Master_Data!O760&lt;&gt;"",Master_Data!O760,Master_Data!H760))))</f>
        <v/>
      </c>
      <c r="I759" s="20">
        <f>IF(G759="","",G759-H759)</f>
        <v/>
      </c>
      <c r="J759" s="20">
        <f>IF(G759="","",G759+H759)</f>
        <v/>
      </c>
      <c r="K759" s="20">
        <f>IF($A759="","",Master_Data!G759)</f>
        <v/>
      </c>
      <c r="L759" s="20">
        <f>IF($A759="","",Master_Data!G760)</f>
        <v/>
      </c>
      <c r="M759" s="20">
        <f>IF(AND(ISNUMBER(K759),ISNUMBER(L759)),L759-K759,"")</f>
        <v/>
      </c>
      <c r="N759" s="19">
        <f>IF(G759="","",IF(AND(ISNUMBER(K759),ISNUMBER(L759)),IF(OR(F759="GOC",F759="OWC",F759="GWC",F759="OWC_TRANSITION",F759="GOC_TRANSITION"),IF(L759&gt;=K759,"Supports","Conflicts"),"N/A"),"No Sw"))</f>
        <v/>
      </c>
      <c r="O759" s="20">
        <f>IF(G759="","",Settings!$B$6*IF(OR(F759="GOC",F759="OWC",F759="GWC"),1,0.7)+Settings!$B$7*IF(N759="Supports",1,IF(N759="Conflicts",0,0.5))+Settings!$B$8*IF(AND(Master_Data!R759&lt;&gt;"",Master_Data!S759&lt;&gt;"",Master_Data!R760&lt;&gt;"",Master_Data!S760&lt;&gt;""),1,0.5))</f>
        <v/>
      </c>
      <c r="P759" s="19">
        <f>IF(G759="","",IF(N759="Conflicts","SW_CONFLICT",IF(OR(F759="GOC",F759="OWC",F759="GWC"),"DIRECT_FLUID_TRANSITION","TRANSITION_INTERVAL")))</f>
        <v/>
      </c>
      <c r="Q759" s="19">
        <f>IF(G759="","",IF(N759="Conflicts","Investigate contact interpretation / saturation behaviour",IF(OR(F759="OWC",F759="GOC",F759="GWC"),"Candidate contact — validate with logs, pressure and dynamic evidence","Transition zone — do not force to a sharp contact")))</f>
        <v/>
      </c>
    </row>
    <row r="760">
      <c r="A760" s="19">
        <f>IF(AND(Master_Data!A760&lt;&gt;"",Master_Data!A760=Master_Data!A761),Master_Data!A760,"")</f>
        <v/>
      </c>
      <c r="B760" s="19">
        <f>IF($A760="","",Master_Data!B760)</f>
        <v/>
      </c>
      <c r="C760" s="19">
        <f>IF($A760="","",Master_Data!B761)</f>
        <v/>
      </c>
      <c r="D760" s="19">
        <f>IF($A760="","",Master_Data!Q760)</f>
        <v/>
      </c>
      <c r="E760" s="19">
        <f>IF($A760="","",Master_Data!Q761)</f>
        <v/>
      </c>
      <c r="F760" s="19">
        <f>IF($A760="","",IF(AND(D760="GAS",E760="OIL"),"GOC",IF(AND(D760="OIL",E760="WATER"),"OWC",IF(AND(D760="GAS",E760="WATER"),"GWC",IF(AND(D760="OIL",E760="OIL_WATER"),"OWC_TRANSITION",IF(AND(D760="OIL_WATER",E760="WATER"),"OWC_TRANSITION",IF(AND(D760="GAS",E760="GAS_WATER"),"GOC_TRANSITION",IF(AND(D760="GAS_WATER",E760="OIL"),"GOC_TRANSITION",IF(OR(D760="OIL_WATER",D760="GAS_WATER"),"TRANSITION_INTERVAL","")))))))))</f>
        <v/>
      </c>
      <c r="G760" s="20">
        <f>IF(OR(F760="",Master_Data!R760="",Master_Data!S760=""),"",IF(RIGHT(F760,10)="TRANSITION",AVERAGE(Master_Data!R760:Master_Data!S760),AVERAGE(Master_Data!S760,Master_Data!R761)))</f>
        <v/>
      </c>
      <c r="H760" s="20">
        <f>IF(G760="","",MAX(Settings!$B$4,Settings!$B$5*AVERAGE(IF(Master_Data!O760&lt;&gt;"",Master_Data!O760,Master_Data!H760),IF(Master_Data!O761&lt;&gt;"",Master_Data!O761,Master_Data!H761))))</f>
        <v/>
      </c>
      <c r="I760" s="20">
        <f>IF(G760="","",G760-H760)</f>
        <v/>
      </c>
      <c r="J760" s="20">
        <f>IF(G760="","",G760+H760)</f>
        <v/>
      </c>
      <c r="K760" s="20">
        <f>IF($A760="","",Master_Data!G760)</f>
        <v/>
      </c>
      <c r="L760" s="20">
        <f>IF($A760="","",Master_Data!G761)</f>
        <v/>
      </c>
      <c r="M760" s="20">
        <f>IF(AND(ISNUMBER(K760),ISNUMBER(L760)),L760-K760,"")</f>
        <v/>
      </c>
      <c r="N760" s="19">
        <f>IF(G760="","",IF(AND(ISNUMBER(K760),ISNUMBER(L760)),IF(OR(F760="GOC",F760="OWC",F760="GWC",F760="OWC_TRANSITION",F760="GOC_TRANSITION"),IF(L760&gt;=K760,"Supports","Conflicts"),"N/A"),"No Sw"))</f>
        <v/>
      </c>
      <c r="O760" s="20">
        <f>IF(G760="","",Settings!$B$6*IF(OR(F760="GOC",F760="OWC",F760="GWC"),1,0.7)+Settings!$B$7*IF(N760="Supports",1,IF(N760="Conflicts",0,0.5))+Settings!$B$8*IF(AND(Master_Data!R760&lt;&gt;"",Master_Data!S760&lt;&gt;"",Master_Data!R761&lt;&gt;"",Master_Data!S761&lt;&gt;""),1,0.5))</f>
        <v/>
      </c>
      <c r="P760" s="19">
        <f>IF(G760="","",IF(N760="Conflicts","SW_CONFLICT",IF(OR(F760="GOC",F760="OWC",F760="GWC"),"DIRECT_FLUID_TRANSITION","TRANSITION_INTERVAL")))</f>
        <v/>
      </c>
      <c r="Q760" s="19">
        <f>IF(G760="","",IF(N760="Conflicts","Investigate contact interpretation / saturation behaviour",IF(OR(F760="OWC",F760="GOC",F760="GWC"),"Candidate contact — validate with logs, pressure and dynamic evidence","Transition zone — do not force to a sharp contact")))</f>
        <v/>
      </c>
    </row>
    <row r="761">
      <c r="A761" s="19">
        <f>IF(AND(Master_Data!A761&lt;&gt;"",Master_Data!A761=Master_Data!A762),Master_Data!A761,"")</f>
        <v/>
      </c>
      <c r="B761" s="19">
        <f>IF($A761="","",Master_Data!B761)</f>
        <v/>
      </c>
      <c r="C761" s="19">
        <f>IF($A761="","",Master_Data!B762)</f>
        <v/>
      </c>
      <c r="D761" s="19">
        <f>IF($A761="","",Master_Data!Q761)</f>
        <v/>
      </c>
      <c r="E761" s="19">
        <f>IF($A761="","",Master_Data!Q762)</f>
        <v/>
      </c>
      <c r="F761" s="19">
        <f>IF($A761="","",IF(AND(D761="GAS",E761="OIL"),"GOC",IF(AND(D761="OIL",E761="WATER"),"OWC",IF(AND(D761="GAS",E761="WATER"),"GWC",IF(AND(D761="OIL",E761="OIL_WATER"),"OWC_TRANSITION",IF(AND(D761="OIL_WATER",E761="WATER"),"OWC_TRANSITION",IF(AND(D761="GAS",E761="GAS_WATER"),"GOC_TRANSITION",IF(AND(D761="GAS_WATER",E761="OIL"),"GOC_TRANSITION",IF(OR(D761="OIL_WATER",D761="GAS_WATER"),"TRANSITION_INTERVAL","")))))))))</f>
        <v/>
      </c>
      <c r="G761" s="20">
        <f>IF(OR(F761="",Master_Data!R761="",Master_Data!S761=""),"",IF(RIGHT(F761,10)="TRANSITION",AVERAGE(Master_Data!R761:Master_Data!S761),AVERAGE(Master_Data!S761,Master_Data!R762)))</f>
        <v/>
      </c>
      <c r="H761" s="20">
        <f>IF(G761="","",MAX(Settings!$B$4,Settings!$B$5*AVERAGE(IF(Master_Data!O761&lt;&gt;"",Master_Data!O761,Master_Data!H761),IF(Master_Data!O762&lt;&gt;"",Master_Data!O762,Master_Data!H762))))</f>
        <v/>
      </c>
      <c r="I761" s="20">
        <f>IF(G761="","",G761-H761)</f>
        <v/>
      </c>
      <c r="J761" s="20">
        <f>IF(G761="","",G761+H761)</f>
        <v/>
      </c>
      <c r="K761" s="20">
        <f>IF($A761="","",Master_Data!G761)</f>
        <v/>
      </c>
      <c r="L761" s="20">
        <f>IF($A761="","",Master_Data!G762)</f>
        <v/>
      </c>
      <c r="M761" s="20">
        <f>IF(AND(ISNUMBER(K761),ISNUMBER(L761)),L761-K761,"")</f>
        <v/>
      </c>
      <c r="N761" s="19">
        <f>IF(G761="","",IF(AND(ISNUMBER(K761),ISNUMBER(L761)),IF(OR(F761="GOC",F761="OWC",F761="GWC",F761="OWC_TRANSITION",F761="GOC_TRANSITION"),IF(L761&gt;=K761,"Supports","Conflicts"),"N/A"),"No Sw"))</f>
        <v/>
      </c>
      <c r="O761" s="20">
        <f>IF(G761="","",Settings!$B$6*IF(OR(F761="GOC",F761="OWC",F761="GWC"),1,0.7)+Settings!$B$7*IF(N761="Supports",1,IF(N761="Conflicts",0,0.5))+Settings!$B$8*IF(AND(Master_Data!R761&lt;&gt;"",Master_Data!S761&lt;&gt;"",Master_Data!R762&lt;&gt;"",Master_Data!S762&lt;&gt;""),1,0.5))</f>
        <v/>
      </c>
      <c r="P761" s="19">
        <f>IF(G761="","",IF(N761="Conflicts","SW_CONFLICT",IF(OR(F761="GOC",F761="OWC",F761="GWC"),"DIRECT_FLUID_TRANSITION","TRANSITION_INTERVAL")))</f>
        <v/>
      </c>
      <c r="Q761" s="19">
        <f>IF(G761="","",IF(N761="Conflicts","Investigate contact interpretation / saturation behaviour",IF(OR(F761="OWC",F761="GOC",F761="GWC"),"Candidate contact — validate with logs, pressure and dynamic evidence","Transition zone — do not force to a sharp contact")))</f>
        <v/>
      </c>
    </row>
    <row r="762">
      <c r="A762" s="19">
        <f>IF(AND(Master_Data!A762&lt;&gt;"",Master_Data!A762=Master_Data!A763),Master_Data!A762,"")</f>
        <v/>
      </c>
      <c r="B762" s="19">
        <f>IF($A762="","",Master_Data!B762)</f>
        <v/>
      </c>
      <c r="C762" s="19">
        <f>IF($A762="","",Master_Data!B763)</f>
        <v/>
      </c>
      <c r="D762" s="19">
        <f>IF($A762="","",Master_Data!Q762)</f>
        <v/>
      </c>
      <c r="E762" s="19">
        <f>IF($A762="","",Master_Data!Q763)</f>
        <v/>
      </c>
      <c r="F762" s="19">
        <f>IF($A762="","",IF(AND(D762="GAS",E762="OIL"),"GOC",IF(AND(D762="OIL",E762="WATER"),"OWC",IF(AND(D762="GAS",E762="WATER"),"GWC",IF(AND(D762="OIL",E762="OIL_WATER"),"OWC_TRANSITION",IF(AND(D762="OIL_WATER",E762="WATER"),"OWC_TRANSITION",IF(AND(D762="GAS",E762="GAS_WATER"),"GOC_TRANSITION",IF(AND(D762="GAS_WATER",E762="OIL"),"GOC_TRANSITION",IF(OR(D762="OIL_WATER",D762="GAS_WATER"),"TRANSITION_INTERVAL","")))))))))</f>
        <v/>
      </c>
      <c r="G762" s="20">
        <f>IF(OR(F762="",Master_Data!R762="",Master_Data!S762=""),"",IF(RIGHT(F762,10)="TRANSITION",AVERAGE(Master_Data!R762:Master_Data!S762),AVERAGE(Master_Data!S762,Master_Data!R763)))</f>
        <v/>
      </c>
      <c r="H762" s="20">
        <f>IF(G762="","",MAX(Settings!$B$4,Settings!$B$5*AVERAGE(IF(Master_Data!O762&lt;&gt;"",Master_Data!O762,Master_Data!H762),IF(Master_Data!O763&lt;&gt;"",Master_Data!O763,Master_Data!H763))))</f>
        <v/>
      </c>
      <c r="I762" s="20">
        <f>IF(G762="","",G762-H762)</f>
        <v/>
      </c>
      <c r="J762" s="20">
        <f>IF(G762="","",G762+H762)</f>
        <v/>
      </c>
      <c r="K762" s="20">
        <f>IF($A762="","",Master_Data!G762)</f>
        <v/>
      </c>
      <c r="L762" s="20">
        <f>IF($A762="","",Master_Data!G763)</f>
        <v/>
      </c>
      <c r="M762" s="20">
        <f>IF(AND(ISNUMBER(K762),ISNUMBER(L762)),L762-K762,"")</f>
        <v/>
      </c>
      <c r="N762" s="19">
        <f>IF(G762="","",IF(AND(ISNUMBER(K762),ISNUMBER(L762)),IF(OR(F762="GOC",F762="OWC",F762="GWC",F762="OWC_TRANSITION",F762="GOC_TRANSITION"),IF(L762&gt;=K762,"Supports","Conflicts"),"N/A"),"No Sw"))</f>
        <v/>
      </c>
      <c r="O762" s="20">
        <f>IF(G762="","",Settings!$B$6*IF(OR(F762="GOC",F762="OWC",F762="GWC"),1,0.7)+Settings!$B$7*IF(N762="Supports",1,IF(N762="Conflicts",0,0.5))+Settings!$B$8*IF(AND(Master_Data!R762&lt;&gt;"",Master_Data!S762&lt;&gt;"",Master_Data!R763&lt;&gt;"",Master_Data!S763&lt;&gt;""),1,0.5))</f>
        <v/>
      </c>
      <c r="P762" s="19">
        <f>IF(G762="","",IF(N762="Conflicts","SW_CONFLICT",IF(OR(F762="GOC",F762="OWC",F762="GWC"),"DIRECT_FLUID_TRANSITION","TRANSITION_INTERVAL")))</f>
        <v/>
      </c>
      <c r="Q762" s="19">
        <f>IF(G762="","",IF(N762="Conflicts","Investigate contact interpretation / saturation behaviour",IF(OR(F762="OWC",F762="GOC",F762="GWC"),"Candidate contact — validate with logs, pressure and dynamic evidence","Transition zone — do not force to a sharp contact")))</f>
        <v/>
      </c>
    </row>
    <row r="763">
      <c r="A763" s="19">
        <f>IF(AND(Master_Data!A763&lt;&gt;"",Master_Data!A763=Master_Data!A764),Master_Data!A763,"")</f>
        <v/>
      </c>
      <c r="B763" s="19">
        <f>IF($A763="","",Master_Data!B763)</f>
        <v/>
      </c>
      <c r="C763" s="19">
        <f>IF($A763="","",Master_Data!B764)</f>
        <v/>
      </c>
      <c r="D763" s="19">
        <f>IF($A763="","",Master_Data!Q763)</f>
        <v/>
      </c>
      <c r="E763" s="19">
        <f>IF($A763="","",Master_Data!Q764)</f>
        <v/>
      </c>
      <c r="F763" s="19">
        <f>IF($A763="","",IF(AND(D763="GAS",E763="OIL"),"GOC",IF(AND(D763="OIL",E763="WATER"),"OWC",IF(AND(D763="GAS",E763="WATER"),"GWC",IF(AND(D763="OIL",E763="OIL_WATER"),"OWC_TRANSITION",IF(AND(D763="OIL_WATER",E763="WATER"),"OWC_TRANSITION",IF(AND(D763="GAS",E763="GAS_WATER"),"GOC_TRANSITION",IF(AND(D763="GAS_WATER",E763="OIL"),"GOC_TRANSITION",IF(OR(D763="OIL_WATER",D763="GAS_WATER"),"TRANSITION_INTERVAL","")))))))))</f>
        <v/>
      </c>
      <c r="G763" s="20">
        <f>IF(OR(F763="",Master_Data!R763="",Master_Data!S763=""),"",IF(RIGHT(F763,10)="TRANSITION",AVERAGE(Master_Data!R763:Master_Data!S763),AVERAGE(Master_Data!S763,Master_Data!R764)))</f>
        <v/>
      </c>
      <c r="H763" s="20">
        <f>IF(G763="","",MAX(Settings!$B$4,Settings!$B$5*AVERAGE(IF(Master_Data!O763&lt;&gt;"",Master_Data!O763,Master_Data!H763),IF(Master_Data!O764&lt;&gt;"",Master_Data!O764,Master_Data!H764))))</f>
        <v/>
      </c>
      <c r="I763" s="20">
        <f>IF(G763="","",G763-H763)</f>
        <v/>
      </c>
      <c r="J763" s="20">
        <f>IF(G763="","",G763+H763)</f>
        <v/>
      </c>
      <c r="K763" s="20">
        <f>IF($A763="","",Master_Data!G763)</f>
        <v/>
      </c>
      <c r="L763" s="20">
        <f>IF($A763="","",Master_Data!G764)</f>
        <v/>
      </c>
      <c r="M763" s="20">
        <f>IF(AND(ISNUMBER(K763),ISNUMBER(L763)),L763-K763,"")</f>
        <v/>
      </c>
      <c r="N763" s="19">
        <f>IF(G763="","",IF(AND(ISNUMBER(K763),ISNUMBER(L763)),IF(OR(F763="GOC",F763="OWC",F763="GWC",F763="OWC_TRANSITION",F763="GOC_TRANSITION"),IF(L763&gt;=K763,"Supports","Conflicts"),"N/A"),"No Sw"))</f>
        <v/>
      </c>
      <c r="O763" s="20">
        <f>IF(G763="","",Settings!$B$6*IF(OR(F763="GOC",F763="OWC",F763="GWC"),1,0.7)+Settings!$B$7*IF(N763="Supports",1,IF(N763="Conflicts",0,0.5))+Settings!$B$8*IF(AND(Master_Data!R763&lt;&gt;"",Master_Data!S763&lt;&gt;"",Master_Data!R764&lt;&gt;"",Master_Data!S764&lt;&gt;""),1,0.5))</f>
        <v/>
      </c>
      <c r="P763" s="19">
        <f>IF(G763="","",IF(N763="Conflicts","SW_CONFLICT",IF(OR(F763="GOC",F763="OWC",F763="GWC"),"DIRECT_FLUID_TRANSITION","TRANSITION_INTERVAL")))</f>
        <v/>
      </c>
      <c r="Q763" s="19">
        <f>IF(G763="","",IF(N763="Conflicts","Investigate contact interpretation / saturation behaviour",IF(OR(F763="OWC",F763="GOC",F763="GWC"),"Candidate contact — validate with logs, pressure and dynamic evidence","Transition zone — do not force to a sharp contact")))</f>
        <v/>
      </c>
    </row>
    <row r="764">
      <c r="A764" s="19">
        <f>IF(AND(Master_Data!A764&lt;&gt;"",Master_Data!A764=Master_Data!A765),Master_Data!A764,"")</f>
        <v/>
      </c>
      <c r="B764" s="19">
        <f>IF($A764="","",Master_Data!B764)</f>
        <v/>
      </c>
      <c r="C764" s="19">
        <f>IF($A764="","",Master_Data!B765)</f>
        <v/>
      </c>
      <c r="D764" s="19">
        <f>IF($A764="","",Master_Data!Q764)</f>
        <v/>
      </c>
      <c r="E764" s="19">
        <f>IF($A764="","",Master_Data!Q765)</f>
        <v/>
      </c>
      <c r="F764" s="19">
        <f>IF($A764="","",IF(AND(D764="GAS",E764="OIL"),"GOC",IF(AND(D764="OIL",E764="WATER"),"OWC",IF(AND(D764="GAS",E764="WATER"),"GWC",IF(AND(D764="OIL",E764="OIL_WATER"),"OWC_TRANSITION",IF(AND(D764="OIL_WATER",E764="WATER"),"OWC_TRANSITION",IF(AND(D764="GAS",E764="GAS_WATER"),"GOC_TRANSITION",IF(AND(D764="GAS_WATER",E764="OIL"),"GOC_TRANSITION",IF(OR(D764="OIL_WATER",D764="GAS_WATER"),"TRANSITION_INTERVAL","")))))))))</f>
        <v/>
      </c>
      <c r="G764" s="20">
        <f>IF(OR(F764="",Master_Data!R764="",Master_Data!S764=""),"",IF(RIGHT(F764,10)="TRANSITION",AVERAGE(Master_Data!R764:Master_Data!S764),AVERAGE(Master_Data!S764,Master_Data!R765)))</f>
        <v/>
      </c>
      <c r="H764" s="20">
        <f>IF(G764="","",MAX(Settings!$B$4,Settings!$B$5*AVERAGE(IF(Master_Data!O764&lt;&gt;"",Master_Data!O764,Master_Data!H764),IF(Master_Data!O765&lt;&gt;"",Master_Data!O765,Master_Data!H765))))</f>
        <v/>
      </c>
      <c r="I764" s="20">
        <f>IF(G764="","",G764-H764)</f>
        <v/>
      </c>
      <c r="J764" s="20">
        <f>IF(G764="","",G764+H764)</f>
        <v/>
      </c>
      <c r="K764" s="20">
        <f>IF($A764="","",Master_Data!G764)</f>
        <v/>
      </c>
      <c r="L764" s="20">
        <f>IF($A764="","",Master_Data!G765)</f>
        <v/>
      </c>
      <c r="M764" s="20">
        <f>IF(AND(ISNUMBER(K764),ISNUMBER(L764)),L764-K764,"")</f>
        <v/>
      </c>
      <c r="N764" s="19">
        <f>IF(G764="","",IF(AND(ISNUMBER(K764),ISNUMBER(L764)),IF(OR(F764="GOC",F764="OWC",F764="GWC",F764="OWC_TRANSITION",F764="GOC_TRANSITION"),IF(L764&gt;=K764,"Supports","Conflicts"),"N/A"),"No Sw"))</f>
        <v/>
      </c>
      <c r="O764" s="20">
        <f>IF(G764="","",Settings!$B$6*IF(OR(F764="GOC",F764="OWC",F764="GWC"),1,0.7)+Settings!$B$7*IF(N764="Supports",1,IF(N764="Conflicts",0,0.5))+Settings!$B$8*IF(AND(Master_Data!R764&lt;&gt;"",Master_Data!S764&lt;&gt;"",Master_Data!R765&lt;&gt;"",Master_Data!S765&lt;&gt;""),1,0.5))</f>
        <v/>
      </c>
      <c r="P764" s="19">
        <f>IF(G764="","",IF(N764="Conflicts","SW_CONFLICT",IF(OR(F764="GOC",F764="OWC",F764="GWC"),"DIRECT_FLUID_TRANSITION","TRANSITION_INTERVAL")))</f>
        <v/>
      </c>
      <c r="Q764" s="19">
        <f>IF(G764="","",IF(N764="Conflicts","Investigate contact interpretation / saturation behaviour",IF(OR(F764="OWC",F764="GOC",F764="GWC"),"Candidate contact — validate with logs, pressure and dynamic evidence","Transition zone — do not force to a sharp contact")))</f>
        <v/>
      </c>
    </row>
    <row r="765">
      <c r="A765" s="19">
        <f>IF(AND(Master_Data!A765&lt;&gt;"",Master_Data!A765=Master_Data!A766),Master_Data!A765,"")</f>
        <v/>
      </c>
      <c r="B765" s="19">
        <f>IF($A765="","",Master_Data!B765)</f>
        <v/>
      </c>
      <c r="C765" s="19">
        <f>IF($A765="","",Master_Data!B766)</f>
        <v/>
      </c>
      <c r="D765" s="19">
        <f>IF($A765="","",Master_Data!Q765)</f>
        <v/>
      </c>
      <c r="E765" s="19">
        <f>IF($A765="","",Master_Data!Q766)</f>
        <v/>
      </c>
      <c r="F765" s="19">
        <f>IF($A765="","",IF(AND(D765="GAS",E765="OIL"),"GOC",IF(AND(D765="OIL",E765="WATER"),"OWC",IF(AND(D765="GAS",E765="WATER"),"GWC",IF(AND(D765="OIL",E765="OIL_WATER"),"OWC_TRANSITION",IF(AND(D765="OIL_WATER",E765="WATER"),"OWC_TRANSITION",IF(AND(D765="GAS",E765="GAS_WATER"),"GOC_TRANSITION",IF(AND(D765="GAS_WATER",E765="OIL"),"GOC_TRANSITION",IF(OR(D765="OIL_WATER",D765="GAS_WATER"),"TRANSITION_INTERVAL","")))))))))</f>
        <v/>
      </c>
      <c r="G765" s="20">
        <f>IF(OR(F765="",Master_Data!R765="",Master_Data!S765=""),"",IF(RIGHT(F765,10)="TRANSITION",AVERAGE(Master_Data!R765:Master_Data!S765),AVERAGE(Master_Data!S765,Master_Data!R766)))</f>
        <v/>
      </c>
      <c r="H765" s="20">
        <f>IF(G765="","",MAX(Settings!$B$4,Settings!$B$5*AVERAGE(IF(Master_Data!O765&lt;&gt;"",Master_Data!O765,Master_Data!H765),IF(Master_Data!O766&lt;&gt;"",Master_Data!O766,Master_Data!H766))))</f>
        <v/>
      </c>
      <c r="I765" s="20">
        <f>IF(G765="","",G765-H765)</f>
        <v/>
      </c>
      <c r="J765" s="20">
        <f>IF(G765="","",G765+H765)</f>
        <v/>
      </c>
      <c r="K765" s="20">
        <f>IF($A765="","",Master_Data!G765)</f>
        <v/>
      </c>
      <c r="L765" s="20">
        <f>IF($A765="","",Master_Data!G766)</f>
        <v/>
      </c>
      <c r="M765" s="20">
        <f>IF(AND(ISNUMBER(K765),ISNUMBER(L765)),L765-K765,"")</f>
        <v/>
      </c>
      <c r="N765" s="19">
        <f>IF(G765="","",IF(AND(ISNUMBER(K765),ISNUMBER(L765)),IF(OR(F765="GOC",F765="OWC",F765="GWC",F765="OWC_TRANSITION",F765="GOC_TRANSITION"),IF(L765&gt;=K765,"Supports","Conflicts"),"N/A"),"No Sw"))</f>
        <v/>
      </c>
      <c r="O765" s="20">
        <f>IF(G765="","",Settings!$B$6*IF(OR(F765="GOC",F765="OWC",F765="GWC"),1,0.7)+Settings!$B$7*IF(N765="Supports",1,IF(N765="Conflicts",0,0.5))+Settings!$B$8*IF(AND(Master_Data!R765&lt;&gt;"",Master_Data!S765&lt;&gt;"",Master_Data!R766&lt;&gt;"",Master_Data!S766&lt;&gt;""),1,0.5))</f>
        <v/>
      </c>
      <c r="P765" s="19">
        <f>IF(G765="","",IF(N765="Conflicts","SW_CONFLICT",IF(OR(F765="GOC",F765="OWC",F765="GWC"),"DIRECT_FLUID_TRANSITION","TRANSITION_INTERVAL")))</f>
        <v/>
      </c>
      <c r="Q765" s="19">
        <f>IF(G765="","",IF(N765="Conflicts","Investigate contact interpretation / saturation behaviour",IF(OR(F765="OWC",F765="GOC",F765="GWC"),"Candidate contact — validate with logs, pressure and dynamic evidence","Transition zone — do not force to a sharp contact")))</f>
        <v/>
      </c>
    </row>
    <row r="766">
      <c r="A766" s="19">
        <f>IF(AND(Master_Data!A766&lt;&gt;"",Master_Data!A766=Master_Data!A767),Master_Data!A766,"")</f>
        <v/>
      </c>
      <c r="B766" s="19">
        <f>IF($A766="","",Master_Data!B766)</f>
        <v/>
      </c>
      <c r="C766" s="19">
        <f>IF($A766="","",Master_Data!B767)</f>
        <v/>
      </c>
      <c r="D766" s="19">
        <f>IF($A766="","",Master_Data!Q766)</f>
        <v/>
      </c>
      <c r="E766" s="19">
        <f>IF($A766="","",Master_Data!Q767)</f>
        <v/>
      </c>
      <c r="F766" s="19">
        <f>IF($A766="","",IF(AND(D766="GAS",E766="OIL"),"GOC",IF(AND(D766="OIL",E766="WATER"),"OWC",IF(AND(D766="GAS",E766="WATER"),"GWC",IF(AND(D766="OIL",E766="OIL_WATER"),"OWC_TRANSITION",IF(AND(D766="OIL_WATER",E766="WATER"),"OWC_TRANSITION",IF(AND(D766="GAS",E766="GAS_WATER"),"GOC_TRANSITION",IF(AND(D766="GAS_WATER",E766="OIL"),"GOC_TRANSITION",IF(OR(D766="OIL_WATER",D766="GAS_WATER"),"TRANSITION_INTERVAL","")))))))))</f>
        <v/>
      </c>
      <c r="G766" s="20">
        <f>IF(OR(F766="",Master_Data!R766="",Master_Data!S766=""),"",IF(RIGHT(F766,10)="TRANSITION",AVERAGE(Master_Data!R766:Master_Data!S766),AVERAGE(Master_Data!S766,Master_Data!R767)))</f>
        <v/>
      </c>
      <c r="H766" s="20">
        <f>IF(G766="","",MAX(Settings!$B$4,Settings!$B$5*AVERAGE(IF(Master_Data!O766&lt;&gt;"",Master_Data!O766,Master_Data!H766),IF(Master_Data!O767&lt;&gt;"",Master_Data!O767,Master_Data!H767))))</f>
        <v/>
      </c>
      <c r="I766" s="20">
        <f>IF(G766="","",G766-H766)</f>
        <v/>
      </c>
      <c r="J766" s="20">
        <f>IF(G766="","",G766+H766)</f>
        <v/>
      </c>
      <c r="K766" s="20">
        <f>IF($A766="","",Master_Data!G766)</f>
        <v/>
      </c>
      <c r="L766" s="20">
        <f>IF($A766="","",Master_Data!G767)</f>
        <v/>
      </c>
      <c r="M766" s="20">
        <f>IF(AND(ISNUMBER(K766),ISNUMBER(L766)),L766-K766,"")</f>
        <v/>
      </c>
      <c r="N766" s="19">
        <f>IF(G766="","",IF(AND(ISNUMBER(K766),ISNUMBER(L766)),IF(OR(F766="GOC",F766="OWC",F766="GWC",F766="OWC_TRANSITION",F766="GOC_TRANSITION"),IF(L766&gt;=K766,"Supports","Conflicts"),"N/A"),"No Sw"))</f>
        <v/>
      </c>
      <c r="O766" s="20">
        <f>IF(G766="","",Settings!$B$6*IF(OR(F766="GOC",F766="OWC",F766="GWC"),1,0.7)+Settings!$B$7*IF(N766="Supports",1,IF(N766="Conflicts",0,0.5))+Settings!$B$8*IF(AND(Master_Data!R766&lt;&gt;"",Master_Data!S766&lt;&gt;"",Master_Data!R767&lt;&gt;"",Master_Data!S767&lt;&gt;""),1,0.5))</f>
        <v/>
      </c>
      <c r="P766" s="19">
        <f>IF(G766="","",IF(N766="Conflicts","SW_CONFLICT",IF(OR(F766="GOC",F766="OWC",F766="GWC"),"DIRECT_FLUID_TRANSITION","TRANSITION_INTERVAL")))</f>
        <v/>
      </c>
      <c r="Q766" s="19">
        <f>IF(G766="","",IF(N766="Conflicts","Investigate contact interpretation / saturation behaviour",IF(OR(F766="OWC",F766="GOC",F766="GWC"),"Candidate contact — validate with logs, pressure and dynamic evidence","Transition zone — do not force to a sharp contact")))</f>
        <v/>
      </c>
    </row>
    <row r="767">
      <c r="A767" s="19">
        <f>IF(AND(Master_Data!A767&lt;&gt;"",Master_Data!A767=Master_Data!A768),Master_Data!A767,"")</f>
        <v/>
      </c>
      <c r="B767" s="19">
        <f>IF($A767="","",Master_Data!B767)</f>
        <v/>
      </c>
      <c r="C767" s="19">
        <f>IF($A767="","",Master_Data!B768)</f>
        <v/>
      </c>
      <c r="D767" s="19">
        <f>IF($A767="","",Master_Data!Q767)</f>
        <v/>
      </c>
      <c r="E767" s="19">
        <f>IF($A767="","",Master_Data!Q768)</f>
        <v/>
      </c>
      <c r="F767" s="19">
        <f>IF($A767="","",IF(AND(D767="GAS",E767="OIL"),"GOC",IF(AND(D767="OIL",E767="WATER"),"OWC",IF(AND(D767="GAS",E767="WATER"),"GWC",IF(AND(D767="OIL",E767="OIL_WATER"),"OWC_TRANSITION",IF(AND(D767="OIL_WATER",E767="WATER"),"OWC_TRANSITION",IF(AND(D767="GAS",E767="GAS_WATER"),"GOC_TRANSITION",IF(AND(D767="GAS_WATER",E767="OIL"),"GOC_TRANSITION",IF(OR(D767="OIL_WATER",D767="GAS_WATER"),"TRANSITION_INTERVAL","")))))))))</f>
        <v/>
      </c>
      <c r="G767" s="20">
        <f>IF(OR(F767="",Master_Data!R767="",Master_Data!S767=""),"",IF(RIGHT(F767,10)="TRANSITION",AVERAGE(Master_Data!R767:Master_Data!S767),AVERAGE(Master_Data!S767,Master_Data!R768)))</f>
        <v/>
      </c>
      <c r="H767" s="20">
        <f>IF(G767="","",MAX(Settings!$B$4,Settings!$B$5*AVERAGE(IF(Master_Data!O767&lt;&gt;"",Master_Data!O767,Master_Data!H767),IF(Master_Data!O768&lt;&gt;"",Master_Data!O768,Master_Data!H768))))</f>
        <v/>
      </c>
      <c r="I767" s="20">
        <f>IF(G767="","",G767-H767)</f>
        <v/>
      </c>
      <c r="J767" s="20">
        <f>IF(G767="","",G767+H767)</f>
        <v/>
      </c>
      <c r="K767" s="20">
        <f>IF($A767="","",Master_Data!G767)</f>
        <v/>
      </c>
      <c r="L767" s="20">
        <f>IF($A767="","",Master_Data!G768)</f>
        <v/>
      </c>
      <c r="M767" s="20">
        <f>IF(AND(ISNUMBER(K767),ISNUMBER(L767)),L767-K767,"")</f>
        <v/>
      </c>
      <c r="N767" s="19">
        <f>IF(G767="","",IF(AND(ISNUMBER(K767),ISNUMBER(L767)),IF(OR(F767="GOC",F767="OWC",F767="GWC",F767="OWC_TRANSITION",F767="GOC_TRANSITION"),IF(L767&gt;=K767,"Supports","Conflicts"),"N/A"),"No Sw"))</f>
        <v/>
      </c>
      <c r="O767" s="20">
        <f>IF(G767="","",Settings!$B$6*IF(OR(F767="GOC",F767="OWC",F767="GWC"),1,0.7)+Settings!$B$7*IF(N767="Supports",1,IF(N767="Conflicts",0,0.5))+Settings!$B$8*IF(AND(Master_Data!R767&lt;&gt;"",Master_Data!S767&lt;&gt;"",Master_Data!R768&lt;&gt;"",Master_Data!S768&lt;&gt;""),1,0.5))</f>
        <v/>
      </c>
      <c r="P767" s="19">
        <f>IF(G767="","",IF(N767="Conflicts","SW_CONFLICT",IF(OR(F767="GOC",F767="OWC",F767="GWC"),"DIRECT_FLUID_TRANSITION","TRANSITION_INTERVAL")))</f>
        <v/>
      </c>
      <c r="Q767" s="19">
        <f>IF(G767="","",IF(N767="Conflicts","Investigate contact interpretation / saturation behaviour",IF(OR(F767="OWC",F767="GOC",F767="GWC"),"Candidate contact — validate with logs, pressure and dynamic evidence","Transition zone — do not force to a sharp contact")))</f>
        <v/>
      </c>
    </row>
    <row r="768">
      <c r="A768" s="19">
        <f>IF(AND(Master_Data!A768&lt;&gt;"",Master_Data!A768=Master_Data!A769),Master_Data!A768,"")</f>
        <v/>
      </c>
      <c r="B768" s="19">
        <f>IF($A768="","",Master_Data!B768)</f>
        <v/>
      </c>
      <c r="C768" s="19">
        <f>IF($A768="","",Master_Data!B769)</f>
        <v/>
      </c>
      <c r="D768" s="19">
        <f>IF($A768="","",Master_Data!Q768)</f>
        <v/>
      </c>
      <c r="E768" s="19">
        <f>IF($A768="","",Master_Data!Q769)</f>
        <v/>
      </c>
      <c r="F768" s="19">
        <f>IF($A768="","",IF(AND(D768="GAS",E768="OIL"),"GOC",IF(AND(D768="OIL",E768="WATER"),"OWC",IF(AND(D768="GAS",E768="WATER"),"GWC",IF(AND(D768="OIL",E768="OIL_WATER"),"OWC_TRANSITION",IF(AND(D768="OIL_WATER",E768="WATER"),"OWC_TRANSITION",IF(AND(D768="GAS",E768="GAS_WATER"),"GOC_TRANSITION",IF(AND(D768="GAS_WATER",E768="OIL"),"GOC_TRANSITION",IF(OR(D768="OIL_WATER",D768="GAS_WATER"),"TRANSITION_INTERVAL","")))))))))</f>
        <v/>
      </c>
      <c r="G768" s="20">
        <f>IF(OR(F768="",Master_Data!R768="",Master_Data!S768=""),"",IF(RIGHT(F768,10)="TRANSITION",AVERAGE(Master_Data!R768:Master_Data!S768),AVERAGE(Master_Data!S768,Master_Data!R769)))</f>
        <v/>
      </c>
      <c r="H768" s="20">
        <f>IF(G768="","",MAX(Settings!$B$4,Settings!$B$5*AVERAGE(IF(Master_Data!O768&lt;&gt;"",Master_Data!O768,Master_Data!H768),IF(Master_Data!O769&lt;&gt;"",Master_Data!O769,Master_Data!H769))))</f>
        <v/>
      </c>
      <c r="I768" s="20">
        <f>IF(G768="","",G768-H768)</f>
        <v/>
      </c>
      <c r="J768" s="20">
        <f>IF(G768="","",G768+H768)</f>
        <v/>
      </c>
      <c r="K768" s="20">
        <f>IF($A768="","",Master_Data!G768)</f>
        <v/>
      </c>
      <c r="L768" s="20">
        <f>IF($A768="","",Master_Data!G769)</f>
        <v/>
      </c>
      <c r="M768" s="20">
        <f>IF(AND(ISNUMBER(K768),ISNUMBER(L768)),L768-K768,"")</f>
        <v/>
      </c>
      <c r="N768" s="19">
        <f>IF(G768="","",IF(AND(ISNUMBER(K768),ISNUMBER(L768)),IF(OR(F768="GOC",F768="OWC",F768="GWC",F768="OWC_TRANSITION",F768="GOC_TRANSITION"),IF(L768&gt;=K768,"Supports","Conflicts"),"N/A"),"No Sw"))</f>
        <v/>
      </c>
      <c r="O768" s="20">
        <f>IF(G768="","",Settings!$B$6*IF(OR(F768="GOC",F768="OWC",F768="GWC"),1,0.7)+Settings!$B$7*IF(N768="Supports",1,IF(N768="Conflicts",0,0.5))+Settings!$B$8*IF(AND(Master_Data!R768&lt;&gt;"",Master_Data!S768&lt;&gt;"",Master_Data!R769&lt;&gt;"",Master_Data!S769&lt;&gt;""),1,0.5))</f>
        <v/>
      </c>
      <c r="P768" s="19">
        <f>IF(G768="","",IF(N768="Conflicts","SW_CONFLICT",IF(OR(F768="GOC",F768="OWC",F768="GWC"),"DIRECT_FLUID_TRANSITION","TRANSITION_INTERVAL")))</f>
        <v/>
      </c>
      <c r="Q768" s="19">
        <f>IF(G768="","",IF(N768="Conflicts","Investigate contact interpretation / saturation behaviour",IF(OR(F768="OWC",F768="GOC",F768="GWC"),"Candidate contact — validate with logs, pressure and dynamic evidence","Transition zone — do not force to a sharp contact")))</f>
        <v/>
      </c>
    </row>
    <row r="769">
      <c r="A769" s="19">
        <f>IF(AND(Master_Data!A769&lt;&gt;"",Master_Data!A769=Master_Data!A770),Master_Data!A769,"")</f>
        <v/>
      </c>
      <c r="B769" s="19">
        <f>IF($A769="","",Master_Data!B769)</f>
        <v/>
      </c>
      <c r="C769" s="19">
        <f>IF($A769="","",Master_Data!B770)</f>
        <v/>
      </c>
      <c r="D769" s="19">
        <f>IF($A769="","",Master_Data!Q769)</f>
        <v/>
      </c>
      <c r="E769" s="19">
        <f>IF($A769="","",Master_Data!Q770)</f>
        <v/>
      </c>
      <c r="F769" s="19">
        <f>IF($A769="","",IF(AND(D769="GAS",E769="OIL"),"GOC",IF(AND(D769="OIL",E769="WATER"),"OWC",IF(AND(D769="GAS",E769="WATER"),"GWC",IF(AND(D769="OIL",E769="OIL_WATER"),"OWC_TRANSITION",IF(AND(D769="OIL_WATER",E769="WATER"),"OWC_TRANSITION",IF(AND(D769="GAS",E769="GAS_WATER"),"GOC_TRANSITION",IF(AND(D769="GAS_WATER",E769="OIL"),"GOC_TRANSITION",IF(OR(D769="OIL_WATER",D769="GAS_WATER"),"TRANSITION_INTERVAL","")))))))))</f>
        <v/>
      </c>
      <c r="G769" s="20">
        <f>IF(OR(F769="",Master_Data!R769="",Master_Data!S769=""),"",IF(RIGHT(F769,10)="TRANSITION",AVERAGE(Master_Data!R769:Master_Data!S769),AVERAGE(Master_Data!S769,Master_Data!R770)))</f>
        <v/>
      </c>
      <c r="H769" s="20">
        <f>IF(G769="","",MAX(Settings!$B$4,Settings!$B$5*AVERAGE(IF(Master_Data!O769&lt;&gt;"",Master_Data!O769,Master_Data!H769),IF(Master_Data!O770&lt;&gt;"",Master_Data!O770,Master_Data!H770))))</f>
        <v/>
      </c>
      <c r="I769" s="20">
        <f>IF(G769="","",G769-H769)</f>
        <v/>
      </c>
      <c r="J769" s="20">
        <f>IF(G769="","",G769+H769)</f>
        <v/>
      </c>
      <c r="K769" s="20">
        <f>IF($A769="","",Master_Data!G769)</f>
        <v/>
      </c>
      <c r="L769" s="20">
        <f>IF($A769="","",Master_Data!G770)</f>
        <v/>
      </c>
      <c r="M769" s="20">
        <f>IF(AND(ISNUMBER(K769),ISNUMBER(L769)),L769-K769,"")</f>
        <v/>
      </c>
      <c r="N769" s="19">
        <f>IF(G769="","",IF(AND(ISNUMBER(K769),ISNUMBER(L769)),IF(OR(F769="GOC",F769="OWC",F769="GWC",F769="OWC_TRANSITION",F769="GOC_TRANSITION"),IF(L769&gt;=K769,"Supports","Conflicts"),"N/A"),"No Sw"))</f>
        <v/>
      </c>
      <c r="O769" s="20">
        <f>IF(G769="","",Settings!$B$6*IF(OR(F769="GOC",F769="OWC",F769="GWC"),1,0.7)+Settings!$B$7*IF(N769="Supports",1,IF(N769="Conflicts",0,0.5))+Settings!$B$8*IF(AND(Master_Data!R769&lt;&gt;"",Master_Data!S769&lt;&gt;"",Master_Data!R770&lt;&gt;"",Master_Data!S770&lt;&gt;""),1,0.5))</f>
        <v/>
      </c>
      <c r="P769" s="19">
        <f>IF(G769="","",IF(N769="Conflicts","SW_CONFLICT",IF(OR(F769="GOC",F769="OWC",F769="GWC"),"DIRECT_FLUID_TRANSITION","TRANSITION_INTERVAL")))</f>
        <v/>
      </c>
      <c r="Q769" s="19">
        <f>IF(G769="","",IF(N769="Conflicts","Investigate contact interpretation / saturation behaviour",IF(OR(F769="OWC",F769="GOC",F769="GWC"),"Candidate contact — validate with logs, pressure and dynamic evidence","Transition zone — do not force to a sharp contact")))</f>
        <v/>
      </c>
    </row>
    <row r="770">
      <c r="A770" s="19">
        <f>IF(AND(Master_Data!A770&lt;&gt;"",Master_Data!A770=Master_Data!A771),Master_Data!A770,"")</f>
        <v/>
      </c>
      <c r="B770" s="19">
        <f>IF($A770="","",Master_Data!B770)</f>
        <v/>
      </c>
      <c r="C770" s="19">
        <f>IF($A770="","",Master_Data!B771)</f>
        <v/>
      </c>
      <c r="D770" s="19">
        <f>IF($A770="","",Master_Data!Q770)</f>
        <v/>
      </c>
      <c r="E770" s="19">
        <f>IF($A770="","",Master_Data!Q771)</f>
        <v/>
      </c>
      <c r="F770" s="19">
        <f>IF($A770="","",IF(AND(D770="GAS",E770="OIL"),"GOC",IF(AND(D770="OIL",E770="WATER"),"OWC",IF(AND(D770="GAS",E770="WATER"),"GWC",IF(AND(D770="OIL",E770="OIL_WATER"),"OWC_TRANSITION",IF(AND(D770="OIL_WATER",E770="WATER"),"OWC_TRANSITION",IF(AND(D770="GAS",E770="GAS_WATER"),"GOC_TRANSITION",IF(AND(D770="GAS_WATER",E770="OIL"),"GOC_TRANSITION",IF(OR(D770="OIL_WATER",D770="GAS_WATER"),"TRANSITION_INTERVAL","")))))))))</f>
        <v/>
      </c>
      <c r="G770" s="20">
        <f>IF(OR(F770="",Master_Data!R770="",Master_Data!S770=""),"",IF(RIGHT(F770,10)="TRANSITION",AVERAGE(Master_Data!R770:Master_Data!S770),AVERAGE(Master_Data!S770,Master_Data!R771)))</f>
        <v/>
      </c>
      <c r="H770" s="20">
        <f>IF(G770="","",MAX(Settings!$B$4,Settings!$B$5*AVERAGE(IF(Master_Data!O770&lt;&gt;"",Master_Data!O770,Master_Data!H770),IF(Master_Data!O771&lt;&gt;"",Master_Data!O771,Master_Data!H771))))</f>
        <v/>
      </c>
      <c r="I770" s="20">
        <f>IF(G770="","",G770-H770)</f>
        <v/>
      </c>
      <c r="J770" s="20">
        <f>IF(G770="","",G770+H770)</f>
        <v/>
      </c>
      <c r="K770" s="20">
        <f>IF($A770="","",Master_Data!G770)</f>
        <v/>
      </c>
      <c r="L770" s="20">
        <f>IF($A770="","",Master_Data!G771)</f>
        <v/>
      </c>
      <c r="M770" s="20">
        <f>IF(AND(ISNUMBER(K770),ISNUMBER(L770)),L770-K770,"")</f>
        <v/>
      </c>
      <c r="N770" s="19">
        <f>IF(G770="","",IF(AND(ISNUMBER(K770),ISNUMBER(L770)),IF(OR(F770="GOC",F770="OWC",F770="GWC",F770="OWC_TRANSITION",F770="GOC_TRANSITION"),IF(L770&gt;=K770,"Supports","Conflicts"),"N/A"),"No Sw"))</f>
        <v/>
      </c>
      <c r="O770" s="20">
        <f>IF(G770="","",Settings!$B$6*IF(OR(F770="GOC",F770="OWC",F770="GWC"),1,0.7)+Settings!$B$7*IF(N770="Supports",1,IF(N770="Conflicts",0,0.5))+Settings!$B$8*IF(AND(Master_Data!R770&lt;&gt;"",Master_Data!S770&lt;&gt;"",Master_Data!R771&lt;&gt;"",Master_Data!S771&lt;&gt;""),1,0.5))</f>
        <v/>
      </c>
      <c r="P770" s="19">
        <f>IF(G770="","",IF(N770="Conflicts","SW_CONFLICT",IF(OR(F770="GOC",F770="OWC",F770="GWC"),"DIRECT_FLUID_TRANSITION","TRANSITION_INTERVAL")))</f>
        <v/>
      </c>
      <c r="Q770" s="19">
        <f>IF(G770="","",IF(N770="Conflicts","Investigate contact interpretation / saturation behaviour",IF(OR(F770="OWC",F770="GOC",F770="GWC"),"Candidate contact — validate with logs, pressure and dynamic evidence","Transition zone — do not force to a sharp contact")))</f>
        <v/>
      </c>
    </row>
    <row r="771">
      <c r="A771" s="19">
        <f>IF(AND(Master_Data!A771&lt;&gt;"",Master_Data!A771=Master_Data!A772),Master_Data!A771,"")</f>
        <v/>
      </c>
      <c r="B771" s="19">
        <f>IF($A771="","",Master_Data!B771)</f>
        <v/>
      </c>
      <c r="C771" s="19">
        <f>IF($A771="","",Master_Data!B772)</f>
        <v/>
      </c>
      <c r="D771" s="19">
        <f>IF($A771="","",Master_Data!Q771)</f>
        <v/>
      </c>
      <c r="E771" s="19">
        <f>IF($A771="","",Master_Data!Q772)</f>
        <v/>
      </c>
      <c r="F771" s="19">
        <f>IF($A771="","",IF(AND(D771="GAS",E771="OIL"),"GOC",IF(AND(D771="OIL",E771="WATER"),"OWC",IF(AND(D771="GAS",E771="WATER"),"GWC",IF(AND(D771="OIL",E771="OIL_WATER"),"OWC_TRANSITION",IF(AND(D771="OIL_WATER",E771="WATER"),"OWC_TRANSITION",IF(AND(D771="GAS",E771="GAS_WATER"),"GOC_TRANSITION",IF(AND(D771="GAS_WATER",E771="OIL"),"GOC_TRANSITION",IF(OR(D771="OIL_WATER",D771="GAS_WATER"),"TRANSITION_INTERVAL","")))))))))</f>
        <v/>
      </c>
      <c r="G771" s="20">
        <f>IF(OR(F771="",Master_Data!R771="",Master_Data!S771=""),"",IF(RIGHT(F771,10)="TRANSITION",AVERAGE(Master_Data!R771:Master_Data!S771),AVERAGE(Master_Data!S771,Master_Data!R772)))</f>
        <v/>
      </c>
      <c r="H771" s="20">
        <f>IF(G771="","",MAX(Settings!$B$4,Settings!$B$5*AVERAGE(IF(Master_Data!O771&lt;&gt;"",Master_Data!O771,Master_Data!H771),IF(Master_Data!O772&lt;&gt;"",Master_Data!O772,Master_Data!H772))))</f>
        <v/>
      </c>
      <c r="I771" s="20">
        <f>IF(G771="","",G771-H771)</f>
        <v/>
      </c>
      <c r="J771" s="20">
        <f>IF(G771="","",G771+H771)</f>
        <v/>
      </c>
      <c r="K771" s="20">
        <f>IF($A771="","",Master_Data!G771)</f>
        <v/>
      </c>
      <c r="L771" s="20">
        <f>IF($A771="","",Master_Data!G772)</f>
        <v/>
      </c>
      <c r="M771" s="20">
        <f>IF(AND(ISNUMBER(K771),ISNUMBER(L771)),L771-K771,"")</f>
        <v/>
      </c>
      <c r="N771" s="19">
        <f>IF(G771="","",IF(AND(ISNUMBER(K771),ISNUMBER(L771)),IF(OR(F771="GOC",F771="OWC",F771="GWC",F771="OWC_TRANSITION",F771="GOC_TRANSITION"),IF(L771&gt;=K771,"Supports","Conflicts"),"N/A"),"No Sw"))</f>
        <v/>
      </c>
      <c r="O771" s="20">
        <f>IF(G771="","",Settings!$B$6*IF(OR(F771="GOC",F771="OWC",F771="GWC"),1,0.7)+Settings!$B$7*IF(N771="Supports",1,IF(N771="Conflicts",0,0.5))+Settings!$B$8*IF(AND(Master_Data!R771&lt;&gt;"",Master_Data!S771&lt;&gt;"",Master_Data!R772&lt;&gt;"",Master_Data!S772&lt;&gt;""),1,0.5))</f>
        <v/>
      </c>
      <c r="P771" s="19">
        <f>IF(G771="","",IF(N771="Conflicts","SW_CONFLICT",IF(OR(F771="GOC",F771="OWC",F771="GWC"),"DIRECT_FLUID_TRANSITION","TRANSITION_INTERVAL")))</f>
        <v/>
      </c>
      <c r="Q771" s="19">
        <f>IF(G771="","",IF(N771="Conflicts","Investigate contact interpretation / saturation behaviour",IF(OR(F771="OWC",F771="GOC",F771="GWC"),"Candidate contact — validate with logs, pressure and dynamic evidence","Transition zone — do not force to a sharp contact")))</f>
        <v/>
      </c>
    </row>
    <row r="772">
      <c r="A772" s="19">
        <f>IF(AND(Master_Data!A772&lt;&gt;"",Master_Data!A772=Master_Data!A773),Master_Data!A772,"")</f>
        <v/>
      </c>
      <c r="B772" s="19">
        <f>IF($A772="","",Master_Data!B772)</f>
        <v/>
      </c>
      <c r="C772" s="19">
        <f>IF($A772="","",Master_Data!B773)</f>
        <v/>
      </c>
      <c r="D772" s="19">
        <f>IF($A772="","",Master_Data!Q772)</f>
        <v/>
      </c>
      <c r="E772" s="19">
        <f>IF($A772="","",Master_Data!Q773)</f>
        <v/>
      </c>
      <c r="F772" s="19">
        <f>IF($A772="","",IF(AND(D772="GAS",E772="OIL"),"GOC",IF(AND(D772="OIL",E772="WATER"),"OWC",IF(AND(D772="GAS",E772="WATER"),"GWC",IF(AND(D772="OIL",E772="OIL_WATER"),"OWC_TRANSITION",IF(AND(D772="OIL_WATER",E772="WATER"),"OWC_TRANSITION",IF(AND(D772="GAS",E772="GAS_WATER"),"GOC_TRANSITION",IF(AND(D772="GAS_WATER",E772="OIL"),"GOC_TRANSITION",IF(OR(D772="OIL_WATER",D772="GAS_WATER"),"TRANSITION_INTERVAL","")))))))))</f>
        <v/>
      </c>
      <c r="G772" s="20">
        <f>IF(OR(F772="",Master_Data!R772="",Master_Data!S772=""),"",IF(RIGHT(F772,10)="TRANSITION",AVERAGE(Master_Data!R772:Master_Data!S772),AVERAGE(Master_Data!S772,Master_Data!R773)))</f>
        <v/>
      </c>
      <c r="H772" s="20">
        <f>IF(G772="","",MAX(Settings!$B$4,Settings!$B$5*AVERAGE(IF(Master_Data!O772&lt;&gt;"",Master_Data!O772,Master_Data!H772),IF(Master_Data!O773&lt;&gt;"",Master_Data!O773,Master_Data!H773))))</f>
        <v/>
      </c>
      <c r="I772" s="20">
        <f>IF(G772="","",G772-H772)</f>
        <v/>
      </c>
      <c r="J772" s="20">
        <f>IF(G772="","",G772+H772)</f>
        <v/>
      </c>
      <c r="K772" s="20">
        <f>IF($A772="","",Master_Data!G772)</f>
        <v/>
      </c>
      <c r="L772" s="20">
        <f>IF($A772="","",Master_Data!G773)</f>
        <v/>
      </c>
      <c r="M772" s="20">
        <f>IF(AND(ISNUMBER(K772),ISNUMBER(L772)),L772-K772,"")</f>
        <v/>
      </c>
      <c r="N772" s="19">
        <f>IF(G772="","",IF(AND(ISNUMBER(K772),ISNUMBER(L772)),IF(OR(F772="GOC",F772="OWC",F772="GWC",F772="OWC_TRANSITION",F772="GOC_TRANSITION"),IF(L772&gt;=K772,"Supports","Conflicts"),"N/A"),"No Sw"))</f>
        <v/>
      </c>
      <c r="O772" s="20">
        <f>IF(G772="","",Settings!$B$6*IF(OR(F772="GOC",F772="OWC",F772="GWC"),1,0.7)+Settings!$B$7*IF(N772="Supports",1,IF(N772="Conflicts",0,0.5))+Settings!$B$8*IF(AND(Master_Data!R772&lt;&gt;"",Master_Data!S772&lt;&gt;"",Master_Data!R773&lt;&gt;"",Master_Data!S773&lt;&gt;""),1,0.5))</f>
        <v/>
      </c>
      <c r="P772" s="19">
        <f>IF(G772="","",IF(N772="Conflicts","SW_CONFLICT",IF(OR(F772="GOC",F772="OWC",F772="GWC"),"DIRECT_FLUID_TRANSITION","TRANSITION_INTERVAL")))</f>
        <v/>
      </c>
      <c r="Q772" s="19">
        <f>IF(G772="","",IF(N772="Conflicts","Investigate contact interpretation / saturation behaviour",IF(OR(F772="OWC",F772="GOC",F772="GWC"),"Candidate contact — validate with logs, pressure and dynamic evidence","Transition zone — do not force to a sharp contact")))</f>
        <v/>
      </c>
    </row>
    <row r="773">
      <c r="A773" s="19">
        <f>IF(AND(Master_Data!A773&lt;&gt;"",Master_Data!A773=Master_Data!A774),Master_Data!A773,"")</f>
        <v/>
      </c>
      <c r="B773" s="19">
        <f>IF($A773="","",Master_Data!B773)</f>
        <v/>
      </c>
      <c r="C773" s="19">
        <f>IF($A773="","",Master_Data!B774)</f>
        <v/>
      </c>
      <c r="D773" s="19">
        <f>IF($A773="","",Master_Data!Q773)</f>
        <v/>
      </c>
      <c r="E773" s="19">
        <f>IF($A773="","",Master_Data!Q774)</f>
        <v/>
      </c>
      <c r="F773" s="19">
        <f>IF($A773="","",IF(AND(D773="GAS",E773="OIL"),"GOC",IF(AND(D773="OIL",E773="WATER"),"OWC",IF(AND(D773="GAS",E773="WATER"),"GWC",IF(AND(D773="OIL",E773="OIL_WATER"),"OWC_TRANSITION",IF(AND(D773="OIL_WATER",E773="WATER"),"OWC_TRANSITION",IF(AND(D773="GAS",E773="GAS_WATER"),"GOC_TRANSITION",IF(AND(D773="GAS_WATER",E773="OIL"),"GOC_TRANSITION",IF(OR(D773="OIL_WATER",D773="GAS_WATER"),"TRANSITION_INTERVAL","")))))))))</f>
        <v/>
      </c>
      <c r="G773" s="20">
        <f>IF(OR(F773="",Master_Data!R773="",Master_Data!S773=""),"",IF(RIGHT(F773,10)="TRANSITION",AVERAGE(Master_Data!R773:Master_Data!S773),AVERAGE(Master_Data!S773,Master_Data!R774)))</f>
        <v/>
      </c>
      <c r="H773" s="20">
        <f>IF(G773="","",MAX(Settings!$B$4,Settings!$B$5*AVERAGE(IF(Master_Data!O773&lt;&gt;"",Master_Data!O773,Master_Data!H773),IF(Master_Data!O774&lt;&gt;"",Master_Data!O774,Master_Data!H774))))</f>
        <v/>
      </c>
      <c r="I773" s="20">
        <f>IF(G773="","",G773-H773)</f>
        <v/>
      </c>
      <c r="J773" s="20">
        <f>IF(G773="","",G773+H773)</f>
        <v/>
      </c>
      <c r="K773" s="20">
        <f>IF($A773="","",Master_Data!G773)</f>
        <v/>
      </c>
      <c r="L773" s="20">
        <f>IF($A773="","",Master_Data!G774)</f>
        <v/>
      </c>
      <c r="M773" s="20">
        <f>IF(AND(ISNUMBER(K773),ISNUMBER(L773)),L773-K773,"")</f>
        <v/>
      </c>
      <c r="N773" s="19">
        <f>IF(G773="","",IF(AND(ISNUMBER(K773),ISNUMBER(L773)),IF(OR(F773="GOC",F773="OWC",F773="GWC",F773="OWC_TRANSITION",F773="GOC_TRANSITION"),IF(L773&gt;=K773,"Supports","Conflicts"),"N/A"),"No Sw"))</f>
        <v/>
      </c>
      <c r="O773" s="20">
        <f>IF(G773="","",Settings!$B$6*IF(OR(F773="GOC",F773="OWC",F773="GWC"),1,0.7)+Settings!$B$7*IF(N773="Supports",1,IF(N773="Conflicts",0,0.5))+Settings!$B$8*IF(AND(Master_Data!R773&lt;&gt;"",Master_Data!S773&lt;&gt;"",Master_Data!R774&lt;&gt;"",Master_Data!S774&lt;&gt;""),1,0.5))</f>
        <v/>
      </c>
      <c r="P773" s="19">
        <f>IF(G773="","",IF(N773="Conflicts","SW_CONFLICT",IF(OR(F773="GOC",F773="OWC",F773="GWC"),"DIRECT_FLUID_TRANSITION","TRANSITION_INTERVAL")))</f>
        <v/>
      </c>
      <c r="Q773" s="19">
        <f>IF(G773="","",IF(N773="Conflicts","Investigate contact interpretation / saturation behaviour",IF(OR(F773="OWC",F773="GOC",F773="GWC"),"Candidate contact — validate with logs, pressure and dynamic evidence","Transition zone — do not force to a sharp contact")))</f>
        <v/>
      </c>
    </row>
    <row r="774">
      <c r="A774" s="19">
        <f>IF(AND(Master_Data!A774&lt;&gt;"",Master_Data!A774=Master_Data!A775),Master_Data!A774,"")</f>
        <v/>
      </c>
      <c r="B774" s="19">
        <f>IF($A774="","",Master_Data!B774)</f>
        <v/>
      </c>
      <c r="C774" s="19">
        <f>IF($A774="","",Master_Data!B775)</f>
        <v/>
      </c>
      <c r="D774" s="19">
        <f>IF($A774="","",Master_Data!Q774)</f>
        <v/>
      </c>
      <c r="E774" s="19">
        <f>IF($A774="","",Master_Data!Q775)</f>
        <v/>
      </c>
      <c r="F774" s="19">
        <f>IF($A774="","",IF(AND(D774="GAS",E774="OIL"),"GOC",IF(AND(D774="OIL",E774="WATER"),"OWC",IF(AND(D774="GAS",E774="WATER"),"GWC",IF(AND(D774="OIL",E774="OIL_WATER"),"OWC_TRANSITION",IF(AND(D774="OIL_WATER",E774="WATER"),"OWC_TRANSITION",IF(AND(D774="GAS",E774="GAS_WATER"),"GOC_TRANSITION",IF(AND(D774="GAS_WATER",E774="OIL"),"GOC_TRANSITION",IF(OR(D774="OIL_WATER",D774="GAS_WATER"),"TRANSITION_INTERVAL","")))))))))</f>
        <v/>
      </c>
      <c r="G774" s="20">
        <f>IF(OR(F774="",Master_Data!R774="",Master_Data!S774=""),"",IF(RIGHT(F774,10)="TRANSITION",AVERAGE(Master_Data!R774:Master_Data!S774),AVERAGE(Master_Data!S774,Master_Data!R775)))</f>
        <v/>
      </c>
      <c r="H774" s="20">
        <f>IF(G774="","",MAX(Settings!$B$4,Settings!$B$5*AVERAGE(IF(Master_Data!O774&lt;&gt;"",Master_Data!O774,Master_Data!H774),IF(Master_Data!O775&lt;&gt;"",Master_Data!O775,Master_Data!H775))))</f>
        <v/>
      </c>
      <c r="I774" s="20">
        <f>IF(G774="","",G774-H774)</f>
        <v/>
      </c>
      <c r="J774" s="20">
        <f>IF(G774="","",G774+H774)</f>
        <v/>
      </c>
      <c r="K774" s="20">
        <f>IF($A774="","",Master_Data!G774)</f>
        <v/>
      </c>
      <c r="L774" s="20">
        <f>IF($A774="","",Master_Data!G775)</f>
        <v/>
      </c>
      <c r="M774" s="20">
        <f>IF(AND(ISNUMBER(K774),ISNUMBER(L774)),L774-K774,"")</f>
        <v/>
      </c>
      <c r="N774" s="19">
        <f>IF(G774="","",IF(AND(ISNUMBER(K774),ISNUMBER(L774)),IF(OR(F774="GOC",F774="OWC",F774="GWC",F774="OWC_TRANSITION",F774="GOC_TRANSITION"),IF(L774&gt;=K774,"Supports","Conflicts"),"N/A"),"No Sw"))</f>
        <v/>
      </c>
      <c r="O774" s="20">
        <f>IF(G774="","",Settings!$B$6*IF(OR(F774="GOC",F774="OWC",F774="GWC"),1,0.7)+Settings!$B$7*IF(N774="Supports",1,IF(N774="Conflicts",0,0.5))+Settings!$B$8*IF(AND(Master_Data!R774&lt;&gt;"",Master_Data!S774&lt;&gt;"",Master_Data!R775&lt;&gt;"",Master_Data!S775&lt;&gt;""),1,0.5))</f>
        <v/>
      </c>
      <c r="P774" s="19">
        <f>IF(G774="","",IF(N774="Conflicts","SW_CONFLICT",IF(OR(F774="GOC",F774="OWC",F774="GWC"),"DIRECT_FLUID_TRANSITION","TRANSITION_INTERVAL")))</f>
        <v/>
      </c>
      <c r="Q774" s="19">
        <f>IF(G774="","",IF(N774="Conflicts","Investigate contact interpretation / saturation behaviour",IF(OR(F774="OWC",F774="GOC",F774="GWC"),"Candidate contact — validate with logs, pressure and dynamic evidence","Transition zone — do not force to a sharp contact")))</f>
        <v/>
      </c>
    </row>
    <row r="775">
      <c r="A775" s="19">
        <f>IF(AND(Master_Data!A775&lt;&gt;"",Master_Data!A775=Master_Data!A776),Master_Data!A775,"")</f>
        <v/>
      </c>
      <c r="B775" s="19">
        <f>IF($A775="","",Master_Data!B775)</f>
        <v/>
      </c>
      <c r="C775" s="19">
        <f>IF($A775="","",Master_Data!B776)</f>
        <v/>
      </c>
      <c r="D775" s="19">
        <f>IF($A775="","",Master_Data!Q775)</f>
        <v/>
      </c>
      <c r="E775" s="19">
        <f>IF($A775="","",Master_Data!Q776)</f>
        <v/>
      </c>
      <c r="F775" s="19">
        <f>IF($A775="","",IF(AND(D775="GAS",E775="OIL"),"GOC",IF(AND(D775="OIL",E775="WATER"),"OWC",IF(AND(D775="GAS",E775="WATER"),"GWC",IF(AND(D775="OIL",E775="OIL_WATER"),"OWC_TRANSITION",IF(AND(D775="OIL_WATER",E775="WATER"),"OWC_TRANSITION",IF(AND(D775="GAS",E775="GAS_WATER"),"GOC_TRANSITION",IF(AND(D775="GAS_WATER",E775="OIL"),"GOC_TRANSITION",IF(OR(D775="OIL_WATER",D775="GAS_WATER"),"TRANSITION_INTERVAL","")))))))))</f>
        <v/>
      </c>
      <c r="G775" s="20">
        <f>IF(OR(F775="",Master_Data!R775="",Master_Data!S775=""),"",IF(RIGHT(F775,10)="TRANSITION",AVERAGE(Master_Data!R775:Master_Data!S775),AVERAGE(Master_Data!S775,Master_Data!R776)))</f>
        <v/>
      </c>
      <c r="H775" s="20">
        <f>IF(G775="","",MAX(Settings!$B$4,Settings!$B$5*AVERAGE(IF(Master_Data!O775&lt;&gt;"",Master_Data!O775,Master_Data!H775),IF(Master_Data!O776&lt;&gt;"",Master_Data!O776,Master_Data!H776))))</f>
        <v/>
      </c>
      <c r="I775" s="20">
        <f>IF(G775="","",G775-H775)</f>
        <v/>
      </c>
      <c r="J775" s="20">
        <f>IF(G775="","",G775+H775)</f>
        <v/>
      </c>
      <c r="K775" s="20">
        <f>IF($A775="","",Master_Data!G775)</f>
        <v/>
      </c>
      <c r="L775" s="20">
        <f>IF($A775="","",Master_Data!G776)</f>
        <v/>
      </c>
      <c r="M775" s="20">
        <f>IF(AND(ISNUMBER(K775),ISNUMBER(L775)),L775-K775,"")</f>
        <v/>
      </c>
      <c r="N775" s="19">
        <f>IF(G775="","",IF(AND(ISNUMBER(K775),ISNUMBER(L775)),IF(OR(F775="GOC",F775="OWC",F775="GWC",F775="OWC_TRANSITION",F775="GOC_TRANSITION"),IF(L775&gt;=K775,"Supports","Conflicts"),"N/A"),"No Sw"))</f>
        <v/>
      </c>
      <c r="O775" s="20">
        <f>IF(G775="","",Settings!$B$6*IF(OR(F775="GOC",F775="OWC",F775="GWC"),1,0.7)+Settings!$B$7*IF(N775="Supports",1,IF(N775="Conflicts",0,0.5))+Settings!$B$8*IF(AND(Master_Data!R775&lt;&gt;"",Master_Data!S775&lt;&gt;"",Master_Data!R776&lt;&gt;"",Master_Data!S776&lt;&gt;""),1,0.5))</f>
        <v/>
      </c>
      <c r="P775" s="19">
        <f>IF(G775="","",IF(N775="Conflicts","SW_CONFLICT",IF(OR(F775="GOC",F775="OWC",F775="GWC"),"DIRECT_FLUID_TRANSITION","TRANSITION_INTERVAL")))</f>
        <v/>
      </c>
      <c r="Q775" s="19">
        <f>IF(G775="","",IF(N775="Conflicts","Investigate contact interpretation / saturation behaviour",IF(OR(F775="OWC",F775="GOC",F775="GWC"),"Candidate contact — validate with logs, pressure and dynamic evidence","Transition zone — do not force to a sharp contact")))</f>
        <v/>
      </c>
    </row>
    <row r="776">
      <c r="A776" s="19">
        <f>IF(AND(Master_Data!A776&lt;&gt;"",Master_Data!A776=Master_Data!A777),Master_Data!A776,"")</f>
        <v/>
      </c>
      <c r="B776" s="19">
        <f>IF($A776="","",Master_Data!B776)</f>
        <v/>
      </c>
      <c r="C776" s="19">
        <f>IF($A776="","",Master_Data!B777)</f>
        <v/>
      </c>
      <c r="D776" s="19">
        <f>IF($A776="","",Master_Data!Q776)</f>
        <v/>
      </c>
      <c r="E776" s="19">
        <f>IF($A776="","",Master_Data!Q777)</f>
        <v/>
      </c>
      <c r="F776" s="19">
        <f>IF($A776="","",IF(AND(D776="GAS",E776="OIL"),"GOC",IF(AND(D776="OIL",E776="WATER"),"OWC",IF(AND(D776="GAS",E776="WATER"),"GWC",IF(AND(D776="OIL",E776="OIL_WATER"),"OWC_TRANSITION",IF(AND(D776="OIL_WATER",E776="WATER"),"OWC_TRANSITION",IF(AND(D776="GAS",E776="GAS_WATER"),"GOC_TRANSITION",IF(AND(D776="GAS_WATER",E776="OIL"),"GOC_TRANSITION",IF(OR(D776="OIL_WATER",D776="GAS_WATER"),"TRANSITION_INTERVAL","")))))))))</f>
        <v/>
      </c>
      <c r="G776" s="20">
        <f>IF(OR(F776="",Master_Data!R776="",Master_Data!S776=""),"",IF(RIGHT(F776,10)="TRANSITION",AVERAGE(Master_Data!R776:Master_Data!S776),AVERAGE(Master_Data!S776,Master_Data!R777)))</f>
        <v/>
      </c>
      <c r="H776" s="20">
        <f>IF(G776="","",MAX(Settings!$B$4,Settings!$B$5*AVERAGE(IF(Master_Data!O776&lt;&gt;"",Master_Data!O776,Master_Data!H776),IF(Master_Data!O777&lt;&gt;"",Master_Data!O777,Master_Data!H777))))</f>
        <v/>
      </c>
      <c r="I776" s="20">
        <f>IF(G776="","",G776-H776)</f>
        <v/>
      </c>
      <c r="J776" s="20">
        <f>IF(G776="","",G776+H776)</f>
        <v/>
      </c>
      <c r="K776" s="20">
        <f>IF($A776="","",Master_Data!G776)</f>
        <v/>
      </c>
      <c r="L776" s="20">
        <f>IF($A776="","",Master_Data!G777)</f>
        <v/>
      </c>
      <c r="M776" s="20">
        <f>IF(AND(ISNUMBER(K776),ISNUMBER(L776)),L776-K776,"")</f>
        <v/>
      </c>
      <c r="N776" s="19">
        <f>IF(G776="","",IF(AND(ISNUMBER(K776),ISNUMBER(L776)),IF(OR(F776="GOC",F776="OWC",F776="GWC",F776="OWC_TRANSITION",F776="GOC_TRANSITION"),IF(L776&gt;=K776,"Supports","Conflicts"),"N/A"),"No Sw"))</f>
        <v/>
      </c>
      <c r="O776" s="20">
        <f>IF(G776="","",Settings!$B$6*IF(OR(F776="GOC",F776="OWC",F776="GWC"),1,0.7)+Settings!$B$7*IF(N776="Supports",1,IF(N776="Conflicts",0,0.5))+Settings!$B$8*IF(AND(Master_Data!R776&lt;&gt;"",Master_Data!S776&lt;&gt;"",Master_Data!R777&lt;&gt;"",Master_Data!S777&lt;&gt;""),1,0.5))</f>
        <v/>
      </c>
      <c r="P776" s="19">
        <f>IF(G776="","",IF(N776="Conflicts","SW_CONFLICT",IF(OR(F776="GOC",F776="OWC",F776="GWC"),"DIRECT_FLUID_TRANSITION","TRANSITION_INTERVAL")))</f>
        <v/>
      </c>
      <c r="Q776" s="19">
        <f>IF(G776="","",IF(N776="Conflicts","Investigate contact interpretation / saturation behaviour",IF(OR(F776="OWC",F776="GOC",F776="GWC"),"Candidate contact — validate with logs, pressure and dynamic evidence","Transition zone — do not force to a sharp contact")))</f>
        <v/>
      </c>
    </row>
    <row r="777">
      <c r="A777" s="19">
        <f>IF(AND(Master_Data!A777&lt;&gt;"",Master_Data!A777=Master_Data!A778),Master_Data!A777,"")</f>
        <v/>
      </c>
      <c r="B777" s="19">
        <f>IF($A777="","",Master_Data!B777)</f>
        <v/>
      </c>
      <c r="C777" s="19">
        <f>IF($A777="","",Master_Data!B778)</f>
        <v/>
      </c>
      <c r="D777" s="19">
        <f>IF($A777="","",Master_Data!Q777)</f>
        <v/>
      </c>
      <c r="E777" s="19">
        <f>IF($A777="","",Master_Data!Q778)</f>
        <v/>
      </c>
      <c r="F777" s="19">
        <f>IF($A777="","",IF(AND(D777="GAS",E777="OIL"),"GOC",IF(AND(D777="OIL",E777="WATER"),"OWC",IF(AND(D777="GAS",E777="WATER"),"GWC",IF(AND(D777="OIL",E777="OIL_WATER"),"OWC_TRANSITION",IF(AND(D777="OIL_WATER",E777="WATER"),"OWC_TRANSITION",IF(AND(D777="GAS",E777="GAS_WATER"),"GOC_TRANSITION",IF(AND(D777="GAS_WATER",E777="OIL"),"GOC_TRANSITION",IF(OR(D777="OIL_WATER",D777="GAS_WATER"),"TRANSITION_INTERVAL","")))))))))</f>
        <v/>
      </c>
      <c r="G777" s="20">
        <f>IF(OR(F777="",Master_Data!R777="",Master_Data!S777=""),"",IF(RIGHT(F777,10)="TRANSITION",AVERAGE(Master_Data!R777:Master_Data!S777),AVERAGE(Master_Data!S777,Master_Data!R778)))</f>
        <v/>
      </c>
      <c r="H777" s="20">
        <f>IF(G777="","",MAX(Settings!$B$4,Settings!$B$5*AVERAGE(IF(Master_Data!O777&lt;&gt;"",Master_Data!O777,Master_Data!H777),IF(Master_Data!O778&lt;&gt;"",Master_Data!O778,Master_Data!H778))))</f>
        <v/>
      </c>
      <c r="I777" s="20">
        <f>IF(G777="","",G777-H777)</f>
        <v/>
      </c>
      <c r="J777" s="20">
        <f>IF(G777="","",G777+H777)</f>
        <v/>
      </c>
      <c r="K777" s="20">
        <f>IF($A777="","",Master_Data!G777)</f>
        <v/>
      </c>
      <c r="L777" s="20">
        <f>IF($A777="","",Master_Data!G778)</f>
        <v/>
      </c>
      <c r="M777" s="20">
        <f>IF(AND(ISNUMBER(K777),ISNUMBER(L777)),L777-K777,"")</f>
        <v/>
      </c>
      <c r="N777" s="19">
        <f>IF(G777="","",IF(AND(ISNUMBER(K777),ISNUMBER(L777)),IF(OR(F777="GOC",F777="OWC",F777="GWC",F777="OWC_TRANSITION",F777="GOC_TRANSITION"),IF(L777&gt;=K777,"Supports","Conflicts"),"N/A"),"No Sw"))</f>
        <v/>
      </c>
      <c r="O777" s="20">
        <f>IF(G777="","",Settings!$B$6*IF(OR(F777="GOC",F777="OWC",F777="GWC"),1,0.7)+Settings!$B$7*IF(N777="Supports",1,IF(N777="Conflicts",0,0.5))+Settings!$B$8*IF(AND(Master_Data!R777&lt;&gt;"",Master_Data!S777&lt;&gt;"",Master_Data!R778&lt;&gt;"",Master_Data!S778&lt;&gt;""),1,0.5))</f>
        <v/>
      </c>
      <c r="P777" s="19">
        <f>IF(G777="","",IF(N777="Conflicts","SW_CONFLICT",IF(OR(F777="GOC",F777="OWC",F777="GWC"),"DIRECT_FLUID_TRANSITION","TRANSITION_INTERVAL")))</f>
        <v/>
      </c>
      <c r="Q777" s="19">
        <f>IF(G777="","",IF(N777="Conflicts","Investigate contact interpretation / saturation behaviour",IF(OR(F777="OWC",F777="GOC",F777="GWC"),"Candidate contact — validate with logs, pressure and dynamic evidence","Transition zone — do not force to a sharp contact")))</f>
        <v/>
      </c>
    </row>
    <row r="778">
      <c r="A778" s="19">
        <f>IF(AND(Master_Data!A778&lt;&gt;"",Master_Data!A778=Master_Data!A779),Master_Data!A778,"")</f>
        <v/>
      </c>
      <c r="B778" s="19">
        <f>IF($A778="","",Master_Data!B778)</f>
        <v/>
      </c>
      <c r="C778" s="19">
        <f>IF($A778="","",Master_Data!B779)</f>
        <v/>
      </c>
      <c r="D778" s="19">
        <f>IF($A778="","",Master_Data!Q778)</f>
        <v/>
      </c>
      <c r="E778" s="19">
        <f>IF($A778="","",Master_Data!Q779)</f>
        <v/>
      </c>
      <c r="F778" s="19">
        <f>IF($A778="","",IF(AND(D778="GAS",E778="OIL"),"GOC",IF(AND(D778="OIL",E778="WATER"),"OWC",IF(AND(D778="GAS",E778="WATER"),"GWC",IF(AND(D778="OIL",E778="OIL_WATER"),"OWC_TRANSITION",IF(AND(D778="OIL_WATER",E778="WATER"),"OWC_TRANSITION",IF(AND(D778="GAS",E778="GAS_WATER"),"GOC_TRANSITION",IF(AND(D778="GAS_WATER",E778="OIL"),"GOC_TRANSITION",IF(OR(D778="OIL_WATER",D778="GAS_WATER"),"TRANSITION_INTERVAL","")))))))))</f>
        <v/>
      </c>
      <c r="G778" s="20">
        <f>IF(OR(F778="",Master_Data!R778="",Master_Data!S778=""),"",IF(RIGHT(F778,10)="TRANSITION",AVERAGE(Master_Data!R778:Master_Data!S778),AVERAGE(Master_Data!S778,Master_Data!R779)))</f>
        <v/>
      </c>
      <c r="H778" s="20">
        <f>IF(G778="","",MAX(Settings!$B$4,Settings!$B$5*AVERAGE(IF(Master_Data!O778&lt;&gt;"",Master_Data!O778,Master_Data!H778),IF(Master_Data!O779&lt;&gt;"",Master_Data!O779,Master_Data!H779))))</f>
        <v/>
      </c>
      <c r="I778" s="20">
        <f>IF(G778="","",G778-H778)</f>
        <v/>
      </c>
      <c r="J778" s="20">
        <f>IF(G778="","",G778+H778)</f>
        <v/>
      </c>
      <c r="K778" s="20">
        <f>IF($A778="","",Master_Data!G778)</f>
        <v/>
      </c>
      <c r="L778" s="20">
        <f>IF($A778="","",Master_Data!G779)</f>
        <v/>
      </c>
      <c r="M778" s="20">
        <f>IF(AND(ISNUMBER(K778),ISNUMBER(L778)),L778-K778,"")</f>
        <v/>
      </c>
      <c r="N778" s="19">
        <f>IF(G778="","",IF(AND(ISNUMBER(K778),ISNUMBER(L778)),IF(OR(F778="GOC",F778="OWC",F778="GWC",F778="OWC_TRANSITION",F778="GOC_TRANSITION"),IF(L778&gt;=K778,"Supports","Conflicts"),"N/A"),"No Sw"))</f>
        <v/>
      </c>
      <c r="O778" s="20">
        <f>IF(G778="","",Settings!$B$6*IF(OR(F778="GOC",F778="OWC",F778="GWC"),1,0.7)+Settings!$B$7*IF(N778="Supports",1,IF(N778="Conflicts",0,0.5))+Settings!$B$8*IF(AND(Master_Data!R778&lt;&gt;"",Master_Data!S778&lt;&gt;"",Master_Data!R779&lt;&gt;"",Master_Data!S779&lt;&gt;""),1,0.5))</f>
        <v/>
      </c>
      <c r="P778" s="19">
        <f>IF(G778="","",IF(N778="Conflicts","SW_CONFLICT",IF(OR(F778="GOC",F778="OWC",F778="GWC"),"DIRECT_FLUID_TRANSITION","TRANSITION_INTERVAL")))</f>
        <v/>
      </c>
      <c r="Q778" s="19">
        <f>IF(G778="","",IF(N778="Conflicts","Investigate contact interpretation / saturation behaviour",IF(OR(F778="OWC",F778="GOC",F778="GWC"),"Candidate contact — validate with logs, pressure and dynamic evidence","Transition zone — do not force to a sharp contact")))</f>
        <v/>
      </c>
    </row>
    <row r="779">
      <c r="A779" s="19">
        <f>IF(AND(Master_Data!A779&lt;&gt;"",Master_Data!A779=Master_Data!A780),Master_Data!A779,"")</f>
        <v/>
      </c>
      <c r="B779" s="19">
        <f>IF($A779="","",Master_Data!B779)</f>
        <v/>
      </c>
      <c r="C779" s="19">
        <f>IF($A779="","",Master_Data!B780)</f>
        <v/>
      </c>
      <c r="D779" s="19">
        <f>IF($A779="","",Master_Data!Q779)</f>
        <v/>
      </c>
      <c r="E779" s="19">
        <f>IF($A779="","",Master_Data!Q780)</f>
        <v/>
      </c>
      <c r="F779" s="19">
        <f>IF($A779="","",IF(AND(D779="GAS",E779="OIL"),"GOC",IF(AND(D779="OIL",E779="WATER"),"OWC",IF(AND(D779="GAS",E779="WATER"),"GWC",IF(AND(D779="OIL",E779="OIL_WATER"),"OWC_TRANSITION",IF(AND(D779="OIL_WATER",E779="WATER"),"OWC_TRANSITION",IF(AND(D779="GAS",E779="GAS_WATER"),"GOC_TRANSITION",IF(AND(D779="GAS_WATER",E779="OIL"),"GOC_TRANSITION",IF(OR(D779="OIL_WATER",D779="GAS_WATER"),"TRANSITION_INTERVAL","")))))))))</f>
        <v/>
      </c>
      <c r="G779" s="20">
        <f>IF(OR(F779="",Master_Data!R779="",Master_Data!S779=""),"",IF(RIGHT(F779,10)="TRANSITION",AVERAGE(Master_Data!R779:Master_Data!S779),AVERAGE(Master_Data!S779,Master_Data!R780)))</f>
        <v/>
      </c>
      <c r="H779" s="20">
        <f>IF(G779="","",MAX(Settings!$B$4,Settings!$B$5*AVERAGE(IF(Master_Data!O779&lt;&gt;"",Master_Data!O779,Master_Data!H779),IF(Master_Data!O780&lt;&gt;"",Master_Data!O780,Master_Data!H780))))</f>
        <v/>
      </c>
      <c r="I779" s="20">
        <f>IF(G779="","",G779-H779)</f>
        <v/>
      </c>
      <c r="J779" s="20">
        <f>IF(G779="","",G779+H779)</f>
        <v/>
      </c>
      <c r="K779" s="20">
        <f>IF($A779="","",Master_Data!G779)</f>
        <v/>
      </c>
      <c r="L779" s="20">
        <f>IF($A779="","",Master_Data!G780)</f>
        <v/>
      </c>
      <c r="M779" s="20">
        <f>IF(AND(ISNUMBER(K779),ISNUMBER(L779)),L779-K779,"")</f>
        <v/>
      </c>
      <c r="N779" s="19">
        <f>IF(G779="","",IF(AND(ISNUMBER(K779),ISNUMBER(L779)),IF(OR(F779="GOC",F779="OWC",F779="GWC",F779="OWC_TRANSITION",F779="GOC_TRANSITION"),IF(L779&gt;=K779,"Supports","Conflicts"),"N/A"),"No Sw"))</f>
        <v/>
      </c>
      <c r="O779" s="20">
        <f>IF(G779="","",Settings!$B$6*IF(OR(F779="GOC",F779="OWC",F779="GWC"),1,0.7)+Settings!$B$7*IF(N779="Supports",1,IF(N779="Conflicts",0,0.5))+Settings!$B$8*IF(AND(Master_Data!R779&lt;&gt;"",Master_Data!S779&lt;&gt;"",Master_Data!R780&lt;&gt;"",Master_Data!S780&lt;&gt;""),1,0.5))</f>
        <v/>
      </c>
      <c r="P779" s="19">
        <f>IF(G779="","",IF(N779="Conflicts","SW_CONFLICT",IF(OR(F779="GOC",F779="OWC",F779="GWC"),"DIRECT_FLUID_TRANSITION","TRANSITION_INTERVAL")))</f>
        <v/>
      </c>
      <c r="Q779" s="19">
        <f>IF(G779="","",IF(N779="Conflicts","Investigate contact interpretation / saturation behaviour",IF(OR(F779="OWC",F779="GOC",F779="GWC"),"Candidate contact — validate with logs, pressure and dynamic evidence","Transition zone — do not force to a sharp contact")))</f>
        <v/>
      </c>
    </row>
    <row r="780">
      <c r="A780" s="19">
        <f>IF(AND(Master_Data!A780&lt;&gt;"",Master_Data!A780=Master_Data!A781),Master_Data!A780,"")</f>
        <v/>
      </c>
      <c r="B780" s="19">
        <f>IF($A780="","",Master_Data!B780)</f>
        <v/>
      </c>
      <c r="C780" s="19">
        <f>IF($A780="","",Master_Data!B781)</f>
        <v/>
      </c>
      <c r="D780" s="19">
        <f>IF($A780="","",Master_Data!Q780)</f>
        <v/>
      </c>
      <c r="E780" s="19">
        <f>IF($A780="","",Master_Data!Q781)</f>
        <v/>
      </c>
      <c r="F780" s="19">
        <f>IF($A780="","",IF(AND(D780="GAS",E780="OIL"),"GOC",IF(AND(D780="OIL",E780="WATER"),"OWC",IF(AND(D780="GAS",E780="WATER"),"GWC",IF(AND(D780="OIL",E780="OIL_WATER"),"OWC_TRANSITION",IF(AND(D780="OIL_WATER",E780="WATER"),"OWC_TRANSITION",IF(AND(D780="GAS",E780="GAS_WATER"),"GOC_TRANSITION",IF(AND(D780="GAS_WATER",E780="OIL"),"GOC_TRANSITION",IF(OR(D780="OIL_WATER",D780="GAS_WATER"),"TRANSITION_INTERVAL","")))))))))</f>
        <v/>
      </c>
      <c r="G780" s="20">
        <f>IF(OR(F780="",Master_Data!R780="",Master_Data!S780=""),"",IF(RIGHT(F780,10)="TRANSITION",AVERAGE(Master_Data!R780:Master_Data!S780),AVERAGE(Master_Data!S780,Master_Data!R781)))</f>
        <v/>
      </c>
      <c r="H780" s="20">
        <f>IF(G780="","",MAX(Settings!$B$4,Settings!$B$5*AVERAGE(IF(Master_Data!O780&lt;&gt;"",Master_Data!O780,Master_Data!H780),IF(Master_Data!O781&lt;&gt;"",Master_Data!O781,Master_Data!H781))))</f>
        <v/>
      </c>
      <c r="I780" s="20">
        <f>IF(G780="","",G780-H780)</f>
        <v/>
      </c>
      <c r="J780" s="20">
        <f>IF(G780="","",G780+H780)</f>
        <v/>
      </c>
      <c r="K780" s="20">
        <f>IF($A780="","",Master_Data!G780)</f>
        <v/>
      </c>
      <c r="L780" s="20">
        <f>IF($A780="","",Master_Data!G781)</f>
        <v/>
      </c>
      <c r="M780" s="20">
        <f>IF(AND(ISNUMBER(K780),ISNUMBER(L780)),L780-K780,"")</f>
        <v/>
      </c>
      <c r="N780" s="19">
        <f>IF(G780="","",IF(AND(ISNUMBER(K780),ISNUMBER(L780)),IF(OR(F780="GOC",F780="OWC",F780="GWC",F780="OWC_TRANSITION",F780="GOC_TRANSITION"),IF(L780&gt;=K780,"Supports","Conflicts"),"N/A"),"No Sw"))</f>
        <v/>
      </c>
      <c r="O780" s="20">
        <f>IF(G780="","",Settings!$B$6*IF(OR(F780="GOC",F780="OWC",F780="GWC"),1,0.7)+Settings!$B$7*IF(N780="Supports",1,IF(N780="Conflicts",0,0.5))+Settings!$B$8*IF(AND(Master_Data!R780&lt;&gt;"",Master_Data!S780&lt;&gt;"",Master_Data!R781&lt;&gt;"",Master_Data!S781&lt;&gt;""),1,0.5))</f>
        <v/>
      </c>
      <c r="P780" s="19">
        <f>IF(G780="","",IF(N780="Conflicts","SW_CONFLICT",IF(OR(F780="GOC",F780="OWC",F780="GWC"),"DIRECT_FLUID_TRANSITION","TRANSITION_INTERVAL")))</f>
        <v/>
      </c>
      <c r="Q780" s="19">
        <f>IF(G780="","",IF(N780="Conflicts","Investigate contact interpretation / saturation behaviour",IF(OR(F780="OWC",F780="GOC",F780="GWC"),"Candidate contact — validate with logs, pressure and dynamic evidence","Transition zone — do not force to a sharp contact")))</f>
        <v/>
      </c>
    </row>
    <row r="781">
      <c r="A781" s="19">
        <f>IF(AND(Master_Data!A781&lt;&gt;"",Master_Data!A781=Master_Data!A782),Master_Data!A781,"")</f>
        <v/>
      </c>
      <c r="B781" s="19">
        <f>IF($A781="","",Master_Data!B781)</f>
        <v/>
      </c>
      <c r="C781" s="19">
        <f>IF($A781="","",Master_Data!B782)</f>
        <v/>
      </c>
      <c r="D781" s="19">
        <f>IF($A781="","",Master_Data!Q781)</f>
        <v/>
      </c>
      <c r="E781" s="19">
        <f>IF($A781="","",Master_Data!Q782)</f>
        <v/>
      </c>
      <c r="F781" s="19">
        <f>IF($A781="","",IF(AND(D781="GAS",E781="OIL"),"GOC",IF(AND(D781="OIL",E781="WATER"),"OWC",IF(AND(D781="GAS",E781="WATER"),"GWC",IF(AND(D781="OIL",E781="OIL_WATER"),"OWC_TRANSITION",IF(AND(D781="OIL_WATER",E781="WATER"),"OWC_TRANSITION",IF(AND(D781="GAS",E781="GAS_WATER"),"GOC_TRANSITION",IF(AND(D781="GAS_WATER",E781="OIL"),"GOC_TRANSITION",IF(OR(D781="OIL_WATER",D781="GAS_WATER"),"TRANSITION_INTERVAL","")))))))))</f>
        <v/>
      </c>
      <c r="G781" s="20">
        <f>IF(OR(F781="",Master_Data!R781="",Master_Data!S781=""),"",IF(RIGHT(F781,10)="TRANSITION",AVERAGE(Master_Data!R781:Master_Data!S781),AVERAGE(Master_Data!S781,Master_Data!R782)))</f>
        <v/>
      </c>
      <c r="H781" s="20">
        <f>IF(G781="","",MAX(Settings!$B$4,Settings!$B$5*AVERAGE(IF(Master_Data!O781&lt;&gt;"",Master_Data!O781,Master_Data!H781),IF(Master_Data!O782&lt;&gt;"",Master_Data!O782,Master_Data!H782))))</f>
        <v/>
      </c>
      <c r="I781" s="20">
        <f>IF(G781="","",G781-H781)</f>
        <v/>
      </c>
      <c r="J781" s="20">
        <f>IF(G781="","",G781+H781)</f>
        <v/>
      </c>
      <c r="K781" s="20">
        <f>IF($A781="","",Master_Data!G781)</f>
        <v/>
      </c>
      <c r="L781" s="20">
        <f>IF($A781="","",Master_Data!G782)</f>
        <v/>
      </c>
      <c r="M781" s="20">
        <f>IF(AND(ISNUMBER(K781),ISNUMBER(L781)),L781-K781,"")</f>
        <v/>
      </c>
      <c r="N781" s="19">
        <f>IF(G781="","",IF(AND(ISNUMBER(K781),ISNUMBER(L781)),IF(OR(F781="GOC",F781="OWC",F781="GWC",F781="OWC_TRANSITION",F781="GOC_TRANSITION"),IF(L781&gt;=K781,"Supports","Conflicts"),"N/A"),"No Sw"))</f>
        <v/>
      </c>
      <c r="O781" s="20">
        <f>IF(G781="","",Settings!$B$6*IF(OR(F781="GOC",F781="OWC",F781="GWC"),1,0.7)+Settings!$B$7*IF(N781="Supports",1,IF(N781="Conflicts",0,0.5))+Settings!$B$8*IF(AND(Master_Data!R781&lt;&gt;"",Master_Data!S781&lt;&gt;"",Master_Data!R782&lt;&gt;"",Master_Data!S782&lt;&gt;""),1,0.5))</f>
        <v/>
      </c>
      <c r="P781" s="19">
        <f>IF(G781="","",IF(N781="Conflicts","SW_CONFLICT",IF(OR(F781="GOC",F781="OWC",F781="GWC"),"DIRECT_FLUID_TRANSITION","TRANSITION_INTERVAL")))</f>
        <v/>
      </c>
      <c r="Q781" s="19">
        <f>IF(G781="","",IF(N781="Conflicts","Investigate contact interpretation / saturation behaviour",IF(OR(F781="OWC",F781="GOC",F781="GWC"),"Candidate contact — validate with logs, pressure and dynamic evidence","Transition zone — do not force to a sharp contact")))</f>
        <v/>
      </c>
    </row>
    <row r="782">
      <c r="A782" s="19">
        <f>IF(AND(Master_Data!A782&lt;&gt;"",Master_Data!A782=Master_Data!A783),Master_Data!A782,"")</f>
        <v/>
      </c>
      <c r="B782" s="19">
        <f>IF($A782="","",Master_Data!B782)</f>
        <v/>
      </c>
      <c r="C782" s="19">
        <f>IF($A782="","",Master_Data!B783)</f>
        <v/>
      </c>
      <c r="D782" s="19">
        <f>IF($A782="","",Master_Data!Q782)</f>
        <v/>
      </c>
      <c r="E782" s="19">
        <f>IF($A782="","",Master_Data!Q783)</f>
        <v/>
      </c>
      <c r="F782" s="19">
        <f>IF($A782="","",IF(AND(D782="GAS",E782="OIL"),"GOC",IF(AND(D782="OIL",E782="WATER"),"OWC",IF(AND(D782="GAS",E782="WATER"),"GWC",IF(AND(D782="OIL",E782="OIL_WATER"),"OWC_TRANSITION",IF(AND(D782="OIL_WATER",E782="WATER"),"OWC_TRANSITION",IF(AND(D782="GAS",E782="GAS_WATER"),"GOC_TRANSITION",IF(AND(D782="GAS_WATER",E782="OIL"),"GOC_TRANSITION",IF(OR(D782="OIL_WATER",D782="GAS_WATER"),"TRANSITION_INTERVAL","")))))))))</f>
        <v/>
      </c>
      <c r="G782" s="20">
        <f>IF(OR(F782="",Master_Data!R782="",Master_Data!S782=""),"",IF(RIGHT(F782,10)="TRANSITION",AVERAGE(Master_Data!R782:Master_Data!S782),AVERAGE(Master_Data!S782,Master_Data!R783)))</f>
        <v/>
      </c>
      <c r="H782" s="20">
        <f>IF(G782="","",MAX(Settings!$B$4,Settings!$B$5*AVERAGE(IF(Master_Data!O782&lt;&gt;"",Master_Data!O782,Master_Data!H782),IF(Master_Data!O783&lt;&gt;"",Master_Data!O783,Master_Data!H783))))</f>
        <v/>
      </c>
      <c r="I782" s="20">
        <f>IF(G782="","",G782-H782)</f>
        <v/>
      </c>
      <c r="J782" s="20">
        <f>IF(G782="","",G782+H782)</f>
        <v/>
      </c>
      <c r="K782" s="20">
        <f>IF($A782="","",Master_Data!G782)</f>
        <v/>
      </c>
      <c r="L782" s="20">
        <f>IF($A782="","",Master_Data!G783)</f>
        <v/>
      </c>
      <c r="M782" s="20">
        <f>IF(AND(ISNUMBER(K782),ISNUMBER(L782)),L782-K782,"")</f>
        <v/>
      </c>
      <c r="N782" s="19">
        <f>IF(G782="","",IF(AND(ISNUMBER(K782),ISNUMBER(L782)),IF(OR(F782="GOC",F782="OWC",F782="GWC",F782="OWC_TRANSITION",F782="GOC_TRANSITION"),IF(L782&gt;=K782,"Supports","Conflicts"),"N/A"),"No Sw"))</f>
        <v/>
      </c>
      <c r="O782" s="20">
        <f>IF(G782="","",Settings!$B$6*IF(OR(F782="GOC",F782="OWC",F782="GWC"),1,0.7)+Settings!$B$7*IF(N782="Supports",1,IF(N782="Conflicts",0,0.5))+Settings!$B$8*IF(AND(Master_Data!R782&lt;&gt;"",Master_Data!S782&lt;&gt;"",Master_Data!R783&lt;&gt;"",Master_Data!S783&lt;&gt;""),1,0.5))</f>
        <v/>
      </c>
      <c r="P782" s="19">
        <f>IF(G782="","",IF(N782="Conflicts","SW_CONFLICT",IF(OR(F782="GOC",F782="OWC",F782="GWC"),"DIRECT_FLUID_TRANSITION","TRANSITION_INTERVAL")))</f>
        <v/>
      </c>
      <c r="Q782" s="19">
        <f>IF(G782="","",IF(N782="Conflicts","Investigate contact interpretation / saturation behaviour",IF(OR(F782="OWC",F782="GOC",F782="GWC"),"Candidate contact — validate with logs, pressure and dynamic evidence","Transition zone — do not force to a sharp contact")))</f>
        <v/>
      </c>
    </row>
    <row r="783">
      <c r="A783" s="19">
        <f>IF(AND(Master_Data!A783&lt;&gt;"",Master_Data!A783=Master_Data!A784),Master_Data!A783,"")</f>
        <v/>
      </c>
      <c r="B783" s="19">
        <f>IF($A783="","",Master_Data!B783)</f>
        <v/>
      </c>
      <c r="C783" s="19">
        <f>IF($A783="","",Master_Data!B784)</f>
        <v/>
      </c>
      <c r="D783" s="19">
        <f>IF($A783="","",Master_Data!Q783)</f>
        <v/>
      </c>
      <c r="E783" s="19">
        <f>IF($A783="","",Master_Data!Q784)</f>
        <v/>
      </c>
      <c r="F783" s="19">
        <f>IF($A783="","",IF(AND(D783="GAS",E783="OIL"),"GOC",IF(AND(D783="OIL",E783="WATER"),"OWC",IF(AND(D783="GAS",E783="WATER"),"GWC",IF(AND(D783="OIL",E783="OIL_WATER"),"OWC_TRANSITION",IF(AND(D783="OIL_WATER",E783="WATER"),"OWC_TRANSITION",IF(AND(D783="GAS",E783="GAS_WATER"),"GOC_TRANSITION",IF(AND(D783="GAS_WATER",E783="OIL"),"GOC_TRANSITION",IF(OR(D783="OIL_WATER",D783="GAS_WATER"),"TRANSITION_INTERVAL","")))))))))</f>
        <v/>
      </c>
      <c r="G783" s="20">
        <f>IF(OR(F783="",Master_Data!R783="",Master_Data!S783=""),"",IF(RIGHT(F783,10)="TRANSITION",AVERAGE(Master_Data!R783:Master_Data!S783),AVERAGE(Master_Data!S783,Master_Data!R784)))</f>
        <v/>
      </c>
      <c r="H783" s="20">
        <f>IF(G783="","",MAX(Settings!$B$4,Settings!$B$5*AVERAGE(IF(Master_Data!O783&lt;&gt;"",Master_Data!O783,Master_Data!H783),IF(Master_Data!O784&lt;&gt;"",Master_Data!O784,Master_Data!H784))))</f>
        <v/>
      </c>
      <c r="I783" s="20">
        <f>IF(G783="","",G783-H783)</f>
        <v/>
      </c>
      <c r="J783" s="20">
        <f>IF(G783="","",G783+H783)</f>
        <v/>
      </c>
      <c r="K783" s="20">
        <f>IF($A783="","",Master_Data!G783)</f>
        <v/>
      </c>
      <c r="L783" s="20">
        <f>IF($A783="","",Master_Data!G784)</f>
        <v/>
      </c>
      <c r="M783" s="20">
        <f>IF(AND(ISNUMBER(K783),ISNUMBER(L783)),L783-K783,"")</f>
        <v/>
      </c>
      <c r="N783" s="19">
        <f>IF(G783="","",IF(AND(ISNUMBER(K783),ISNUMBER(L783)),IF(OR(F783="GOC",F783="OWC",F783="GWC",F783="OWC_TRANSITION",F783="GOC_TRANSITION"),IF(L783&gt;=K783,"Supports","Conflicts"),"N/A"),"No Sw"))</f>
        <v/>
      </c>
      <c r="O783" s="20">
        <f>IF(G783="","",Settings!$B$6*IF(OR(F783="GOC",F783="OWC",F783="GWC"),1,0.7)+Settings!$B$7*IF(N783="Supports",1,IF(N783="Conflicts",0,0.5))+Settings!$B$8*IF(AND(Master_Data!R783&lt;&gt;"",Master_Data!S783&lt;&gt;"",Master_Data!R784&lt;&gt;"",Master_Data!S784&lt;&gt;""),1,0.5))</f>
        <v/>
      </c>
      <c r="P783" s="19">
        <f>IF(G783="","",IF(N783="Conflicts","SW_CONFLICT",IF(OR(F783="GOC",F783="OWC",F783="GWC"),"DIRECT_FLUID_TRANSITION","TRANSITION_INTERVAL")))</f>
        <v/>
      </c>
      <c r="Q783" s="19">
        <f>IF(G783="","",IF(N783="Conflicts","Investigate contact interpretation / saturation behaviour",IF(OR(F783="OWC",F783="GOC",F783="GWC"),"Candidate contact — validate with logs, pressure and dynamic evidence","Transition zone — do not force to a sharp contact")))</f>
        <v/>
      </c>
    </row>
    <row r="784">
      <c r="A784" s="19">
        <f>IF(AND(Master_Data!A784&lt;&gt;"",Master_Data!A784=Master_Data!A785),Master_Data!A784,"")</f>
        <v/>
      </c>
      <c r="B784" s="19">
        <f>IF($A784="","",Master_Data!B784)</f>
        <v/>
      </c>
      <c r="C784" s="19">
        <f>IF($A784="","",Master_Data!B785)</f>
        <v/>
      </c>
      <c r="D784" s="19">
        <f>IF($A784="","",Master_Data!Q784)</f>
        <v/>
      </c>
      <c r="E784" s="19">
        <f>IF($A784="","",Master_Data!Q785)</f>
        <v/>
      </c>
      <c r="F784" s="19">
        <f>IF($A784="","",IF(AND(D784="GAS",E784="OIL"),"GOC",IF(AND(D784="OIL",E784="WATER"),"OWC",IF(AND(D784="GAS",E784="WATER"),"GWC",IF(AND(D784="OIL",E784="OIL_WATER"),"OWC_TRANSITION",IF(AND(D784="OIL_WATER",E784="WATER"),"OWC_TRANSITION",IF(AND(D784="GAS",E784="GAS_WATER"),"GOC_TRANSITION",IF(AND(D784="GAS_WATER",E784="OIL"),"GOC_TRANSITION",IF(OR(D784="OIL_WATER",D784="GAS_WATER"),"TRANSITION_INTERVAL","")))))))))</f>
        <v/>
      </c>
      <c r="G784" s="20">
        <f>IF(OR(F784="",Master_Data!R784="",Master_Data!S784=""),"",IF(RIGHT(F784,10)="TRANSITION",AVERAGE(Master_Data!R784:Master_Data!S784),AVERAGE(Master_Data!S784,Master_Data!R785)))</f>
        <v/>
      </c>
      <c r="H784" s="20">
        <f>IF(G784="","",MAX(Settings!$B$4,Settings!$B$5*AVERAGE(IF(Master_Data!O784&lt;&gt;"",Master_Data!O784,Master_Data!H784),IF(Master_Data!O785&lt;&gt;"",Master_Data!O785,Master_Data!H785))))</f>
        <v/>
      </c>
      <c r="I784" s="20">
        <f>IF(G784="","",G784-H784)</f>
        <v/>
      </c>
      <c r="J784" s="20">
        <f>IF(G784="","",G784+H784)</f>
        <v/>
      </c>
      <c r="K784" s="20">
        <f>IF($A784="","",Master_Data!G784)</f>
        <v/>
      </c>
      <c r="L784" s="20">
        <f>IF($A784="","",Master_Data!G785)</f>
        <v/>
      </c>
      <c r="M784" s="20">
        <f>IF(AND(ISNUMBER(K784),ISNUMBER(L784)),L784-K784,"")</f>
        <v/>
      </c>
      <c r="N784" s="19">
        <f>IF(G784="","",IF(AND(ISNUMBER(K784),ISNUMBER(L784)),IF(OR(F784="GOC",F784="OWC",F784="GWC",F784="OWC_TRANSITION",F784="GOC_TRANSITION"),IF(L784&gt;=K784,"Supports","Conflicts"),"N/A"),"No Sw"))</f>
        <v/>
      </c>
      <c r="O784" s="20">
        <f>IF(G784="","",Settings!$B$6*IF(OR(F784="GOC",F784="OWC",F784="GWC"),1,0.7)+Settings!$B$7*IF(N784="Supports",1,IF(N784="Conflicts",0,0.5))+Settings!$B$8*IF(AND(Master_Data!R784&lt;&gt;"",Master_Data!S784&lt;&gt;"",Master_Data!R785&lt;&gt;"",Master_Data!S785&lt;&gt;""),1,0.5))</f>
        <v/>
      </c>
      <c r="P784" s="19">
        <f>IF(G784="","",IF(N784="Conflicts","SW_CONFLICT",IF(OR(F784="GOC",F784="OWC",F784="GWC"),"DIRECT_FLUID_TRANSITION","TRANSITION_INTERVAL")))</f>
        <v/>
      </c>
      <c r="Q784" s="19">
        <f>IF(G784="","",IF(N784="Conflicts","Investigate contact interpretation / saturation behaviour",IF(OR(F784="OWC",F784="GOC",F784="GWC"),"Candidate contact — validate with logs, pressure and dynamic evidence","Transition zone — do not force to a sharp contact")))</f>
        <v/>
      </c>
    </row>
    <row r="785">
      <c r="A785" s="19">
        <f>IF(AND(Master_Data!A785&lt;&gt;"",Master_Data!A785=Master_Data!A786),Master_Data!A785,"")</f>
        <v/>
      </c>
      <c r="B785" s="19">
        <f>IF($A785="","",Master_Data!B785)</f>
        <v/>
      </c>
      <c r="C785" s="19">
        <f>IF($A785="","",Master_Data!B786)</f>
        <v/>
      </c>
      <c r="D785" s="19">
        <f>IF($A785="","",Master_Data!Q785)</f>
        <v/>
      </c>
      <c r="E785" s="19">
        <f>IF($A785="","",Master_Data!Q786)</f>
        <v/>
      </c>
      <c r="F785" s="19">
        <f>IF($A785="","",IF(AND(D785="GAS",E785="OIL"),"GOC",IF(AND(D785="OIL",E785="WATER"),"OWC",IF(AND(D785="GAS",E785="WATER"),"GWC",IF(AND(D785="OIL",E785="OIL_WATER"),"OWC_TRANSITION",IF(AND(D785="OIL_WATER",E785="WATER"),"OWC_TRANSITION",IF(AND(D785="GAS",E785="GAS_WATER"),"GOC_TRANSITION",IF(AND(D785="GAS_WATER",E785="OIL"),"GOC_TRANSITION",IF(OR(D785="OIL_WATER",D785="GAS_WATER"),"TRANSITION_INTERVAL","")))))))))</f>
        <v/>
      </c>
      <c r="G785" s="20">
        <f>IF(OR(F785="",Master_Data!R785="",Master_Data!S785=""),"",IF(RIGHT(F785,10)="TRANSITION",AVERAGE(Master_Data!R785:Master_Data!S785),AVERAGE(Master_Data!S785,Master_Data!R786)))</f>
        <v/>
      </c>
      <c r="H785" s="20">
        <f>IF(G785="","",MAX(Settings!$B$4,Settings!$B$5*AVERAGE(IF(Master_Data!O785&lt;&gt;"",Master_Data!O785,Master_Data!H785),IF(Master_Data!O786&lt;&gt;"",Master_Data!O786,Master_Data!H786))))</f>
        <v/>
      </c>
      <c r="I785" s="20">
        <f>IF(G785="","",G785-H785)</f>
        <v/>
      </c>
      <c r="J785" s="20">
        <f>IF(G785="","",G785+H785)</f>
        <v/>
      </c>
      <c r="K785" s="20">
        <f>IF($A785="","",Master_Data!G785)</f>
        <v/>
      </c>
      <c r="L785" s="20">
        <f>IF($A785="","",Master_Data!G786)</f>
        <v/>
      </c>
      <c r="M785" s="20">
        <f>IF(AND(ISNUMBER(K785),ISNUMBER(L785)),L785-K785,"")</f>
        <v/>
      </c>
      <c r="N785" s="19">
        <f>IF(G785="","",IF(AND(ISNUMBER(K785),ISNUMBER(L785)),IF(OR(F785="GOC",F785="OWC",F785="GWC",F785="OWC_TRANSITION",F785="GOC_TRANSITION"),IF(L785&gt;=K785,"Supports","Conflicts"),"N/A"),"No Sw"))</f>
        <v/>
      </c>
      <c r="O785" s="20">
        <f>IF(G785="","",Settings!$B$6*IF(OR(F785="GOC",F785="OWC",F785="GWC"),1,0.7)+Settings!$B$7*IF(N785="Supports",1,IF(N785="Conflicts",0,0.5))+Settings!$B$8*IF(AND(Master_Data!R785&lt;&gt;"",Master_Data!S785&lt;&gt;"",Master_Data!R786&lt;&gt;"",Master_Data!S786&lt;&gt;""),1,0.5))</f>
        <v/>
      </c>
      <c r="P785" s="19">
        <f>IF(G785="","",IF(N785="Conflicts","SW_CONFLICT",IF(OR(F785="GOC",F785="OWC",F785="GWC"),"DIRECT_FLUID_TRANSITION","TRANSITION_INTERVAL")))</f>
        <v/>
      </c>
      <c r="Q785" s="19">
        <f>IF(G785="","",IF(N785="Conflicts","Investigate contact interpretation / saturation behaviour",IF(OR(F785="OWC",F785="GOC",F785="GWC"),"Candidate contact — validate with logs, pressure and dynamic evidence","Transition zone — do not force to a sharp contact")))</f>
        <v/>
      </c>
    </row>
    <row r="786">
      <c r="A786" s="19">
        <f>IF(AND(Master_Data!A786&lt;&gt;"",Master_Data!A786=Master_Data!A787),Master_Data!A786,"")</f>
        <v/>
      </c>
      <c r="B786" s="19">
        <f>IF($A786="","",Master_Data!B786)</f>
        <v/>
      </c>
      <c r="C786" s="19">
        <f>IF($A786="","",Master_Data!B787)</f>
        <v/>
      </c>
      <c r="D786" s="19">
        <f>IF($A786="","",Master_Data!Q786)</f>
        <v/>
      </c>
      <c r="E786" s="19">
        <f>IF($A786="","",Master_Data!Q787)</f>
        <v/>
      </c>
      <c r="F786" s="19">
        <f>IF($A786="","",IF(AND(D786="GAS",E786="OIL"),"GOC",IF(AND(D786="OIL",E786="WATER"),"OWC",IF(AND(D786="GAS",E786="WATER"),"GWC",IF(AND(D786="OIL",E786="OIL_WATER"),"OWC_TRANSITION",IF(AND(D786="OIL_WATER",E786="WATER"),"OWC_TRANSITION",IF(AND(D786="GAS",E786="GAS_WATER"),"GOC_TRANSITION",IF(AND(D786="GAS_WATER",E786="OIL"),"GOC_TRANSITION",IF(OR(D786="OIL_WATER",D786="GAS_WATER"),"TRANSITION_INTERVAL","")))))))))</f>
        <v/>
      </c>
      <c r="G786" s="20">
        <f>IF(OR(F786="",Master_Data!R786="",Master_Data!S786=""),"",IF(RIGHT(F786,10)="TRANSITION",AVERAGE(Master_Data!R786:Master_Data!S786),AVERAGE(Master_Data!S786,Master_Data!R787)))</f>
        <v/>
      </c>
      <c r="H786" s="20">
        <f>IF(G786="","",MAX(Settings!$B$4,Settings!$B$5*AVERAGE(IF(Master_Data!O786&lt;&gt;"",Master_Data!O786,Master_Data!H786),IF(Master_Data!O787&lt;&gt;"",Master_Data!O787,Master_Data!H787))))</f>
        <v/>
      </c>
      <c r="I786" s="20">
        <f>IF(G786="","",G786-H786)</f>
        <v/>
      </c>
      <c r="J786" s="20">
        <f>IF(G786="","",G786+H786)</f>
        <v/>
      </c>
      <c r="K786" s="20">
        <f>IF($A786="","",Master_Data!G786)</f>
        <v/>
      </c>
      <c r="L786" s="20">
        <f>IF($A786="","",Master_Data!G787)</f>
        <v/>
      </c>
      <c r="M786" s="20">
        <f>IF(AND(ISNUMBER(K786),ISNUMBER(L786)),L786-K786,"")</f>
        <v/>
      </c>
      <c r="N786" s="19">
        <f>IF(G786="","",IF(AND(ISNUMBER(K786),ISNUMBER(L786)),IF(OR(F786="GOC",F786="OWC",F786="GWC",F786="OWC_TRANSITION",F786="GOC_TRANSITION"),IF(L786&gt;=K786,"Supports","Conflicts"),"N/A"),"No Sw"))</f>
        <v/>
      </c>
      <c r="O786" s="20">
        <f>IF(G786="","",Settings!$B$6*IF(OR(F786="GOC",F786="OWC",F786="GWC"),1,0.7)+Settings!$B$7*IF(N786="Supports",1,IF(N786="Conflicts",0,0.5))+Settings!$B$8*IF(AND(Master_Data!R786&lt;&gt;"",Master_Data!S786&lt;&gt;"",Master_Data!R787&lt;&gt;"",Master_Data!S787&lt;&gt;""),1,0.5))</f>
        <v/>
      </c>
      <c r="P786" s="19">
        <f>IF(G786="","",IF(N786="Conflicts","SW_CONFLICT",IF(OR(F786="GOC",F786="OWC",F786="GWC"),"DIRECT_FLUID_TRANSITION","TRANSITION_INTERVAL")))</f>
        <v/>
      </c>
      <c r="Q786" s="19">
        <f>IF(G786="","",IF(N786="Conflicts","Investigate contact interpretation / saturation behaviour",IF(OR(F786="OWC",F786="GOC",F786="GWC"),"Candidate contact — validate with logs, pressure and dynamic evidence","Transition zone — do not force to a sharp contact")))</f>
        <v/>
      </c>
    </row>
    <row r="787">
      <c r="A787" s="19">
        <f>IF(AND(Master_Data!A787&lt;&gt;"",Master_Data!A787=Master_Data!A788),Master_Data!A787,"")</f>
        <v/>
      </c>
      <c r="B787" s="19">
        <f>IF($A787="","",Master_Data!B787)</f>
        <v/>
      </c>
      <c r="C787" s="19">
        <f>IF($A787="","",Master_Data!B788)</f>
        <v/>
      </c>
      <c r="D787" s="19">
        <f>IF($A787="","",Master_Data!Q787)</f>
        <v/>
      </c>
      <c r="E787" s="19">
        <f>IF($A787="","",Master_Data!Q788)</f>
        <v/>
      </c>
      <c r="F787" s="19">
        <f>IF($A787="","",IF(AND(D787="GAS",E787="OIL"),"GOC",IF(AND(D787="OIL",E787="WATER"),"OWC",IF(AND(D787="GAS",E787="WATER"),"GWC",IF(AND(D787="OIL",E787="OIL_WATER"),"OWC_TRANSITION",IF(AND(D787="OIL_WATER",E787="WATER"),"OWC_TRANSITION",IF(AND(D787="GAS",E787="GAS_WATER"),"GOC_TRANSITION",IF(AND(D787="GAS_WATER",E787="OIL"),"GOC_TRANSITION",IF(OR(D787="OIL_WATER",D787="GAS_WATER"),"TRANSITION_INTERVAL","")))))))))</f>
        <v/>
      </c>
      <c r="G787" s="20">
        <f>IF(OR(F787="",Master_Data!R787="",Master_Data!S787=""),"",IF(RIGHT(F787,10)="TRANSITION",AVERAGE(Master_Data!R787:Master_Data!S787),AVERAGE(Master_Data!S787,Master_Data!R788)))</f>
        <v/>
      </c>
      <c r="H787" s="20">
        <f>IF(G787="","",MAX(Settings!$B$4,Settings!$B$5*AVERAGE(IF(Master_Data!O787&lt;&gt;"",Master_Data!O787,Master_Data!H787),IF(Master_Data!O788&lt;&gt;"",Master_Data!O788,Master_Data!H788))))</f>
        <v/>
      </c>
      <c r="I787" s="20">
        <f>IF(G787="","",G787-H787)</f>
        <v/>
      </c>
      <c r="J787" s="20">
        <f>IF(G787="","",G787+H787)</f>
        <v/>
      </c>
      <c r="K787" s="20">
        <f>IF($A787="","",Master_Data!G787)</f>
        <v/>
      </c>
      <c r="L787" s="20">
        <f>IF($A787="","",Master_Data!G788)</f>
        <v/>
      </c>
      <c r="M787" s="20">
        <f>IF(AND(ISNUMBER(K787),ISNUMBER(L787)),L787-K787,"")</f>
        <v/>
      </c>
      <c r="N787" s="19">
        <f>IF(G787="","",IF(AND(ISNUMBER(K787),ISNUMBER(L787)),IF(OR(F787="GOC",F787="OWC",F787="GWC",F787="OWC_TRANSITION",F787="GOC_TRANSITION"),IF(L787&gt;=K787,"Supports","Conflicts"),"N/A"),"No Sw"))</f>
        <v/>
      </c>
      <c r="O787" s="20">
        <f>IF(G787="","",Settings!$B$6*IF(OR(F787="GOC",F787="OWC",F787="GWC"),1,0.7)+Settings!$B$7*IF(N787="Supports",1,IF(N787="Conflicts",0,0.5))+Settings!$B$8*IF(AND(Master_Data!R787&lt;&gt;"",Master_Data!S787&lt;&gt;"",Master_Data!R788&lt;&gt;"",Master_Data!S788&lt;&gt;""),1,0.5))</f>
        <v/>
      </c>
      <c r="P787" s="19">
        <f>IF(G787="","",IF(N787="Conflicts","SW_CONFLICT",IF(OR(F787="GOC",F787="OWC",F787="GWC"),"DIRECT_FLUID_TRANSITION","TRANSITION_INTERVAL")))</f>
        <v/>
      </c>
      <c r="Q787" s="19">
        <f>IF(G787="","",IF(N787="Conflicts","Investigate contact interpretation / saturation behaviour",IF(OR(F787="OWC",F787="GOC",F787="GWC"),"Candidate contact — validate with logs, pressure and dynamic evidence","Transition zone — do not force to a sharp contact")))</f>
        <v/>
      </c>
    </row>
    <row r="788">
      <c r="A788" s="19">
        <f>IF(AND(Master_Data!A788&lt;&gt;"",Master_Data!A788=Master_Data!A789),Master_Data!A788,"")</f>
        <v/>
      </c>
      <c r="B788" s="19">
        <f>IF($A788="","",Master_Data!B788)</f>
        <v/>
      </c>
      <c r="C788" s="19">
        <f>IF($A788="","",Master_Data!B789)</f>
        <v/>
      </c>
      <c r="D788" s="19">
        <f>IF($A788="","",Master_Data!Q788)</f>
        <v/>
      </c>
      <c r="E788" s="19">
        <f>IF($A788="","",Master_Data!Q789)</f>
        <v/>
      </c>
      <c r="F788" s="19">
        <f>IF($A788="","",IF(AND(D788="GAS",E788="OIL"),"GOC",IF(AND(D788="OIL",E788="WATER"),"OWC",IF(AND(D788="GAS",E788="WATER"),"GWC",IF(AND(D788="OIL",E788="OIL_WATER"),"OWC_TRANSITION",IF(AND(D788="OIL_WATER",E788="WATER"),"OWC_TRANSITION",IF(AND(D788="GAS",E788="GAS_WATER"),"GOC_TRANSITION",IF(AND(D788="GAS_WATER",E788="OIL"),"GOC_TRANSITION",IF(OR(D788="OIL_WATER",D788="GAS_WATER"),"TRANSITION_INTERVAL","")))))))))</f>
        <v/>
      </c>
      <c r="G788" s="20">
        <f>IF(OR(F788="",Master_Data!R788="",Master_Data!S788=""),"",IF(RIGHT(F788,10)="TRANSITION",AVERAGE(Master_Data!R788:Master_Data!S788),AVERAGE(Master_Data!S788,Master_Data!R789)))</f>
        <v/>
      </c>
      <c r="H788" s="20">
        <f>IF(G788="","",MAX(Settings!$B$4,Settings!$B$5*AVERAGE(IF(Master_Data!O788&lt;&gt;"",Master_Data!O788,Master_Data!H788),IF(Master_Data!O789&lt;&gt;"",Master_Data!O789,Master_Data!H789))))</f>
        <v/>
      </c>
      <c r="I788" s="20">
        <f>IF(G788="","",G788-H788)</f>
        <v/>
      </c>
      <c r="J788" s="20">
        <f>IF(G788="","",G788+H788)</f>
        <v/>
      </c>
      <c r="K788" s="20">
        <f>IF($A788="","",Master_Data!G788)</f>
        <v/>
      </c>
      <c r="L788" s="20">
        <f>IF($A788="","",Master_Data!G789)</f>
        <v/>
      </c>
      <c r="M788" s="20">
        <f>IF(AND(ISNUMBER(K788),ISNUMBER(L788)),L788-K788,"")</f>
        <v/>
      </c>
      <c r="N788" s="19">
        <f>IF(G788="","",IF(AND(ISNUMBER(K788),ISNUMBER(L788)),IF(OR(F788="GOC",F788="OWC",F788="GWC",F788="OWC_TRANSITION",F788="GOC_TRANSITION"),IF(L788&gt;=K788,"Supports","Conflicts"),"N/A"),"No Sw"))</f>
        <v/>
      </c>
      <c r="O788" s="20">
        <f>IF(G788="","",Settings!$B$6*IF(OR(F788="GOC",F788="OWC",F788="GWC"),1,0.7)+Settings!$B$7*IF(N788="Supports",1,IF(N788="Conflicts",0,0.5))+Settings!$B$8*IF(AND(Master_Data!R788&lt;&gt;"",Master_Data!S788&lt;&gt;"",Master_Data!R789&lt;&gt;"",Master_Data!S789&lt;&gt;""),1,0.5))</f>
        <v/>
      </c>
      <c r="P788" s="19">
        <f>IF(G788="","",IF(N788="Conflicts","SW_CONFLICT",IF(OR(F788="GOC",F788="OWC",F788="GWC"),"DIRECT_FLUID_TRANSITION","TRANSITION_INTERVAL")))</f>
        <v/>
      </c>
      <c r="Q788" s="19">
        <f>IF(G788="","",IF(N788="Conflicts","Investigate contact interpretation / saturation behaviour",IF(OR(F788="OWC",F788="GOC",F788="GWC"),"Candidate contact — validate with logs, pressure and dynamic evidence","Transition zone — do not force to a sharp contact")))</f>
        <v/>
      </c>
    </row>
    <row r="789">
      <c r="A789" s="19">
        <f>IF(AND(Master_Data!A789&lt;&gt;"",Master_Data!A789=Master_Data!A790),Master_Data!A789,"")</f>
        <v/>
      </c>
      <c r="B789" s="19">
        <f>IF($A789="","",Master_Data!B789)</f>
        <v/>
      </c>
      <c r="C789" s="19">
        <f>IF($A789="","",Master_Data!B790)</f>
        <v/>
      </c>
      <c r="D789" s="19">
        <f>IF($A789="","",Master_Data!Q789)</f>
        <v/>
      </c>
      <c r="E789" s="19">
        <f>IF($A789="","",Master_Data!Q790)</f>
        <v/>
      </c>
      <c r="F789" s="19">
        <f>IF($A789="","",IF(AND(D789="GAS",E789="OIL"),"GOC",IF(AND(D789="OIL",E789="WATER"),"OWC",IF(AND(D789="GAS",E789="WATER"),"GWC",IF(AND(D789="OIL",E789="OIL_WATER"),"OWC_TRANSITION",IF(AND(D789="OIL_WATER",E789="WATER"),"OWC_TRANSITION",IF(AND(D789="GAS",E789="GAS_WATER"),"GOC_TRANSITION",IF(AND(D789="GAS_WATER",E789="OIL"),"GOC_TRANSITION",IF(OR(D789="OIL_WATER",D789="GAS_WATER"),"TRANSITION_INTERVAL","")))))))))</f>
        <v/>
      </c>
      <c r="G789" s="20">
        <f>IF(OR(F789="",Master_Data!R789="",Master_Data!S789=""),"",IF(RIGHT(F789,10)="TRANSITION",AVERAGE(Master_Data!R789:Master_Data!S789),AVERAGE(Master_Data!S789,Master_Data!R790)))</f>
        <v/>
      </c>
      <c r="H789" s="20">
        <f>IF(G789="","",MAX(Settings!$B$4,Settings!$B$5*AVERAGE(IF(Master_Data!O789&lt;&gt;"",Master_Data!O789,Master_Data!H789),IF(Master_Data!O790&lt;&gt;"",Master_Data!O790,Master_Data!H790))))</f>
        <v/>
      </c>
      <c r="I789" s="20">
        <f>IF(G789="","",G789-H789)</f>
        <v/>
      </c>
      <c r="J789" s="20">
        <f>IF(G789="","",G789+H789)</f>
        <v/>
      </c>
      <c r="K789" s="20">
        <f>IF($A789="","",Master_Data!G789)</f>
        <v/>
      </c>
      <c r="L789" s="20">
        <f>IF($A789="","",Master_Data!G790)</f>
        <v/>
      </c>
      <c r="M789" s="20">
        <f>IF(AND(ISNUMBER(K789),ISNUMBER(L789)),L789-K789,"")</f>
        <v/>
      </c>
      <c r="N789" s="19">
        <f>IF(G789="","",IF(AND(ISNUMBER(K789),ISNUMBER(L789)),IF(OR(F789="GOC",F789="OWC",F789="GWC",F789="OWC_TRANSITION",F789="GOC_TRANSITION"),IF(L789&gt;=K789,"Supports","Conflicts"),"N/A"),"No Sw"))</f>
        <v/>
      </c>
      <c r="O789" s="20">
        <f>IF(G789="","",Settings!$B$6*IF(OR(F789="GOC",F789="OWC",F789="GWC"),1,0.7)+Settings!$B$7*IF(N789="Supports",1,IF(N789="Conflicts",0,0.5))+Settings!$B$8*IF(AND(Master_Data!R789&lt;&gt;"",Master_Data!S789&lt;&gt;"",Master_Data!R790&lt;&gt;"",Master_Data!S790&lt;&gt;""),1,0.5))</f>
        <v/>
      </c>
      <c r="P789" s="19">
        <f>IF(G789="","",IF(N789="Conflicts","SW_CONFLICT",IF(OR(F789="GOC",F789="OWC",F789="GWC"),"DIRECT_FLUID_TRANSITION","TRANSITION_INTERVAL")))</f>
        <v/>
      </c>
      <c r="Q789" s="19">
        <f>IF(G789="","",IF(N789="Conflicts","Investigate contact interpretation / saturation behaviour",IF(OR(F789="OWC",F789="GOC",F789="GWC"),"Candidate contact — validate with logs, pressure and dynamic evidence","Transition zone — do not force to a sharp contact")))</f>
        <v/>
      </c>
    </row>
    <row r="790">
      <c r="A790" s="19">
        <f>IF(AND(Master_Data!A790&lt;&gt;"",Master_Data!A790=Master_Data!A791),Master_Data!A790,"")</f>
        <v/>
      </c>
      <c r="B790" s="19">
        <f>IF($A790="","",Master_Data!B790)</f>
        <v/>
      </c>
      <c r="C790" s="19">
        <f>IF($A790="","",Master_Data!B791)</f>
        <v/>
      </c>
      <c r="D790" s="19">
        <f>IF($A790="","",Master_Data!Q790)</f>
        <v/>
      </c>
      <c r="E790" s="19">
        <f>IF($A790="","",Master_Data!Q791)</f>
        <v/>
      </c>
      <c r="F790" s="19">
        <f>IF($A790="","",IF(AND(D790="GAS",E790="OIL"),"GOC",IF(AND(D790="OIL",E790="WATER"),"OWC",IF(AND(D790="GAS",E790="WATER"),"GWC",IF(AND(D790="OIL",E790="OIL_WATER"),"OWC_TRANSITION",IF(AND(D790="OIL_WATER",E790="WATER"),"OWC_TRANSITION",IF(AND(D790="GAS",E790="GAS_WATER"),"GOC_TRANSITION",IF(AND(D790="GAS_WATER",E790="OIL"),"GOC_TRANSITION",IF(OR(D790="OIL_WATER",D790="GAS_WATER"),"TRANSITION_INTERVAL","")))))))))</f>
        <v/>
      </c>
      <c r="G790" s="20">
        <f>IF(OR(F790="",Master_Data!R790="",Master_Data!S790=""),"",IF(RIGHT(F790,10)="TRANSITION",AVERAGE(Master_Data!R790:Master_Data!S790),AVERAGE(Master_Data!S790,Master_Data!R791)))</f>
        <v/>
      </c>
      <c r="H790" s="20">
        <f>IF(G790="","",MAX(Settings!$B$4,Settings!$B$5*AVERAGE(IF(Master_Data!O790&lt;&gt;"",Master_Data!O790,Master_Data!H790),IF(Master_Data!O791&lt;&gt;"",Master_Data!O791,Master_Data!H791))))</f>
        <v/>
      </c>
      <c r="I790" s="20">
        <f>IF(G790="","",G790-H790)</f>
        <v/>
      </c>
      <c r="J790" s="20">
        <f>IF(G790="","",G790+H790)</f>
        <v/>
      </c>
      <c r="K790" s="20">
        <f>IF($A790="","",Master_Data!G790)</f>
        <v/>
      </c>
      <c r="L790" s="20">
        <f>IF($A790="","",Master_Data!G791)</f>
        <v/>
      </c>
      <c r="M790" s="20">
        <f>IF(AND(ISNUMBER(K790),ISNUMBER(L790)),L790-K790,"")</f>
        <v/>
      </c>
      <c r="N790" s="19">
        <f>IF(G790="","",IF(AND(ISNUMBER(K790),ISNUMBER(L790)),IF(OR(F790="GOC",F790="OWC",F790="GWC",F790="OWC_TRANSITION",F790="GOC_TRANSITION"),IF(L790&gt;=K790,"Supports","Conflicts"),"N/A"),"No Sw"))</f>
        <v/>
      </c>
      <c r="O790" s="20">
        <f>IF(G790="","",Settings!$B$6*IF(OR(F790="GOC",F790="OWC",F790="GWC"),1,0.7)+Settings!$B$7*IF(N790="Supports",1,IF(N790="Conflicts",0,0.5))+Settings!$B$8*IF(AND(Master_Data!R790&lt;&gt;"",Master_Data!S790&lt;&gt;"",Master_Data!R791&lt;&gt;"",Master_Data!S791&lt;&gt;""),1,0.5))</f>
        <v/>
      </c>
      <c r="P790" s="19">
        <f>IF(G790="","",IF(N790="Conflicts","SW_CONFLICT",IF(OR(F790="GOC",F790="OWC",F790="GWC"),"DIRECT_FLUID_TRANSITION","TRANSITION_INTERVAL")))</f>
        <v/>
      </c>
      <c r="Q790" s="19">
        <f>IF(G790="","",IF(N790="Conflicts","Investigate contact interpretation / saturation behaviour",IF(OR(F790="OWC",F790="GOC",F790="GWC"),"Candidate contact — validate with logs, pressure and dynamic evidence","Transition zone — do not force to a sharp contact")))</f>
        <v/>
      </c>
    </row>
    <row r="791">
      <c r="A791" s="19">
        <f>IF(AND(Master_Data!A791&lt;&gt;"",Master_Data!A791=Master_Data!A792),Master_Data!A791,"")</f>
        <v/>
      </c>
      <c r="B791" s="19">
        <f>IF($A791="","",Master_Data!B791)</f>
        <v/>
      </c>
      <c r="C791" s="19">
        <f>IF($A791="","",Master_Data!B792)</f>
        <v/>
      </c>
      <c r="D791" s="19">
        <f>IF($A791="","",Master_Data!Q791)</f>
        <v/>
      </c>
      <c r="E791" s="19">
        <f>IF($A791="","",Master_Data!Q792)</f>
        <v/>
      </c>
      <c r="F791" s="19">
        <f>IF($A791="","",IF(AND(D791="GAS",E791="OIL"),"GOC",IF(AND(D791="OIL",E791="WATER"),"OWC",IF(AND(D791="GAS",E791="WATER"),"GWC",IF(AND(D791="OIL",E791="OIL_WATER"),"OWC_TRANSITION",IF(AND(D791="OIL_WATER",E791="WATER"),"OWC_TRANSITION",IF(AND(D791="GAS",E791="GAS_WATER"),"GOC_TRANSITION",IF(AND(D791="GAS_WATER",E791="OIL"),"GOC_TRANSITION",IF(OR(D791="OIL_WATER",D791="GAS_WATER"),"TRANSITION_INTERVAL","")))))))))</f>
        <v/>
      </c>
      <c r="G791" s="20">
        <f>IF(OR(F791="",Master_Data!R791="",Master_Data!S791=""),"",IF(RIGHT(F791,10)="TRANSITION",AVERAGE(Master_Data!R791:Master_Data!S791),AVERAGE(Master_Data!S791,Master_Data!R792)))</f>
        <v/>
      </c>
      <c r="H791" s="20">
        <f>IF(G791="","",MAX(Settings!$B$4,Settings!$B$5*AVERAGE(IF(Master_Data!O791&lt;&gt;"",Master_Data!O791,Master_Data!H791),IF(Master_Data!O792&lt;&gt;"",Master_Data!O792,Master_Data!H792))))</f>
        <v/>
      </c>
      <c r="I791" s="20">
        <f>IF(G791="","",G791-H791)</f>
        <v/>
      </c>
      <c r="J791" s="20">
        <f>IF(G791="","",G791+H791)</f>
        <v/>
      </c>
      <c r="K791" s="20">
        <f>IF($A791="","",Master_Data!G791)</f>
        <v/>
      </c>
      <c r="L791" s="20">
        <f>IF($A791="","",Master_Data!G792)</f>
        <v/>
      </c>
      <c r="M791" s="20">
        <f>IF(AND(ISNUMBER(K791),ISNUMBER(L791)),L791-K791,"")</f>
        <v/>
      </c>
      <c r="N791" s="19">
        <f>IF(G791="","",IF(AND(ISNUMBER(K791),ISNUMBER(L791)),IF(OR(F791="GOC",F791="OWC",F791="GWC",F791="OWC_TRANSITION",F791="GOC_TRANSITION"),IF(L791&gt;=K791,"Supports","Conflicts"),"N/A"),"No Sw"))</f>
        <v/>
      </c>
      <c r="O791" s="20">
        <f>IF(G791="","",Settings!$B$6*IF(OR(F791="GOC",F791="OWC",F791="GWC"),1,0.7)+Settings!$B$7*IF(N791="Supports",1,IF(N791="Conflicts",0,0.5))+Settings!$B$8*IF(AND(Master_Data!R791&lt;&gt;"",Master_Data!S791&lt;&gt;"",Master_Data!R792&lt;&gt;"",Master_Data!S792&lt;&gt;""),1,0.5))</f>
        <v/>
      </c>
      <c r="P791" s="19">
        <f>IF(G791="","",IF(N791="Conflicts","SW_CONFLICT",IF(OR(F791="GOC",F791="OWC",F791="GWC"),"DIRECT_FLUID_TRANSITION","TRANSITION_INTERVAL")))</f>
        <v/>
      </c>
      <c r="Q791" s="19">
        <f>IF(G791="","",IF(N791="Conflicts","Investigate contact interpretation / saturation behaviour",IF(OR(F791="OWC",F791="GOC",F791="GWC"),"Candidate contact — validate with logs, pressure and dynamic evidence","Transition zone — do not force to a sharp contact")))</f>
        <v/>
      </c>
    </row>
    <row r="792">
      <c r="A792" s="19">
        <f>IF(AND(Master_Data!A792&lt;&gt;"",Master_Data!A792=Master_Data!A793),Master_Data!A792,"")</f>
        <v/>
      </c>
      <c r="B792" s="19">
        <f>IF($A792="","",Master_Data!B792)</f>
        <v/>
      </c>
      <c r="C792" s="19">
        <f>IF($A792="","",Master_Data!B793)</f>
        <v/>
      </c>
      <c r="D792" s="19">
        <f>IF($A792="","",Master_Data!Q792)</f>
        <v/>
      </c>
      <c r="E792" s="19">
        <f>IF($A792="","",Master_Data!Q793)</f>
        <v/>
      </c>
      <c r="F792" s="19">
        <f>IF($A792="","",IF(AND(D792="GAS",E792="OIL"),"GOC",IF(AND(D792="OIL",E792="WATER"),"OWC",IF(AND(D792="GAS",E792="WATER"),"GWC",IF(AND(D792="OIL",E792="OIL_WATER"),"OWC_TRANSITION",IF(AND(D792="OIL_WATER",E792="WATER"),"OWC_TRANSITION",IF(AND(D792="GAS",E792="GAS_WATER"),"GOC_TRANSITION",IF(AND(D792="GAS_WATER",E792="OIL"),"GOC_TRANSITION",IF(OR(D792="OIL_WATER",D792="GAS_WATER"),"TRANSITION_INTERVAL","")))))))))</f>
        <v/>
      </c>
      <c r="G792" s="20">
        <f>IF(OR(F792="",Master_Data!R792="",Master_Data!S792=""),"",IF(RIGHT(F792,10)="TRANSITION",AVERAGE(Master_Data!R792:Master_Data!S792),AVERAGE(Master_Data!S792,Master_Data!R793)))</f>
        <v/>
      </c>
      <c r="H792" s="20">
        <f>IF(G792="","",MAX(Settings!$B$4,Settings!$B$5*AVERAGE(IF(Master_Data!O792&lt;&gt;"",Master_Data!O792,Master_Data!H792),IF(Master_Data!O793&lt;&gt;"",Master_Data!O793,Master_Data!H793))))</f>
        <v/>
      </c>
      <c r="I792" s="20">
        <f>IF(G792="","",G792-H792)</f>
        <v/>
      </c>
      <c r="J792" s="20">
        <f>IF(G792="","",G792+H792)</f>
        <v/>
      </c>
      <c r="K792" s="20">
        <f>IF($A792="","",Master_Data!G792)</f>
        <v/>
      </c>
      <c r="L792" s="20">
        <f>IF($A792="","",Master_Data!G793)</f>
        <v/>
      </c>
      <c r="M792" s="20">
        <f>IF(AND(ISNUMBER(K792),ISNUMBER(L792)),L792-K792,"")</f>
        <v/>
      </c>
      <c r="N792" s="19">
        <f>IF(G792="","",IF(AND(ISNUMBER(K792),ISNUMBER(L792)),IF(OR(F792="GOC",F792="OWC",F792="GWC",F792="OWC_TRANSITION",F792="GOC_TRANSITION"),IF(L792&gt;=K792,"Supports","Conflicts"),"N/A"),"No Sw"))</f>
        <v/>
      </c>
      <c r="O792" s="20">
        <f>IF(G792="","",Settings!$B$6*IF(OR(F792="GOC",F792="OWC",F792="GWC"),1,0.7)+Settings!$B$7*IF(N792="Supports",1,IF(N792="Conflicts",0,0.5))+Settings!$B$8*IF(AND(Master_Data!R792&lt;&gt;"",Master_Data!S792&lt;&gt;"",Master_Data!R793&lt;&gt;"",Master_Data!S793&lt;&gt;""),1,0.5))</f>
        <v/>
      </c>
      <c r="P792" s="19">
        <f>IF(G792="","",IF(N792="Conflicts","SW_CONFLICT",IF(OR(F792="GOC",F792="OWC",F792="GWC"),"DIRECT_FLUID_TRANSITION","TRANSITION_INTERVAL")))</f>
        <v/>
      </c>
      <c r="Q792" s="19">
        <f>IF(G792="","",IF(N792="Conflicts","Investigate contact interpretation / saturation behaviour",IF(OR(F792="OWC",F792="GOC",F792="GWC"),"Candidate contact — validate with logs, pressure and dynamic evidence","Transition zone — do not force to a sharp contact")))</f>
        <v/>
      </c>
    </row>
    <row r="793">
      <c r="A793" s="19">
        <f>IF(AND(Master_Data!A793&lt;&gt;"",Master_Data!A793=Master_Data!A794),Master_Data!A793,"")</f>
        <v/>
      </c>
      <c r="B793" s="19">
        <f>IF($A793="","",Master_Data!B793)</f>
        <v/>
      </c>
      <c r="C793" s="19">
        <f>IF($A793="","",Master_Data!B794)</f>
        <v/>
      </c>
      <c r="D793" s="19">
        <f>IF($A793="","",Master_Data!Q793)</f>
        <v/>
      </c>
      <c r="E793" s="19">
        <f>IF($A793="","",Master_Data!Q794)</f>
        <v/>
      </c>
      <c r="F793" s="19">
        <f>IF($A793="","",IF(AND(D793="GAS",E793="OIL"),"GOC",IF(AND(D793="OIL",E793="WATER"),"OWC",IF(AND(D793="GAS",E793="WATER"),"GWC",IF(AND(D793="OIL",E793="OIL_WATER"),"OWC_TRANSITION",IF(AND(D793="OIL_WATER",E793="WATER"),"OWC_TRANSITION",IF(AND(D793="GAS",E793="GAS_WATER"),"GOC_TRANSITION",IF(AND(D793="GAS_WATER",E793="OIL"),"GOC_TRANSITION",IF(OR(D793="OIL_WATER",D793="GAS_WATER"),"TRANSITION_INTERVAL","")))))))))</f>
        <v/>
      </c>
      <c r="G793" s="20">
        <f>IF(OR(F793="",Master_Data!R793="",Master_Data!S793=""),"",IF(RIGHT(F793,10)="TRANSITION",AVERAGE(Master_Data!R793:Master_Data!S793),AVERAGE(Master_Data!S793,Master_Data!R794)))</f>
        <v/>
      </c>
      <c r="H793" s="20">
        <f>IF(G793="","",MAX(Settings!$B$4,Settings!$B$5*AVERAGE(IF(Master_Data!O793&lt;&gt;"",Master_Data!O793,Master_Data!H793),IF(Master_Data!O794&lt;&gt;"",Master_Data!O794,Master_Data!H794))))</f>
        <v/>
      </c>
      <c r="I793" s="20">
        <f>IF(G793="","",G793-H793)</f>
        <v/>
      </c>
      <c r="J793" s="20">
        <f>IF(G793="","",G793+H793)</f>
        <v/>
      </c>
      <c r="K793" s="20">
        <f>IF($A793="","",Master_Data!G793)</f>
        <v/>
      </c>
      <c r="L793" s="20">
        <f>IF($A793="","",Master_Data!G794)</f>
        <v/>
      </c>
      <c r="M793" s="20">
        <f>IF(AND(ISNUMBER(K793),ISNUMBER(L793)),L793-K793,"")</f>
        <v/>
      </c>
      <c r="N793" s="19">
        <f>IF(G793="","",IF(AND(ISNUMBER(K793),ISNUMBER(L793)),IF(OR(F793="GOC",F793="OWC",F793="GWC",F793="OWC_TRANSITION",F793="GOC_TRANSITION"),IF(L793&gt;=K793,"Supports","Conflicts"),"N/A"),"No Sw"))</f>
        <v/>
      </c>
      <c r="O793" s="20">
        <f>IF(G793="","",Settings!$B$6*IF(OR(F793="GOC",F793="OWC",F793="GWC"),1,0.7)+Settings!$B$7*IF(N793="Supports",1,IF(N793="Conflicts",0,0.5))+Settings!$B$8*IF(AND(Master_Data!R793&lt;&gt;"",Master_Data!S793&lt;&gt;"",Master_Data!R794&lt;&gt;"",Master_Data!S794&lt;&gt;""),1,0.5))</f>
        <v/>
      </c>
      <c r="P793" s="19">
        <f>IF(G793="","",IF(N793="Conflicts","SW_CONFLICT",IF(OR(F793="GOC",F793="OWC",F793="GWC"),"DIRECT_FLUID_TRANSITION","TRANSITION_INTERVAL")))</f>
        <v/>
      </c>
      <c r="Q793" s="19">
        <f>IF(G793="","",IF(N793="Conflicts","Investigate contact interpretation / saturation behaviour",IF(OR(F793="OWC",F793="GOC",F793="GWC"),"Candidate contact — validate with logs, pressure and dynamic evidence","Transition zone — do not force to a sharp contact")))</f>
        <v/>
      </c>
    </row>
    <row r="794">
      <c r="A794" s="19">
        <f>IF(AND(Master_Data!A794&lt;&gt;"",Master_Data!A794=Master_Data!A795),Master_Data!A794,"")</f>
        <v/>
      </c>
      <c r="B794" s="19">
        <f>IF($A794="","",Master_Data!B794)</f>
        <v/>
      </c>
      <c r="C794" s="19">
        <f>IF($A794="","",Master_Data!B795)</f>
        <v/>
      </c>
      <c r="D794" s="19">
        <f>IF($A794="","",Master_Data!Q794)</f>
        <v/>
      </c>
      <c r="E794" s="19">
        <f>IF($A794="","",Master_Data!Q795)</f>
        <v/>
      </c>
      <c r="F794" s="19">
        <f>IF($A794="","",IF(AND(D794="GAS",E794="OIL"),"GOC",IF(AND(D794="OIL",E794="WATER"),"OWC",IF(AND(D794="GAS",E794="WATER"),"GWC",IF(AND(D794="OIL",E794="OIL_WATER"),"OWC_TRANSITION",IF(AND(D794="OIL_WATER",E794="WATER"),"OWC_TRANSITION",IF(AND(D794="GAS",E794="GAS_WATER"),"GOC_TRANSITION",IF(AND(D794="GAS_WATER",E794="OIL"),"GOC_TRANSITION",IF(OR(D794="OIL_WATER",D794="GAS_WATER"),"TRANSITION_INTERVAL","")))))))))</f>
        <v/>
      </c>
      <c r="G794" s="20">
        <f>IF(OR(F794="",Master_Data!R794="",Master_Data!S794=""),"",IF(RIGHT(F794,10)="TRANSITION",AVERAGE(Master_Data!R794:Master_Data!S794),AVERAGE(Master_Data!S794,Master_Data!R795)))</f>
        <v/>
      </c>
      <c r="H794" s="20">
        <f>IF(G794="","",MAX(Settings!$B$4,Settings!$B$5*AVERAGE(IF(Master_Data!O794&lt;&gt;"",Master_Data!O794,Master_Data!H794),IF(Master_Data!O795&lt;&gt;"",Master_Data!O795,Master_Data!H795))))</f>
        <v/>
      </c>
      <c r="I794" s="20">
        <f>IF(G794="","",G794-H794)</f>
        <v/>
      </c>
      <c r="J794" s="20">
        <f>IF(G794="","",G794+H794)</f>
        <v/>
      </c>
      <c r="K794" s="20">
        <f>IF($A794="","",Master_Data!G794)</f>
        <v/>
      </c>
      <c r="L794" s="20">
        <f>IF($A794="","",Master_Data!G795)</f>
        <v/>
      </c>
      <c r="M794" s="20">
        <f>IF(AND(ISNUMBER(K794),ISNUMBER(L794)),L794-K794,"")</f>
        <v/>
      </c>
      <c r="N794" s="19">
        <f>IF(G794="","",IF(AND(ISNUMBER(K794),ISNUMBER(L794)),IF(OR(F794="GOC",F794="OWC",F794="GWC",F794="OWC_TRANSITION",F794="GOC_TRANSITION"),IF(L794&gt;=K794,"Supports","Conflicts"),"N/A"),"No Sw"))</f>
        <v/>
      </c>
      <c r="O794" s="20">
        <f>IF(G794="","",Settings!$B$6*IF(OR(F794="GOC",F794="OWC",F794="GWC"),1,0.7)+Settings!$B$7*IF(N794="Supports",1,IF(N794="Conflicts",0,0.5))+Settings!$B$8*IF(AND(Master_Data!R794&lt;&gt;"",Master_Data!S794&lt;&gt;"",Master_Data!R795&lt;&gt;"",Master_Data!S795&lt;&gt;""),1,0.5))</f>
        <v/>
      </c>
      <c r="P794" s="19">
        <f>IF(G794="","",IF(N794="Conflicts","SW_CONFLICT",IF(OR(F794="GOC",F794="OWC",F794="GWC"),"DIRECT_FLUID_TRANSITION","TRANSITION_INTERVAL")))</f>
        <v/>
      </c>
      <c r="Q794" s="19">
        <f>IF(G794="","",IF(N794="Conflicts","Investigate contact interpretation / saturation behaviour",IF(OR(F794="OWC",F794="GOC",F794="GWC"),"Candidate contact — validate with logs, pressure and dynamic evidence","Transition zone — do not force to a sharp contact")))</f>
        <v/>
      </c>
    </row>
    <row r="795">
      <c r="A795" s="19">
        <f>IF(AND(Master_Data!A795&lt;&gt;"",Master_Data!A795=Master_Data!A796),Master_Data!A795,"")</f>
        <v/>
      </c>
      <c r="B795" s="19">
        <f>IF($A795="","",Master_Data!B795)</f>
        <v/>
      </c>
      <c r="C795" s="19">
        <f>IF($A795="","",Master_Data!B796)</f>
        <v/>
      </c>
      <c r="D795" s="19">
        <f>IF($A795="","",Master_Data!Q795)</f>
        <v/>
      </c>
      <c r="E795" s="19">
        <f>IF($A795="","",Master_Data!Q796)</f>
        <v/>
      </c>
      <c r="F795" s="19">
        <f>IF($A795="","",IF(AND(D795="GAS",E795="OIL"),"GOC",IF(AND(D795="OIL",E795="WATER"),"OWC",IF(AND(D795="GAS",E795="WATER"),"GWC",IF(AND(D795="OIL",E795="OIL_WATER"),"OWC_TRANSITION",IF(AND(D795="OIL_WATER",E795="WATER"),"OWC_TRANSITION",IF(AND(D795="GAS",E795="GAS_WATER"),"GOC_TRANSITION",IF(AND(D795="GAS_WATER",E795="OIL"),"GOC_TRANSITION",IF(OR(D795="OIL_WATER",D795="GAS_WATER"),"TRANSITION_INTERVAL","")))))))))</f>
        <v/>
      </c>
      <c r="G795" s="20">
        <f>IF(OR(F795="",Master_Data!R795="",Master_Data!S795=""),"",IF(RIGHT(F795,10)="TRANSITION",AVERAGE(Master_Data!R795:Master_Data!S795),AVERAGE(Master_Data!S795,Master_Data!R796)))</f>
        <v/>
      </c>
      <c r="H795" s="20">
        <f>IF(G795="","",MAX(Settings!$B$4,Settings!$B$5*AVERAGE(IF(Master_Data!O795&lt;&gt;"",Master_Data!O795,Master_Data!H795),IF(Master_Data!O796&lt;&gt;"",Master_Data!O796,Master_Data!H796))))</f>
        <v/>
      </c>
      <c r="I795" s="20">
        <f>IF(G795="","",G795-H795)</f>
        <v/>
      </c>
      <c r="J795" s="20">
        <f>IF(G795="","",G795+H795)</f>
        <v/>
      </c>
      <c r="K795" s="20">
        <f>IF($A795="","",Master_Data!G795)</f>
        <v/>
      </c>
      <c r="L795" s="20">
        <f>IF($A795="","",Master_Data!G796)</f>
        <v/>
      </c>
      <c r="M795" s="20">
        <f>IF(AND(ISNUMBER(K795),ISNUMBER(L795)),L795-K795,"")</f>
        <v/>
      </c>
      <c r="N795" s="19">
        <f>IF(G795="","",IF(AND(ISNUMBER(K795),ISNUMBER(L795)),IF(OR(F795="GOC",F795="OWC",F795="GWC",F795="OWC_TRANSITION",F795="GOC_TRANSITION"),IF(L795&gt;=K795,"Supports","Conflicts"),"N/A"),"No Sw"))</f>
        <v/>
      </c>
      <c r="O795" s="20">
        <f>IF(G795="","",Settings!$B$6*IF(OR(F795="GOC",F795="OWC",F795="GWC"),1,0.7)+Settings!$B$7*IF(N795="Supports",1,IF(N795="Conflicts",0,0.5))+Settings!$B$8*IF(AND(Master_Data!R795&lt;&gt;"",Master_Data!S795&lt;&gt;"",Master_Data!R796&lt;&gt;"",Master_Data!S796&lt;&gt;""),1,0.5))</f>
        <v/>
      </c>
      <c r="P795" s="19">
        <f>IF(G795="","",IF(N795="Conflicts","SW_CONFLICT",IF(OR(F795="GOC",F795="OWC",F795="GWC"),"DIRECT_FLUID_TRANSITION","TRANSITION_INTERVAL")))</f>
        <v/>
      </c>
      <c r="Q795" s="19">
        <f>IF(G795="","",IF(N795="Conflicts","Investigate contact interpretation / saturation behaviour",IF(OR(F795="OWC",F795="GOC",F795="GWC"),"Candidate contact — validate with logs, pressure and dynamic evidence","Transition zone — do not force to a sharp contact")))</f>
        <v/>
      </c>
    </row>
    <row r="796">
      <c r="A796" s="19">
        <f>IF(AND(Master_Data!A796&lt;&gt;"",Master_Data!A796=Master_Data!A797),Master_Data!A796,"")</f>
        <v/>
      </c>
      <c r="B796" s="19">
        <f>IF($A796="","",Master_Data!B796)</f>
        <v/>
      </c>
      <c r="C796" s="19">
        <f>IF($A796="","",Master_Data!B797)</f>
        <v/>
      </c>
      <c r="D796" s="19">
        <f>IF($A796="","",Master_Data!Q796)</f>
        <v/>
      </c>
      <c r="E796" s="19">
        <f>IF($A796="","",Master_Data!Q797)</f>
        <v/>
      </c>
      <c r="F796" s="19">
        <f>IF($A796="","",IF(AND(D796="GAS",E796="OIL"),"GOC",IF(AND(D796="OIL",E796="WATER"),"OWC",IF(AND(D796="GAS",E796="WATER"),"GWC",IF(AND(D796="OIL",E796="OIL_WATER"),"OWC_TRANSITION",IF(AND(D796="OIL_WATER",E796="WATER"),"OWC_TRANSITION",IF(AND(D796="GAS",E796="GAS_WATER"),"GOC_TRANSITION",IF(AND(D796="GAS_WATER",E796="OIL"),"GOC_TRANSITION",IF(OR(D796="OIL_WATER",D796="GAS_WATER"),"TRANSITION_INTERVAL","")))))))))</f>
        <v/>
      </c>
      <c r="G796" s="20">
        <f>IF(OR(F796="",Master_Data!R796="",Master_Data!S796=""),"",IF(RIGHT(F796,10)="TRANSITION",AVERAGE(Master_Data!R796:Master_Data!S796),AVERAGE(Master_Data!S796,Master_Data!R797)))</f>
        <v/>
      </c>
      <c r="H796" s="20">
        <f>IF(G796="","",MAX(Settings!$B$4,Settings!$B$5*AVERAGE(IF(Master_Data!O796&lt;&gt;"",Master_Data!O796,Master_Data!H796),IF(Master_Data!O797&lt;&gt;"",Master_Data!O797,Master_Data!H797))))</f>
        <v/>
      </c>
      <c r="I796" s="20">
        <f>IF(G796="","",G796-H796)</f>
        <v/>
      </c>
      <c r="J796" s="20">
        <f>IF(G796="","",G796+H796)</f>
        <v/>
      </c>
      <c r="K796" s="20">
        <f>IF($A796="","",Master_Data!G796)</f>
        <v/>
      </c>
      <c r="L796" s="20">
        <f>IF($A796="","",Master_Data!G797)</f>
        <v/>
      </c>
      <c r="M796" s="20">
        <f>IF(AND(ISNUMBER(K796),ISNUMBER(L796)),L796-K796,"")</f>
        <v/>
      </c>
      <c r="N796" s="19">
        <f>IF(G796="","",IF(AND(ISNUMBER(K796),ISNUMBER(L796)),IF(OR(F796="GOC",F796="OWC",F796="GWC",F796="OWC_TRANSITION",F796="GOC_TRANSITION"),IF(L796&gt;=K796,"Supports","Conflicts"),"N/A"),"No Sw"))</f>
        <v/>
      </c>
      <c r="O796" s="20">
        <f>IF(G796="","",Settings!$B$6*IF(OR(F796="GOC",F796="OWC",F796="GWC"),1,0.7)+Settings!$B$7*IF(N796="Supports",1,IF(N796="Conflicts",0,0.5))+Settings!$B$8*IF(AND(Master_Data!R796&lt;&gt;"",Master_Data!S796&lt;&gt;"",Master_Data!R797&lt;&gt;"",Master_Data!S797&lt;&gt;""),1,0.5))</f>
        <v/>
      </c>
      <c r="P796" s="19">
        <f>IF(G796="","",IF(N796="Conflicts","SW_CONFLICT",IF(OR(F796="GOC",F796="OWC",F796="GWC"),"DIRECT_FLUID_TRANSITION","TRANSITION_INTERVAL")))</f>
        <v/>
      </c>
      <c r="Q796" s="19">
        <f>IF(G796="","",IF(N796="Conflicts","Investigate contact interpretation / saturation behaviour",IF(OR(F796="OWC",F796="GOC",F796="GWC"),"Candidate contact — validate with logs, pressure and dynamic evidence","Transition zone — do not force to a sharp contact")))</f>
        <v/>
      </c>
    </row>
    <row r="797">
      <c r="A797" s="19">
        <f>IF(AND(Master_Data!A797&lt;&gt;"",Master_Data!A797=Master_Data!A798),Master_Data!A797,"")</f>
        <v/>
      </c>
      <c r="B797" s="19">
        <f>IF($A797="","",Master_Data!B797)</f>
        <v/>
      </c>
      <c r="C797" s="19">
        <f>IF($A797="","",Master_Data!B798)</f>
        <v/>
      </c>
      <c r="D797" s="19">
        <f>IF($A797="","",Master_Data!Q797)</f>
        <v/>
      </c>
      <c r="E797" s="19">
        <f>IF($A797="","",Master_Data!Q798)</f>
        <v/>
      </c>
      <c r="F797" s="19">
        <f>IF($A797="","",IF(AND(D797="GAS",E797="OIL"),"GOC",IF(AND(D797="OIL",E797="WATER"),"OWC",IF(AND(D797="GAS",E797="WATER"),"GWC",IF(AND(D797="OIL",E797="OIL_WATER"),"OWC_TRANSITION",IF(AND(D797="OIL_WATER",E797="WATER"),"OWC_TRANSITION",IF(AND(D797="GAS",E797="GAS_WATER"),"GOC_TRANSITION",IF(AND(D797="GAS_WATER",E797="OIL"),"GOC_TRANSITION",IF(OR(D797="OIL_WATER",D797="GAS_WATER"),"TRANSITION_INTERVAL","")))))))))</f>
        <v/>
      </c>
      <c r="G797" s="20">
        <f>IF(OR(F797="",Master_Data!R797="",Master_Data!S797=""),"",IF(RIGHT(F797,10)="TRANSITION",AVERAGE(Master_Data!R797:Master_Data!S797),AVERAGE(Master_Data!S797,Master_Data!R798)))</f>
        <v/>
      </c>
      <c r="H797" s="20">
        <f>IF(G797="","",MAX(Settings!$B$4,Settings!$B$5*AVERAGE(IF(Master_Data!O797&lt;&gt;"",Master_Data!O797,Master_Data!H797),IF(Master_Data!O798&lt;&gt;"",Master_Data!O798,Master_Data!H798))))</f>
        <v/>
      </c>
      <c r="I797" s="20">
        <f>IF(G797="","",G797-H797)</f>
        <v/>
      </c>
      <c r="J797" s="20">
        <f>IF(G797="","",G797+H797)</f>
        <v/>
      </c>
      <c r="K797" s="20">
        <f>IF($A797="","",Master_Data!G797)</f>
        <v/>
      </c>
      <c r="L797" s="20">
        <f>IF($A797="","",Master_Data!G798)</f>
        <v/>
      </c>
      <c r="M797" s="20">
        <f>IF(AND(ISNUMBER(K797),ISNUMBER(L797)),L797-K797,"")</f>
        <v/>
      </c>
      <c r="N797" s="19">
        <f>IF(G797="","",IF(AND(ISNUMBER(K797),ISNUMBER(L797)),IF(OR(F797="GOC",F797="OWC",F797="GWC",F797="OWC_TRANSITION",F797="GOC_TRANSITION"),IF(L797&gt;=K797,"Supports","Conflicts"),"N/A"),"No Sw"))</f>
        <v/>
      </c>
      <c r="O797" s="20">
        <f>IF(G797="","",Settings!$B$6*IF(OR(F797="GOC",F797="OWC",F797="GWC"),1,0.7)+Settings!$B$7*IF(N797="Supports",1,IF(N797="Conflicts",0,0.5))+Settings!$B$8*IF(AND(Master_Data!R797&lt;&gt;"",Master_Data!S797&lt;&gt;"",Master_Data!R798&lt;&gt;"",Master_Data!S798&lt;&gt;""),1,0.5))</f>
        <v/>
      </c>
      <c r="P797" s="19">
        <f>IF(G797="","",IF(N797="Conflicts","SW_CONFLICT",IF(OR(F797="GOC",F797="OWC",F797="GWC"),"DIRECT_FLUID_TRANSITION","TRANSITION_INTERVAL")))</f>
        <v/>
      </c>
      <c r="Q797" s="19">
        <f>IF(G797="","",IF(N797="Conflicts","Investigate contact interpretation / saturation behaviour",IF(OR(F797="OWC",F797="GOC",F797="GWC"),"Candidate contact — validate with logs, pressure and dynamic evidence","Transition zone — do not force to a sharp contact")))</f>
        <v/>
      </c>
    </row>
    <row r="798">
      <c r="A798" s="19">
        <f>IF(AND(Master_Data!A798&lt;&gt;"",Master_Data!A798=Master_Data!A799),Master_Data!A798,"")</f>
        <v/>
      </c>
      <c r="B798" s="19">
        <f>IF($A798="","",Master_Data!B798)</f>
        <v/>
      </c>
      <c r="C798" s="19">
        <f>IF($A798="","",Master_Data!B799)</f>
        <v/>
      </c>
      <c r="D798" s="19">
        <f>IF($A798="","",Master_Data!Q798)</f>
        <v/>
      </c>
      <c r="E798" s="19">
        <f>IF($A798="","",Master_Data!Q799)</f>
        <v/>
      </c>
      <c r="F798" s="19">
        <f>IF($A798="","",IF(AND(D798="GAS",E798="OIL"),"GOC",IF(AND(D798="OIL",E798="WATER"),"OWC",IF(AND(D798="GAS",E798="WATER"),"GWC",IF(AND(D798="OIL",E798="OIL_WATER"),"OWC_TRANSITION",IF(AND(D798="OIL_WATER",E798="WATER"),"OWC_TRANSITION",IF(AND(D798="GAS",E798="GAS_WATER"),"GOC_TRANSITION",IF(AND(D798="GAS_WATER",E798="OIL"),"GOC_TRANSITION",IF(OR(D798="OIL_WATER",D798="GAS_WATER"),"TRANSITION_INTERVAL","")))))))))</f>
        <v/>
      </c>
      <c r="G798" s="20">
        <f>IF(OR(F798="",Master_Data!R798="",Master_Data!S798=""),"",IF(RIGHT(F798,10)="TRANSITION",AVERAGE(Master_Data!R798:Master_Data!S798),AVERAGE(Master_Data!S798,Master_Data!R799)))</f>
        <v/>
      </c>
      <c r="H798" s="20">
        <f>IF(G798="","",MAX(Settings!$B$4,Settings!$B$5*AVERAGE(IF(Master_Data!O798&lt;&gt;"",Master_Data!O798,Master_Data!H798),IF(Master_Data!O799&lt;&gt;"",Master_Data!O799,Master_Data!H799))))</f>
        <v/>
      </c>
      <c r="I798" s="20">
        <f>IF(G798="","",G798-H798)</f>
        <v/>
      </c>
      <c r="J798" s="20">
        <f>IF(G798="","",G798+H798)</f>
        <v/>
      </c>
      <c r="K798" s="20">
        <f>IF($A798="","",Master_Data!G798)</f>
        <v/>
      </c>
      <c r="L798" s="20">
        <f>IF($A798="","",Master_Data!G799)</f>
        <v/>
      </c>
      <c r="M798" s="20">
        <f>IF(AND(ISNUMBER(K798),ISNUMBER(L798)),L798-K798,"")</f>
        <v/>
      </c>
      <c r="N798" s="19">
        <f>IF(G798="","",IF(AND(ISNUMBER(K798),ISNUMBER(L798)),IF(OR(F798="GOC",F798="OWC",F798="GWC",F798="OWC_TRANSITION",F798="GOC_TRANSITION"),IF(L798&gt;=K798,"Supports","Conflicts"),"N/A"),"No Sw"))</f>
        <v/>
      </c>
      <c r="O798" s="20">
        <f>IF(G798="","",Settings!$B$6*IF(OR(F798="GOC",F798="OWC",F798="GWC"),1,0.7)+Settings!$B$7*IF(N798="Supports",1,IF(N798="Conflicts",0,0.5))+Settings!$B$8*IF(AND(Master_Data!R798&lt;&gt;"",Master_Data!S798&lt;&gt;"",Master_Data!R799&lt;&gt;"",Master_Data!S799&lt;&gt;""),1,0.5))</f>
        <v/>
      </c>
      <c r="P798" s="19">
        <f>IF(G798="","",IF(N798="Conflicts","SW_CONFLICT",IF(OR(F798="GOC",F798="OWC",F798="GWC"),"DIRECT_FLUID_TRANSITION","TRANSITION_INTERVAL")))</f>
        <v/>
      </c>
      <c r="Q798" s="19">
        <f>IF(G798="","",IF(N798="Conflicts","Investigate contact interpretation / saturation behaviour",IF(OR(F798="OWC",F798="GOC",F798="GWC"),"Candidate contact — validate with logs, pressure and dynamic evidence","Transition zone — do not force to a sharp contact")))</f>
        <v/>
      </c>
    </row>
    <row r="799">
      <c r="A799" s="19">
        <f>IF(AND(Master_Data!A799&lt;&gt;"",Master_Data!A799=Master_Data!A800),Master_Data!A799,"")</f>
        <v/>
      </c>
      <c r="B799" s="19">
        <f>IF($A799="","",Master_Data!B799)</f>
        <v/>
      </c>
      <c r="C799" s="19">
        <f>IF($A799="","",Master_Data!B800)</f>
        <v/>
      </c>
      <c r="D799" s="19">
        <f>IF($A799="","",Master_Data!Q799)</f>
        <v/>
      </c>
      <c r="E799" s="19">
        <f>IF($A799="","",Master_Data!Q800)</f>
        <v/>
      </c>
      <c r="F799" s="19">
        <f>IF($A799="","",IF(AND(D799="GAS",E799="OIL"),"GOC",IF(AND(D799="OIL",E799="WATER"),"OWC",IF(AND(D799="GAS",E799="WATER"),"GWC",IF(AND(D799="OIL",E799="OIL_WATER"),"OWC_TRANSITION",IF(AND(D799="OIL_WATER",E799="WATER"),"OWC_TRANSITION",IF(AND(D799="GAS",E799="GAS_WATER"),"GOC_TRANSITION",IF(AND(D799="GAS_WATER",E799="OIL"),"GOC_TRANSITION",IF(OR(D799="OIL_WATER",D799="GAS_WATER"),"TRANSITION_INTERVAL","")))))))))</f>
        <v/>
      </c>
      <c r="G799" s="20">
        <f>IF(OR(F799="",Master_Data!R799="",Master_Data!S799=""),"",IF(RIGHT(F799,10)="TRANSITION",AVERAGE(Master_Data!R799:Master_Data!S799),AVERAGE(Master_Data!S799,Master_Data!R800)))</f>
        <v/>
      </c>
      <c r="H799" s="20">
        <f>IF(G799="","",MAX(Settings!$B$4,Settings!$B$5*AVERAGE(IF(Master_Data!O799&lt;&gt;"",Master_Data!O799,Master_Data!H799),IF(Master_Data!O800&lt;&gt;"",Master_Data!O800,Master_Data!H800))))</f>
        <v/>
      </c>
      <c r="I799" s="20">
        <f>IF(G799="","",G799-H799)</f>
        <v/>
      </c>
      <c r="J799" s="20">
        <f>IF(G799="","",G799+H799)</f>
        <v/>
      </c>
      <c r="K799" s="20">
        <f>IF($A799="","",Master_Data!G799)</f>
        <v/>
      </c>
      <c r="L799" s="20">
        <f>IF($A799="","",Master_Data!G800)</f>
        <v/>
      </c>
      <c r="M799" s="20">
        <f>IF(AND(ISNUMBER(K799),ISNUMBER(L799)),L799-K799,"")</f>
        <v/>
      </c>
      <c r="N799" s="19">
        <f>IF(G799="","",IF(AND(ISNUMBER(K799),ISNUMBER(L799)),IF(OR(F799="GOC",F799="OWC",F799="GWC",F799="OWC_TRANSITION",F799="GOC_TRANSITION"),IF(L799&gt;=K799,"Supports","Conflicts"),"N/A"),"No Sw"))</f>
        <v/>
      </c>
      <c r="O799" s="20">
        <f>IF(G799="","",Settings!$B$6*IF(OR(F799="GOC",F799="OWC",F799="GWC"),1,0.7)+Settings!$B$7*IF(N799="Supports",1,IF(N799="Conflicts",0,0.5))+Settings!$B$8*IF(AND(Master_Data!R799&lt;&gt;"",Master_Data!S799&lt;&gt;"",Master_Data!R800&lt;&gt;"",Master_Data!S800&lt;&gt;""),1,0.5))</f>
        <v/>
      </c>
      <c r="P799" s="19">
        <f>IF(G799="","",IF(N799="Conflicts","SW_CONFLICT",IF(OR(F799="GOC",F799="OWC",F799="GWC"),"DIRECT_FLUID_TRANSITION","TRANSITION_INTERVAL")))</f>
        <v/>
      </c>
      <c r="Q799" s="19">
        <f>IF(G799="","",IF(N799="Conflicts","Investigate contact interpretation / saturation behaviour",IF(OR(F799="OWC",F799="GOC",F799="GWC"),"Candidate contact — validate with logs, pressure and dynamic evidence","Transition zone — do not force to a sharp contact")))</f>
        <v/>
      </c>
    </row>
    <row r="800">
      <c r="A800" s="19">
        <f>IF(AND(Master_Data!A800&lt;&gt;"",Master_Data!A800=Master_Data!A801),Master_Data!A800,"")</f>
        <v/>
      </c>
      <c r="B800" s="19">
        <f>IF($A800="","",Master_Data!B800)</f>
        <v/>
      </c>
      <c r="C800" s="19">
        <f>IF($A800="","",Master_Data!B801)</f>
        <v/>
      </c>
      <c r="D800" s="19">
        <f>IF($A800="","",Master_Data!Q800)</f>
        <v/>
      </c>
      <c r="E800" s="19">
        <f>IF($A800="","",Master_Data!Q801)</f>
        <v/>
      </c>
      <c r="F800" s="19">
        <f>IF($A800="","",IF(AND(D800="GAS",E800="OIL"),"GOC",IF(AND(D800="OIL",E800="WATER"),"OWC",IF(AND(D800="GAS",E800="WATER"),"GWC",IF(AND(D800="OIL",E800="OIL_WATER"),"OWC_TRANSITION",IF(AND(D800="OIL_WATER",E800="WATER"),"OWC_TRANSITION",IF(AND(D800="GAS",E800="GAS_WATER"),"GOC_TRANSITION",IF(AND(D800="GAS_WATER",E800="OIL"),"GOC_TRANSITION",IF(OR(D800="OIL_WATER",D800="GAS_WATER"),"TRANSITION_INTERVAL","")))))))))</f>
        <v/>
      </c>
      <c r="G800" s="20">
        <f>IF(OR(F800="",Master_Data!R800="",Master_Data!S800=""),"",IF(RIGHT(F800,10)="TRANSITION",AVERAGE(Master_Data!R800:Master_Data!S800),AVERAGE(Master_Data!S800,Master_Data!R801)))</f>
        <v/>
      </c>
      <c r="H800" s="20">
        <f>IF(G800="","",MAX(Settings!$B$4,Settings!$B$5*AVERAGE(IF(Master_Data!O800&lt;&gt;"",Master_Data!O800,Master_Data!H800),IF(Master_Data!O801&lt;&gt;"",Master_Data!O801,Master_Data!H801))))</f>
        <v/>
      </c>
      <c r="I800" s="20">
        <f>IF(G800="","",G800-H800)</f>
        <v/>
      </c>
      <c r="J800" s="20">
        <f>IF(G800="","",G800+H800)</f>
        <v/>
      </c>
      <c r="K800" s="20">
        <f>IF($A800="","",Master_Data!G800)</f>
        <v/>
      </c>
      <c r="L800" s="20">
        <f>IF($A800="","",Master_Data!G801)</f>
        <v/>
      </c>
      <c r="M800" s="20">
        <f>IF(AND(ISNUMBER(K800),ISNUMBER(L800)),L800-K800,"")</f>
        <v/>
      </c>
      <c r="N800" s="19">
        <f>IF(G800="","",IF(AND(ISNUMBER(K800),ISNUMBER(L800)),IF(OR(F800="GOC",F800="OWC",F800="GWC",F800="OWC_TRANSITION",F800="GOC_TRANSITION"),IF(L800&gt;=K800,"Supports","Conflicts"),"N/A"),"No Sw"))</f>
        <v/>
      </c>
      <c r="O800" s="20">
        <f>IF(G800="","",Settings!$B$6*IF(OR(F800="GOC",F800="OWC",F800="GWC"),1,0.7)+Settings!$B$7*IF(N800="Supports",1,IF(N800="Conflicts",0,0.5))+Settings!$B$8*IF(AND(Master_Data!R800&lt;&gt;"",Master_Data!S800&lt;&gt;"",Master_Data!R801&lt;&gt;"",Master_Data!S801&lt;&gt;""),1,0.5))</f>
        <v/>
      </c>
      <c r="P800" s="19">
        <f>IF(G800="","",IF(N800="Conflicts","SW_CONFLICT",IF(OR(F800="GOC",F800="OWC",F800="GWC"),"DIRECT_FLUID_TRANSITION","TRANSITION_INTERVAL")))</f>
        <v/>
      </c>
      <c r="Q800" s="19">
        <f>IF(G800="","",IF(N800="Conflicts","Investigate contact interpretation / saturation behaviour",IF(OR(F800="OWC",F800="GOC",F800="GWC"),"Candidate contact — validate with logs, pressure and dynamic evidence","Transition zone — do not force to a sharp contact")))</f>
        <v/>
      </c>
    </row>
    <row r="801">
      <c r="A801" s="19">
        <f>IF(AND(Master_Data!A801&lt;&gt;"",Master_Data!A801=Master_Data!A802),Master_Data!A801,"")</f>
        <v/>
      </c>
      <c r="B801" s="19">
        <f>IF($A801="","",Master_Data!B801)</f>
        <v/>
      </c>
      <c r="C801" s="19">
        <f>IF($A801="","",Master_Data!B802)</f>
        <v/>
      </c>
      <c r="D801" s="19">
        <f>IF($A801="","",Master_Data!Q801)</f>
        <v/>
      </c>
      <c r="E801" s="19">
        <f>IF($A801="","",Master_Data!Q802)</f>
        <v/>
      </c>
      <c r="F801" s="19">
        <f>IF($A801="","",IF(AND(D801="GAS",E801="OIL"),"GOC",IF(AND(D801="OIL",E801="WATER"),"OWC",IF(AND(D801="GAS",E801="WATER"),"GWC",IF(AND(D801="OIL",E801="OIL_WATER"),"OWC_TRANSITION",IF(AND(D801="OIL_WATER",E801="WATER"),"OWC_TRANSITION",IF(AND(D801="GAS",E801="GAS_WATER"),"GOC_TRANSITION",IF(AND(D801="GAS_WATER",E801="OIL"),"GOC_TRANSITION",IF(OR(D801="OIL_WATER",D801="GAS_WATER"),"TRANSITION_INTERVAL","")))))))))</f>
        <v/>
      </c>
      <c r="G801" s="20">
        <f>IF(OR(F801="",Master_Data!R801="",Master_Data!S801=""),"",IF(RIGHT(F801,10)="TRANSITION",AVERAGE(Master_Data!R801:Master_Data!S801),AVERAGE(Master_Data!S801,Master_Data!R802)))</f>
        <v/>
      </c>
      <c r="H801" s="20">
        <f>IF(G801="","",MAX(Settings!$B$4,Settings!$B$5*AVERAGE(IF(Master_Data!O801&lt;&gt;"",Master_Data!O801,Master_Data!H801),IF(Master_Data!O802&lt;&gt;"",Master_Data!O802,Master_Data!H802))))</f>
        <v/>
      </c>
      <c r="I801" s="20">
        <f>IF(G801="","",G801-H801)</f>
        <v/>
      </c>
      <c r="J801" s="20">
        <f>IF(G801="","",G801+H801)</f>
        <v/>
      </c>
      <c r="K801" s="20">
        <f>IF($A801="","",Master_Data!G801)</f>
        <v/>
      </c>
      <c r="L801" s="20">
        <f>IF($A801="","",Master_Data!G802)</f>
        <v/>
      </c>
      <c r="M801" s="20">
        <f>IF(AND(ISNUMBER(K801),ISNUMBER(L801)),L801-K801,"")</f>
        <v/>
      </c>
      <c r="N801" s="19">
        <f>IF(G801="","",IF(AND(ISNUMBER(K801),ISNUMBER(L801)),IF(OR(F801="GOC",F801="OWC",F801="GWC",F801="OWC_TRANSITION",F801="GOC_TRANSITION"),IF(L801&gt;=K801,"Supports","Conflicts"),"N/A"),"No Sw"))</f>
        <v/>
      </c>
      <c r="O801" s="20">
        <f>IF(G801="","",Settings!$B$6*IF(OR(F801="GOC",F801="OWC",F801="GWC"),1,0.7)+Settings!$B$7*IF(N801="Supports",1,IF(N801="Conflicts",0,0.5))+Settings!$B$8*IF(AND(Master_Data!R801&lt;&gt;"",Master_Data!S801&lt;&gt;"",Master_Data!R802&lt;&gt;"",Master_Data!S802&lt;&gt;""),1,0.5))</f>
        <v/>
      </c>
      <c r="P801" s="19">
        <f>IF(G801="","",IF(N801="Conflicts","SW_CONFLICT",IF(OR(F801="GOC",F801="OWC",F801="GWC"),"DIRECT_FLUID_TRANSITION","TRANSITION_INTERVAL")))</f>
        <v/>
      </c>
      <c r="Q801" s="19">
        <f>IF(G801="","",IF(N801="Conflicts","Investigate contact interpretation / saturation behaviour",IF(OR(F801="OWC",F801="GOC",F801="GWC"),"Candidate contact — validate with logs, pressure and dynamic evidence","Transition zone — do not force to a sharp contact")))</f>
        <v/>
      </c>
    </row>
    <row r="802">
      <c r="A802" s="19">
        <f>IF(AND(Master_Data!A802&lt;&gt;"",Master_Data!A802=Master_Data!A803),Master_Data!A802,"")</f>
        <v/>
      </c>
      <c r="B802" s="19">
        <f>IF($A802="","",Master_Data!B802)</f>
        <v/>
      </c>
      <c r="C802" s="19">
        <f>IF($A802="","",Master_Data!B803)</f>
        <v/>
      </c>
      <c r="D802" s="19">
        <f>IF($A802="","",Master_Data!Q802)</f>
        <v/>
      </c>
      <c r="E802" s="19">
        <f>IF($A802="","",Master_Data!Q803)</f>
        <v/>
      </c>
      <c r="F802" s="19">
        <f>IF($A802="","",IF(AND(D802="GAS",E802="OIL"),"GOC",IF(AND(D802="OIL",E802="WATER"),"OWC",IF(AND(D802="GAS",E802="WATER"),"GWC",IF(AND(D802="OIL",E802="OIL_WATER"),"OWC_TRANSITION",IF(AND(D802="OIL_WATER",E802="WATER"),"OWC_TRANSITION",IF(AND(D802="GAS",E802="GAS_WATER"),"GOC_TRANSITION",IF(AND(D802="GAS_WATER",E802="OIL"),"GOC_TRANSITION",IF(OR(D802="OIL_WATER",D802="GAS_WATER"),"TRANSITION_INTERVAL","")))))))))</f>
        <v/>
      </c>
      <c r="G802" s="20">
        <f>IF(OR(F802="",Master_Data!R802="",Master_Data!S802=""),"",IF(RIGHT(F802,10)="TRANSITION",AVERAGE(Master_Data!R802:Master_Data!S802),AVERAGE(Master_Data!S802,Master_Data!R803)))</f>
        <v/>
      </c>
      <c r="H802" s="20">
        <f>IF(G802="","",MAX(Settings!$B$4,Settings!$B$5*AVERAGE(IF(Master_Data!O802&lt;&gt;"",Master_Data!O802,Master_Data!H802),IF(Master_Data!O803&lt;&gt;"",Master_Data!O803,Master_Data!H803))))</f>
        <v/>
      </c>
      <c r="I802" s="20">
        <f>IF(G802="","",G802-H802)</f>
        <v/>
      </c>
      <c r="J802" s="20">
        <f>IF(G802="","",G802+H802)</f>
        <v/>
      </c>
      <c r="K802" s="20">
        <f>IF($A802="","",Master_Data!G802)</f>
        <v/>
      </c>
      <c r="L802" s="20">
        <f>IF($A802="","",Master_Data!G803)</f>
        <v/>
      </c>
      <c r="M802" s="20">
        <f>IF(AND(ISNUMBER(K802),ISNUMBER(L802)),L802-K802,"")</f>
        <v/>
      </c>
      <c r="N802" s="19">
        <f>IF(G802="","",IF(AND(ISNUMBER(K802),ISNUMBER(L802)),IF(OR(F802="GOC",F802="OWC",F802="GWC",F802="OWC_TRANSITION",F802="GOC_TRANSITION"),IF(L802&gt;=K802,"Supports","Conflicts"),"N/A"),"No Sw"))</f>
        <v/>
      </c>
      <c r="O802" s="20">
        <f>IF(G802="","",Settings!$B$6*IF(OR(F802="GOC",F802="OWC",F802="GWC"),1,0.7)+Settings!$B$7*IF(N802="Supports",1,IF(N802="Conflicts",0,0.5))+Settings!$B$8*IF(AND(Master_Data!R802&lt;&gt;"",Master_Data!S802&lt;&gt;"",Master_Data!R803&lt;&gt;"",Master_Data!S803&lt;&gt;""),1,0.5))</f>
        <v/>
      </c>
      <c r="P802" s="19">
        <f>IF(G802="","",IF(N802="Conflicts","SW_CONFLICT",IF(OR(F802="GOC",F802="OWC",F802="GWC"),"DIRECT_FLUID_TRANSITION","TRANSITION_INTERVAL")))</f>
        <v/>
      </c>
      <c r="Q802" s="19">
        <f>IF(G802="","",IF(N802="Conflicts","Investigate contact interpretation / saturation behaviour",IF(OR(F802="OWC",F802="GOC",F802="GWC"),"Candidate contact — validate with logs, pressure and dynamic evidence","Transition zone — do not force to a sharp contact")))</f>
        <v/>
      </c>
    </row>
    <row r="803">
      <c r="A803" s="19">
        <f>IF(AND(Master_Data!A803&lt;&gt;"",Master_Data!A803=Master_Data!A804),Master_Data!A803,"")</f>
        <v/>
      </c>
      <c r="B803" s="19">
        <f>IF($A803="","",Master_Data!B803)</f>
        <v/>
      </c>
      <c r="C803" s="19">
        <f>IF($A803="","",Master_Data!B804)</f>
        <v/>
      </c>
      <c r="D803" s="19">
        <f>IF($A803="","",Master_Data!Q803)</f>
        <v/>
      </c>
      <c r="E803" s="19">
        <f>IF($A803="","",Master_Data!Q804)</f>
        <v/>
      </c>
      <c r="F803" s="19">
        <f>IF($A803="","",IF(AND(D803="GAS",E803="OIL"),"GOC",IF(AND(D803="OIL",E803="WATER"),"OWC",IF(AND(D803="GAS",E803="WATER"),"GWC",IF(AND(D803="OIL",E803="OIL_WATER"),"OWC_TRANSITION",IF(AND(D803="OIL_WATER",E803="WATER"),"OWC_TRANSITION",IF(AND(D803="GAS",E803="GAS_WATER"),"GOC_TRANSITION",IF(AND(D803="GAS_WATER",E803="OIL"),"GOC_TRANSITION",IF(OR(D803="OIL_WATER",D803="GAS_WATER"),"TRANSITION_INTERVAL","")))))))))</f>
        <v/>
      </c>
      <c r="G803" s="20">
        <f>IF(OR(F803="",Master_Data!R803="",Master_Data!S803=""),"",IF(RIGHT(F803,10)="TRANSITION",AVERAGE(Master_Data!R803:Master_Data!S803),AVERAGE(Master_Data!S803,Master_Data!R804)))</f>
        <v/>
      </c>
      <c r="H803" s="20">
        <f>IF(G803="","",MAX(Settings!$B$4,Settings!$B$5*AVERAGE(IF(Master_Data!O803&lt;&gt;"",Master_Data!O803,Master_Data!H803),IF(Master_Data!O804&lt;&gt;"",Master_Data!O804,Master_Data!H804))))</f>
        <v/>
      </c>
      <c r="I803" s="20">
        <f>IF(G803="","",G803-H803)</f>
        <v/>
      </c>
      <c r="J803" s="20">
        <f>IF(G803="","",G803+H803)</f>
        <v/>
      </c>
      <c r="K803" s="20">
        <f>IF($A803="","",Master_Data!G803)</f>
        <v/>
      </c>
      <c r="L803" s="20">
        <f>IF($A803="","",Master_Data!G804)</f>
        <v/>
      </c>
      <c r="M803" s="20">
        <f>IF(AND(ISNUMBER(K803),ISNUMBER(L803)),L803-K803,"")</f>
        <v/>
      </c>
      <c r="N803" s="19">
        <f>IF(G803="","",IF(AND(ISNUMBER(K803),ISNUMBER(L803)),IF(OR(F803="GOC",F803="OWC",F803="GWC",F803="OWC_TRANSITION",F803="GOC_TRANSITION"),IF(L803&gt;=K803,"Supports","Conflicts"),"N/A"),"No Sw"))</f>
        <v/>
      </c>
      <c r="O803" s="20">
        <f>IF(G803="","",Settings!$B$6*IF(OR(F803="GOC",F803="OWC",F803="GWC"),1,0.7)+Settings!$B$7*IF(N803="Supports",1,IF(N803="Conflicts",0,0.5))+Settings!$B$8*IF(AND(Master_Data!R803&lt;&gt;"",Master_Data!S803&lt;&gt;"",Master_Data!R804&lt;&gt;"",Master_Data!S804&lt;&gt;""),1,0.5))</f>
        <v/>
      </c>
      <c r="P803" s="19">
        <f>IF(G803="","",IF(N803="Conflicts","SW_CONFLICT",IF(OR(F803="GOC",F803="OWC",F803="GWC"),"DIRECT_FLUID_TRANSITION","TRANSITION_INTERVAL")))</f>
        <v/>
      </c>
      <c r="Q803" s="19">
        <f>IF(G803="","",IF(N803="Conflicts","Investigate contact interpretation / saturation behaviour",IF(OR(F803="OWC",F803="GOC",F803="GWC"),"Candidate contact — validate with logs, pressure and dynamic evidence","Transition zone — do not force to a sharp contact")))</f>
        <v/>
      </c>
    </row>
    <row r="804">
      <c r="A804" s="19">
        <f>IF(AND(Master_Data!A804&lt;&gt;"",Master_Data!A804=Master_Data!A805),Master_Data!A804,"")</f>
        <v/>
      </c>
      <c r="B804" s="19">
        <f>IF($A804="","",Master_Data!B804)</f>
        <v/>
      </c>
      <c r="C804" s="19">
        <f>IF($A804="","",Master_Data!B805)</f>
        <v/>
      </c>
      <c r="D804" s="19">
        <f>IF($A804="","",Master_Data!Q804)</f>
        <v/>
      </c>
      <c r="E804" s="19">
        <f>IF($A804="","",Master_Data!Q805)</f>
        <v/>
      </c>
      <c r="F804" s="19">
        <f>IF($A804="","",IF(AND(D804="GAS",E804="OIL"),"GOC",IF(AND(D804="OIL",E804="WATER"),"OWC",IF(AND(D804="GAS",E804="WATER"),"GWC",IF(AND(D804="OIL",E804="OIL_WATER"),"OWC_TRANSITION",IF(AND(D804="OIL_WATER",E804="WATER"),"OWC_TRANSITION",IF(AND(D804="GAS",E804="GAS_WATER"),"GOC_TRANSITION",IF(AND(D804="GAS_WATER",E804="OIL"),"GOC_TRANSITION",IF(OR(D804="OIL_WATER",D804="GAS_WATER"),"TRANSITION_INTERVAL","")))))))))</f>
        <v/>
      </c>
      <c r="G804" s="20">
        <f>IF(OR(F804="",Master_Data!R804="",Master_Data!S804=""),"",IF(RIGHT(F804,10)="TRANSITION",AVERAGE(Master_Data!R804:Master_Data!S804),AVERAGE(Master_Data!S804,Master_Data!R805)))</f>
        <v/>
      </c>
      <c r="H804" s="20">
        <f>IF(G804="","",MAX(Settings!$B$4,Settings!$B$5*AVERAGE(IF(Master_Data!O804&lt;&gt;"",Master_Data!O804,Master_Data!H804),IF(Master_Data!O805&lt;&gt;"",Master_Data!O805,Master_Data!H805))))</f>
        <v/>
      </c>
      <c r="I804" s="20">
        <f>IF(G804="","",G804-H804)</f>
        <v/>
      </c>
      <c r="J804" s="20">
        <f>IF(G804="","",G804+H804)</f>
        <v/>
      </c>
      <c r="K804" s="20">
        <f>IF($A804="","",Master_Data!G804)</f>
        <v/>
      </c>
      <c r="L804" s="20">
        <f>IF($A804="","",Master_Data!G805)</f>
        <v/>
      </c>
      <c r="M804" s="20">
        <f>IF(AND(ISNUMBER(K804),ISNUMBER(L804)),L804-K804,"")</f>
        <v/>
      </c>
      <c r="N804" s="19">
        <f>IF(G804="","",IF(AND(ISNUMBER(K804),ISNUMBER(L804)),IF(OR(F804="GOC",F804="OWC",F804="GWC",F804="OWC_TRANSITION",F804="GOC_TRANSITION"),IF(L804&gt;=K804,"Supports","Conflicts"),"N/A"),"No Sw"))</f>
        <v/>
      </c>
      <c r="O804" s="20">
        <f>IF(G804="","",Settings!$B$6*IF(OR(F804="GOC",F804="OWC",F804="GWC"),1,0.7)+Settings!$B$7*IF(N804="Supports",1,IF(N804="Conflicts",0,0.5))+Settings!$B$8*IF(AND(Master_Data!R804&lt;&gt;"",Master_Data!S804&lt;&gt;"",Master_Data!R805&lt;&gt;"",Master_Data!S805&lt;&gt;""),1,0.5))</f>
        <v/>
      </c>
      <c r="P804" s="19">
        <f>IF(G804="","",IF(N804="Conflicts","SW_CONFLICT",IF(OR(F804="GOC",F804="OWC",F804="GWC"),"DIRECT_FLUID_TRANSITION","TRANSITION_INTERVAL")))</f>
        <v/>
      </c>
      <c r="Q804" s="19">
        <f>IF(G804="","",IF(N804="Conflicts","Investigate contact interpretation / saturation behaviour",IF(OR(F804="OWC",F804="GOC",F804="GWC"),"Candidate contact — validate with logs, pressure and dynamic evidence","Transition zone — do not force to a sharp contact")))</f>
        <v/>
      </c>
    </row>
    <row r="805">
      <c r="A805" s="19">
        <f>IF(AND(Master_Data!A805&lt;&gt;"",Master_Data!A805=Master_Data!A806),Master_Data!A805,"")</f>
        <v/>
      </c>
      <c r="B805" s="19">
        <f>IF($A805="","",Master_Data!B805)</f>
        <v/>
      </c>
      <c r="C805" s="19">
        <f>IF($A805="","",Master_Data!B806)</f>
        <v/>
      </c>
      <c r="D805" s="19">
        <f>IF($A805="","",Master_Data!Q805)</f>
        <v/>
      </c>
      <c r="E805" s="19">
        <f>IF($A805="","",Master_Data!Q806)</f>
        <v/>
      </c>
      <c r="F805" s="19">
        <f>IF($A805="","",IF(AND(D805="GAS",E805="OIL"),"GOC",IF(AND(D805="OIL",E805="WATER"),"OWC",IF(AND(D805="GAS",E805="WATER"),"GWC",IF(AND(D805="OIL",E805="OIL_WATER"),"OWC_TRANSITION",IF(AND(D805="OIL_WATER",E805="WATER"),"OWC_TRANSITION",IF(AND(D805="GAS",E805="GAS_WATER"),"GOC_TRANSITION",IF(AND(D805="GAS_WATER",E805="OIL"),"GOC_TRANSITION",IF(OR(D805="OIL_WATER",D805="GAS_WATER"),"TRANSITION_INTERVAL","")))))))))</f>
        <v/>
      </c>
      <c r="G805" s="20">
        <f>IF(OR(F805="",Master_Data!R805="",Master_Data!S805=""),"",IF(RIGHT(F805,10)="TRANSITION",AVERAGE(Master_Data!R805:Master_Data!S805),AVERAGE(Master_Data!S805,Master_Data!R806)))</f>
        <v/>
      </c>
      <c r="H805" s="20">
        <f>IF(G805="","",MAX(Settings!$B$4,Settings!$B$5*AVERAGE(IF(Master_Data!O805&lt;&gt;"",Master_Data!O805,Master_Data!H805),IF(Master_Data!O806&lt;&gt;"",Master_Data!O806,Master_Data!H806))))</f>
        <v/>
      </c>
      <c r="I805" s="20">
        <f>IF(G805="","",G805-H805)</f>
        <v/>
      </c>
      <c r="J805" s="20">
        <f>IF(G805="","",G805+H805)</f>
        <v/>
      </c>
      <c r="K805" s="20">
        <f>IF($A805="","",Master_Data!G805)</f>
        <v/>
      </c>
      <c r="L805" s="20">
        <f>IF($A805="","",Master_Data!G806)</f>
        <v/>
      </c>
      <c r="M805" s="20">
        <f>IF(AND(ISNUMBER(K805),ISNUMBER(L805)),L805-K805,"")</f>
        <v/>
      </c>
      <c r="N805" s="19">
        <f>IF(G805="","",IF(AND(ISNUMBER(K805),ISNUMBER(L805)),IF(OR(F805="GOC",F805="OWC",F805="GWC",F805="OWC_TRANSITION",F805="GOC_TRANSITION"),IF(L805&gt;=K805,"Supports","Conflicts"),"N/A"),"No Sw"))</f>
        <v/>
      </c>
      <c r="O805" s="20">
        <f>IF(G805="","",Settings!$B$6*IF(OR(F805="GOC",F805="OWC",F805="GWC"),1,0.7)+Settings!$B$7*IF(N805="Supports",1,IF(N805="Conflicts",0,0.5))+Settings!$B$8*IF(AND(Master_Data!R805&lt;&gt;"",Master_Data!S805&lt;&gt;"",Master_Data!R806&lt;&gt;"",Master_Data!S806&lt;&gt;""),1,0.5))</f>
        <v/>
      </c>
      <c r="P805" s="19">
        <f>IF(G805="","",IF(N805="Conflicts","SW_CONFLICT",IF(OR(F805="GOC",F805="OWC",F805="GWC"),"DIRECT_FLUID_TRANSITION","TRANSITION_INTERVAL")))</f>
        <v/>
      </c>
      <c r="Q805" s="19">
        <f>IF(G805="","",IF(N805="Conflicts","Investigate contact interpretation / saturation behaviour",IF(OR(F805="OWC",F805="GOC",F805="GWC"),"Candidate contact — validate with logs, pressure and dynamic evidence","Transition zone — do not force to a sharp contact")))</f>
        <v/>
      </c>
    </row>
    <row r="806">
      <c r="A806" s="19">
        <f>IF(AND(Master_Data!A806&lt;&gt;"",Master_Data!A806=Master_Data!A807),Master_Data!A806,"")</f>
        <v/>
      </c>
      <c r="B806" s="19">
        <f>IF($A806="","",Master_Data!B806)</f>
        <v/>
      </c>
      <c r="C806" s="19">
        <f>IF($A806="","",Master_Data!B807)</f>
        <v/>
      </c>
      <c r="D806" s="19">
        <f>IF($A806="","",Master_Data!Q806)</f>
        <v/>
      </c>
      <c r="E806" s="19">
        <f>IF($A806="","",Master_Data!Q807)</f>
        <v/>
      </c>
      <c r="F806" s="19">
        <f>IF($A806="","",IF(AND(D806="GAS",E806="OIL"),"GOC",IF(AND(D806="OIL",E806="WATER"),"OWC",IF(AND(D806="GAS",E806="WATER"),"GWC",IF(AND(D806="OIL",E806="OIL_WATER"),"OWC_TRANSITION",IF(AND(D806="OIL_WATER",E806="WATER"),"OWC_TRANSITION",IF(AND(D806="GAS",E806="GAS_WATER"),"GOC_TRANSITION",IF(AND(D806="GAS_WATER",E806="OIL"),"GOC_TRANSITION",IF(OR(D806="OIL_WATER",D806="GAS_WATER"),"TRANSITION_INTERVAL","")))))))))</f>
        <v/>
      </c>
      <c r="G806" s="20">
        <f>IF(OR(F806="",Master_Data!R806="",Master_Data!S806=""),"",IF(RIGHT(F806,10)="TRANSITION",AVERAGE(Master_Data!R806:Master_Data!S806),AVERAGE(Master_Data!S806,Master_Data!R807)))</f>
        <v/>
      </c>
      <c r="H806" s="20">
        <f>IF(G806="","",MAX(Settings!$B$4,Settings!$B$5*AVERAGE(IF(Master_Data!O806&lt;&gt;"",Master_Data!O806,Master_Data!H806),IF(Master_Data!O807&lt;&gt;"",Master_Data!O807,Master_Data!H807))))</f>
        <v/>
      </c>
      <c r="I806" s="20">
        <f>IF(G806="","",G806-H806)</f>
        <v/>
      </c>
      <c r="J806" s="20">
        <f>IF(G806="","",G806+H806)</f>
        <v/>
      </c>
      <c r="K806" s="20">
        <f>IF($A806="","",Master_Data!G806)</f>
        <v/>
      </c>
      <c r="L806" s="20">
        <f>IF($A806="","",Master_Data!G807)</f>
        <v/>
      </c>
      <c r="M806" s="20">
        <f>IF(AND(ISNUMBER(K806),ISNUMBER(L806)),L806-K806,"")</f>
        <v/>
      </c>
      <c r="N806" s="19">
        <f>IF(G806="","",IF(AND(ISNUMBER(K806),ISNUMBER(L806)),IF(OR(F806="GOC",F806="OWC",F806="GWC",F806="OWC_TRANSITION",F806="GOC_TRANSITION"),IF(L806&gt;=K806,"Supports","Conflicts"),"N/A"),"No Sw"))</f>
        <v/>
      </c>
      <c r="O806" s="20">
        <f>IF(G806="","",Settings!$B$6*IF(OR(F806="GOC",F806="OWC",F806="GWC"),1,0.7)+Settings!$B$7*IF(N806="Supports",1,IF(N806="Conflicts",0,0.5))+Settings!$B$8*IF(AND(Master_Data!R806&lt;&gt;"",Master_Data!S806&lt;&gt;"",Master_Data!R807&lt;&gt;"",Master_Data!S807&lt;&gt;""),1,0.5))</f>
        <v/>
      </c>
      <c r="P806" s="19">
        <f>IF(G806="","",IF(N806="Conflicts","SW_CONFLICT",IF(OR(F806="GOC",F806="OWC",F806="GWC"),"DIRECT_FLUID_TRANSITION","TRANSITION_INTERVAL")))</f>
        <v/>
      </c>
      <c r="Q806" s="19">
        <f>IF(G806="","",IF(N806="Conflicts","Investigate contact interpretation / saturation behaviour",IF(OR(F806="OWC",F806="GOC",F806="GWC"),"Candidate contact — validate with logs, pressure and dynamic evidence","Transition zone — do not force to a sharp contact")))</f>
        <v/>
      </c>
    </row>
    <row r="807">
      <c r="A807" s="19">
        <f>IF(AND(Master_Data!A807&lt;&gt;"",Master_Data!A807=Master_Data!A808),Master_Data!A807,"")</f>
        <v/>
      </c>
      <c r="B807" s="19">
        <f>IF($A807="","",Master_Data!B807)</f>
        <v/>
      </c>
      <c r="C807" s="19">
        <f>IF($A807="","",Master_Data!B808)</f>
        <v/>
      </c>
      <c r="D807" s="19">
        <f>IF($A807="","",Master_Data!Q807)</f>
        <v/>
      </c>
      <c r="E807" s="19">
        <f>IF($A807="","",Master_Data!Q808)</f>
        <v/>
      </c>
      <c r="F807" s="19">
        <f>IF($A807="","",IF(AND(D807="GAS",E807="OIL"),"GOC",IF(AND(D807="OIL",E807="WATER"),"OWC",IF(AND(D807="GAS",E807="WATER"),"GWC",IF(AND(D807="OIL",E807="OIL_WATER"),"OWC_TRANSITION",IF(AND(D807="OIL_WATER",E807="WATER"),"OWC_TRANSITION",IF(AND(D807="GAS",E807="GAS_WATER"),"GOC_TRANSITION",IF(AND(D807="GAS_WATER",E807="OIL"),"GOC_TRANSITION",IF(OR(D807="OIL_WATER",D807="GAS_WATER"),"TRANSITION_INTERVAL","")))))))))</f>
        <v/>
      </c>
      <c r="G807" s="20">
        <f>IF(OR(F807="",Master_Data!R807="",Master_Data!S807=""),"",IF(RIGHT(F807,10)="TRANSITION",AVERAGE(Master_Data!R807:Master_Data!S807),AVERAGE(Master_Data!S807,Master_Data!R808)))</f>
        <v/>
      </c>
      <c r="H807" s="20">
        <f>IF(G807="","",MAX(Settings!$B$4,Settings!$B$5*AVERAGE(IF(Master_Data!O807&lt;&gt;"",Master_Data!O807,Master_Data!H807),IF(Master_Data!O808&lt;&gt;"",Master_Data!O808,Master_Data!H808))))</f>
        <v/>
      </c>
      <c r="I807" s="20">
        <f>IF(G807="","",G807-H807)</f>
        <v/>
      </c>
      <c r="J807" s="20">
        <f>IF(G807="","",G807+H807)</f>
        <v/>
      </c>
      <c r="K807" s="20">
        <f>IF($A807="","",Master_Data!G807)</f>
        <v/>
      </c>
      <c r="L807" s="20">
        <f>IF($A807="","",Master_Data!G808)</f>
        <v/>
      </c>
      <c r="M807" s="20">
        <f>IF(AND(ISNUMBER(K807),ISNUMBER(L807)),L807-K807,"")</f>
        <v/>
      </c>
      <c r="N807" s="19">
        <f>IF(G807="","",IF(AND(ISNUMBER(K807),ISNUMBER(L807)),IF(OR(F807="GOC",F807="OWC",F807="GWC",F807="OWC_TRANSITION",F807="GOC_TRANSITION"),IF(L807&gt;=K807,"Supports","Conflicts"),"N/A"),"No Sw"))</f>
        <v/>
      </c>
      <c r="O807" s="20">
        <f>IF(G807="","",Settings!$B$6*IF(OR(F807="GOC",F807="OWC",F807="GWC"),1,0.7)+Settings!$B$7*IF(N807="Supports",1,IF(N807="Conflicts",0,0.5))+Settings!$B$8*IF(AND(Master_Data!R807&lt;&gt;"",Master_Data!S807&lt;&gt;"",Master_Data!R808&lt;&gt;"",Master_Data!S808&lt;&gt;""),1,0.5))</f>
        <v/>
      </c>
      <c r="P807" s="19">
        <f>IF(G807="","",IF(N807="Conflicts","SW_CONFLICT",IF(OR(F807="GOC",F807="OWC",F807="GWC"),"DIRECT_FLUID_TRANSITION","TRANSITION_INTERVAL")))</f>
        <v/>
      </c>
      <c r="Q807" s="19">
        <f>IF(G807="","",IF(N807="Conflicts","Investigate contact interpretation / saturation behaviour",IF(OR(F807="OWC",F807="GOC",F807="GWC"),"Candidate contact — validate with logs, pressure and dynamic evidence","Transition zone — do not force to a sharp contact")))</f>
        <v/>
      </c>
    </row>
    <row r="808">
      <c r="A808" s="19">
        <f>IF(AND(Master_Data!A808&lt;&gt;"",Master_Data!A808=Master_Data!A809),Master_Data!A808,"")</f>
        <v/>
      </c>
      <c r="B808" s="19">
        <f>IF($A808="","",Master_Data!B808)</f>
        <v/>
      </c>
      <c r="C808" s="19">
        <f>IF($A808="","",Master_Data!B809)</f>
        <v/>
      </c>
      <c r="D808" s="19">
        <f>IF($A808="","",Master_Data!Q808)</f>
        <v/>
      </c>
      <c r="E808" s="19">
        <f>IF($A808="","",Master_Data!Q809)</f>
        <v/>
      </c>
      <c r="F808" s="19">
        <f>IF($A808="","",IF(AND(D808="GAS",E808="OIL"),"GOC",IF(AND(D808="OIL",E808="WATER"),"OWC",IF(AND(D808="GAS",E808="WATER"),"GWC",IF(AND(D808="OIL",E808="OIL_WATER"),"OWC_TRANSITION",IF(AND(D808="OIL_WATER",E808="WATER"),"OWC_TRANSITION",IF(AND(D808="GAS",E808="GAS_WATER"),"GOC_TRANSITION",IF(AND(D808="GAS_WATER",E808="OIL"),"GOC_TRANSITION",IF(OR(D808="OIL_WATER",D808="GAS_WATER"),"TRANSITION_INTERVAL","")))))))))</f>
        <v/>
      </c>
      <c r="G808" s="20">
        <f>IF(OR(F808="",Master_Data!R808="",Master_Data!S808=""),"",IF(RIGHT(F808,10)="TRANSITION",AVERAGE(Master_Data!R808:Master_Data!S808),AVERAGE(Master_Data!S808,Master_Data!R809)))</f>
        <v/>
      </c>
      <c r="H808" s="20">
        <f>IF(G808="","",MAX(Settings!$B$4,Settings!$B$5*AVERAGE(IF(Master_Data!O808&lt;&gt;"",Master_Data!O808,Master_Data!H808),IF(Master_Data!O809&lt;&gt;"",Master_Data!O809,Master_Data!H809))))</f>
        <v/>
      </c>
      <c r="I808" s="20">
        <f>IF(G808="","",G808-H808)</f>
        <v/>
      </c>
      <c r="J808" s="20">
        <f>IF(G808="","",G808+H808)</f>
        <v/>
      </c>
      <c r="K808" s="20">
        <f>IF($A808="","",Master_Data!G808)</f>
        <v/>
      </c>
      <c r="L808" s="20">
        <f>IF($A808="","",Master_Data!G809)</f>
        <v/>
      </c>
      <c r="M808" s="20">
        <f>IF(AND(ISNUMBER(K808),ISNUMBER(L808)),L808-K808,"")</f>
        <v/>
      </c>
      <c r="N808" s="19">
        <f>IF(G808="","",IF(AND(ISNUMBER(K808),ISNUMBER(L808)),IF(OR(F808="GOC",F808="OWC",F808="GWC",F808="OWC_TRANSITION",F808="GOC_TRANSITION"),IF(L808&gt;=K808,"Supports","Conflicts"),"N/A"),"No Sw"))</f>
        <v/>
      </c>
      <c r="O808" s="20">
        <f>IF(G808="","",Settings!$B$6*IF(OR(F808="GOC",F808="OWC",F808="GWC"),1,0.7)+Settings!$B$7*IF(N808="Supports",1,IF(N808="Conflicts",0,0.5))+Settings!$B$8*IF(AND(Master_Data!R808&lt;&gt;"",Master_Data!S808&lt;&gt;"",Master_Data!R809&lt;&gt;"",Master_Data!S809&lt;&gt;""),1,0.5))</f>
        <v/>
      </c>
      <c r="P808" s="19">
        <f>IF(G808="","",IF(N808="Conflicts","SW_CONFLICT",IF(OR(F808="GOC",F808="OWC",F808="GWC"),"DIRECT_FLUID_TRANSITION","TRANSITION_INTERVAL")))</f>
        <v/>
      </c>
      <c r="Q808" s="19">
        <f>IF(G808="","",IF(N808="Conflicts","Investigate contact interpretation / saturation behaviour",IF(OR(F808="OWC",F808="GOC",F808="GWC"),"Candidate contact — validate with logs, pressure and dynamic evidence","Transition zone — do not force to a sharp contact")))</f>
        <v/>
      </c>
    </row>
    <row r="809">
      <c r="A809" s="19">
        <f>IF(AND(Master_Data!A809&lt;&gt;"",Master_Data!A809=Master_Data!A810),Master_Data!A809,"")</f>
        <v/>
      </c>
      <c r="B809" s="19">
        <f>IF($A809="","",Master_Data!B809)</f>
        <v/>
      </c>
      <c r="C809" s="19">
        <f>IF($A809="","",Master_Data!B810)</f>
        <v/>
      </c>
      <c r="D809" s="19">
        <f>IF($A809="","",Master_Data!Q809)</f>
        <v/>
      </c>
      <c r="E809" s="19">
        <f>IF($A809="","",Master_Data!Q810)</f>
        <v/>
      </c>
      <c r="F809" s="19">
        <f>IF($A809="","",IF(AND(D809="GAS",E809="OIL"),"GOC",IF(AND(D809="OIL",E809="WATER"),"OWC",IF(AND(D809="GAS",E809="WATER"),"GWC",IF(AND(D809="OIL",E809="OIL_WATER"),"OWC_TRANSITION",IF(AND(D809="OIL_WATER",E809="WATER"),"OWC_TRANSITION",IF(AND(D809="GAS",E809="GAS_WATER"),"GOC_TRANSITION",IF(AND(D809="GAS_WATER",E809="OIL"),"GOC_TRANSITION",IF(OR(D809="OIL_WATER",D809="GAS_WATER"),"TRANSITION_INTERVAL","")))))))))</f>
        <v/>
      </c>
      <c r="G809" s="20">
        <f>IF(OR(F809="",Master_Data!R809="",Master_Data!S809=""),"",IF(RIGHT(F809,10)="TRANSITION",AVERAGE(Master_Data!R809:Master_Data!S809),AVERAGE(Master_Data!S809,Master_Data!R810)))</f>
        <v/>
      </c>
      <c r="H809" s="20">
        <f>IF(G809="","",MAX(Settings!$B$4,Settings!$B$5*AVERAGE(IF(Master_Data!O809&lt;&gt;"",Master_Data!O809,Master_Data!H809),IF(Master_Data!O810&lt;&gt;"",Master_Data!O810,Master_Data!H810))))</f>
        <v/>
      </c>
      <c r="I809" s="20">
        <f>IF(G809="","",G809-H809)</f>
        <v/>
      </c>
      <c r="J809" s="20">
        <f>IF(G809="","",G809+H809)</f>
        <v/>
      </c>
      <c r="K809" s="20">
        <f>IF($A809="","",Master_Data!G809)</f>
        <v/>
      </c>
      <c r="L809" s="20">
        <f>IF($A809="","",Master_Data!G810)</f>
        <v/>
      </c>
      <c r="M809" s="20">
        <f>IF(AND(ISNUMBER(K809),ISNUMBER(L809)),L809-K809,"")</f>
        <v/>
      </c>
      <c r="N809" s="19">
        <f>IF(G809="","",IF(AND(ISNUMBER(K809),ISNUMBER(L809)),IF(OR(F809="GOC",F809="OWC",F809="GWC",F809="OWC_TRANSITION",F809="GOC_TRANSITION"),IF(L809&gt;=K809,"Supports","Conflicts"),"N/A"),"No Sw"))</f>
        <v/>
      </c>
      <c r="O809" s="20">
        <f>IF(G809="","",Settings!$B$6*IF(OR(F809="GOC",F809="OWC",F809="GWC"),1,0.7)+Settings!$B$7*IF(N809="Supports",1,IF(N809="Conflicts",0,0.5))+Settings!$B$8*IF(AND(Master_Data!R809&lt;&gt;"",Master_Data!S809&lt;&gt;"",Master_Data!R810&lt;&gt;"",Master_Data!S810&lt;&gt;""),1,0.5))</f>
        <v/>
      </c>
      <c r="P809" s="19">
        <f>IF(G809="","",IF(N809="Conflicts","SW_CONFLICT",IF(OR(F809="GOC",F809="OWC",F809="GWC"),"DIRECT_FLUID_TRANSITION","TRANSITION_INTERVAL")))</f>
        <v/>
      </c>
      <c r="Q809" s="19">
        <f>IF(G809="","",IF(N809="Conflicts","Investigate contact interpretation / saturation behaviour",IF(OR(F809="OWC",F809="GOC",F809="GWC"),"Candidate contact — validate with logs, pressure and dynamic evidence","Transition zone — do not force to a sharp contact")))</f>
        <v/>
      </c>
    </row>
    <row r="810">
      <c r="A810" s="19">
        <f>IF(AND(Master_Data!A810&lt;&gt;"",Master_Data!A810=Master_Data!A811),Master_Data!A810,"")</f>
        <v/>
      </c>
      <c r="B810" s="19">
        <f>IF($A810="","",Master_Data!B810)</f>
        <v/>
      </c>
      <c r="C810" s="19">
        <f>IF($A810="","",Master_Data!B811)</f>
        <v/>
      </c>
      <c r="D810" s="19">
        <f>IF($A810="","",Master_Data!Q810)</f>
        <v/>
      </c>
      <c r="E810" s="19">
        <f>IF($A810="","",Master_Data!Q811)</f>
        <v/>
      </c>
      <c r="F810" s="19">
        <f>IF($A810="","",IF(AND(D810="GAS",E810="OIL"),"GOC",IF(AND(D810="OIL",E810="WATER"),"OWC",IF(AND(D810="GAS",E810="WATER"),"GWC",IF(AND(D810="OIL",E810="OIL_WATER"),"OWC_TRANSITION",IF(AND(D810="OIL_WATER",E810="WATER"),"OWC_TRANSITION",IF(AND(D810="GAS",E810="GAS_WATER"),"GOC_TRANSITION",IF(AND(D810="GAS_WATER",E810="OIL"),"GOC_TRANSITION",IF(OR(D810="OIL_WATER",D810="GAS_WATER"),"TRANSITION_INTERVAL","")))))))))</f>
        <v/>
      </c>
      <c r="G810" s="20">
        <f>IF(OR(F810="",Master_Data!R810="",Master_Data!S810=""),"",IF(RIGHT(F810,10)="TRANSITION",AVERAGE(Master_Data!R810:Master_Data!S810),AVERAGE(Master_Data!S810,Master_Data!R811)))</f>
        <v/>
      </c>
      <c r="H810" s="20">
        <f>IF(G810="","",MAX(Settings!$B$4,Settings!$B$5*AVERAGE(IF(Master_Data!O810&lt;&gt;"",Master_Data!O810,Master_Data!H810),IF(Master_Data!O811&lt;&gt;"",Master_Data!O811,Master_Data!H811))))</f>
        <v/>
      </c>
      <c r="I810" s="20">
        <f>IF(G810="","",G810-H810)</f>
        <v/>
      </c>
      <c r="J810" s="20">
        <f>IF(G810="","",G810+H810)</f>
        <v/>
      </c>
      <c r="K810" s="20">
        <f>IF($A810="","",Master_Data!G810)</f>
        <v/>
      </c>
      <c r="L810" s="20">
        <f>IF($A810="","",Master_Data!G811)</f>
        <v/>
      </c>
      <c r="M810" s="20">
        <f>IF(AND(ISNUMBER(K810),ISNUMBER(L810)),L810-K810,"")</f>
        <v/>
      </c>
      <c r="N810" s="19">
        <f>IF(G810="","",IF(AND(ISNUMBER(K810),ISNUMBER(L810)),IF(OR(F810="GOC",F810="OWC",F810="GWC",F810="OWC_TRANSITION",F810="GOC_TRANSITION"),IF(L810&gt;=K810,"Supports","Conflicts"),"N/A"),"No Sw"))</f>
        <v/>
      </c>
      <c r="O810" s="20">
        <f>IF(G810="","",Settings!$B$6*IF(OR(F810="GOC",F810="OWC",F810="GWC"),1,0.7)+Settings!$B$7*IF(N810="Supports",1,IF(N810="Conflicts",0,0.5))+Settings!$B$8*IF(AND(Master_Data!R810&lt;&gt;"",Master_Data!S810&lt;&gt;"",Master_Data!R811&lt;&gt;"",Master_Data!S811&lt;&gt;""),1,0.5))</f>
        <v/>
      </c>
      <c r="P810" s="19">
        <f>IF(G810="","",IF(N810="Conflicts","SW_CONFLICT",IF(OR(F810="GOC",F810="OWC",F810="GWC"),"DIRECT_FLUID_TRANSITION","TRANSITION_INTERVAL")))</f>
        <v/>
      </c>
      <c r="Q810" s="19">
        <f>IF(G810="","",IF(N810="Conflicts","Investigate contact interpretation / saturation behaviour",IF(OR(F810="OWC",F810="GOC",F810="GWC"),"Candidate contact — validate with logs, pressure and dynamic evidence","Transition zone — do not force to a sharp contact")))</f>
        <v/>
      </c>
    </row>
    <row r="811">
      <c r="A811" s="19">
        <f>IF(AND(Master_Data!A811&lt;&gt;"",Master_Data!A811=Master_Data!A812),Master_Data!A811,"")</f>
        <v/>
      </c>
      <c r="B811" s="19">
        <f>IF($A811="","",Master_Data!B811)</f>
        <v/>
      </c>
      <c r="C811" s="19">
        <f>IF($A811="","",Master_Data!B812)</f>
        <v/>
      </c>
      <c r="D811" s="19">
        <f>IF($A811="","",Master_Data!Q811)</f>
        <v/>
      </c>
      <c r="E811" s="19">
        <f>IF($A811="","",Master_Data!Q812)</f>
        <v/>
      </c>
      <c r="F811" s="19">
        <f>IF($A811="","",IF(AND(D811="GAS",E811="OIL"),"GOC",IF(AND(D811="OIL",E811="WATER"),"OWC",IF(AND(D811="GAS",E811="WATER"),"GWC",IF(AND(D811="OIL",E811="OIL_WATER"),"OWC_TRANSITION",IF(AND(D811="OIL_WATER",E811="WATER"),"OWC_TRANSITION",IF(AND(D811="GAS",E811="GAS_WATER"),"GOC_TRANSITION",IF(AND(D811="GAS_WATER",E811="OIL"),"GOC_TRANSITION",IF(OR(D811="OIL_WATER",D811="GAS_WATER"),"TRANSITION_INTERVAL","")))))))))</f>
        <v/>
      </c>
      <c r="G811" s="20">
        <f>IF(OR(F811="",Master_Data!R811="",Master_Data!S811=""),"",IF(RIGHT(F811,10)="TRANSITION",AVERAGE(Master_Data!R811:Master_Data!S811),AVERAGE(Master_Data!S811,Master_Data!R812)))</f>
        <v/>
      </c>
      <c r="H811" s="20">
        <f>IF(G811="","",MAX(Settings!$B$4,Settings!$B$5*AVERAGE(IF(Master_Data!O811&lt;&gt;"",Master_Data!O811,Master_Data!H811),IF(Master_Data!O812&lt;&gt;"",Master_Data!O812,Master_Data!H812))))</f>
        <v/>
      </c>
      <c r="I811" s="20">
        <f>IF(G811="","",G811-H811)</f>
        <v/>
      </c>
      <c r="J811" s="20">
        <f>IF(G811="","",G811+H811)</f>
        <v/>
      </c>
      <c r="K811" s="20">
        <f>IF($A811="","",Master_Data!G811)</f>
        <v/>
      </c>
      <c r="L811" s="20">
        <f>IF($A811="","",Master_Data!G812)</f>
        <v/>
      </c>
      <c r="M811" s="20">
        <f>IF(AND(ISNUMBER(K811),ISNUMBER(L811)),L811-K811,"")</f>
        <v/>
      </c>
      <c r="N811" s="19">
        <f>IF(G811="","",IF(AND(ISNUMBER(K811),ISNUMBER(L811)),IF(OR(F811="GOC",F811="OWC",F811="GWC",F811="OWC_TRANSITION",F811="GOC_TRANSITION"),IF(L811&gt;=K811,"Supports","Conflicts"),"N/A"),"No Sw"))</f>
        <v/>
      </c>
      <c r="O811" s="20">
        <f>IF(G811="","",Settings!$B$6*IF(OR(F811="GOC",F811="OWC",F811="GWC"),1,0.7)+Settings!$B$7*IF(N811="Supports",1,IF(N811="Conflicts",0,0.5))+Settings!$B$8*IF(AND(Master_Data!R811&lt;&gt;"",Master_Data!S811&lt;&gt;"",Master_Data!R812&lt;&gt;"",Master_Data!S812&lt;&gt;""),1,0.5))</f>
        <v/>
      </c>
      <c r="P811" s="19">
        <f>IF(G811="","",IF(N811="Conflicts","SW_CONFLICT",IF(OR(F811="GOC",F811="OWC",F811="GWC"),"DIRECT_FLUID_TRANSITION","TRANSITION_INTERVAL")))</f>
        <v/>
      </c>
      <c r="Q811" s="19">
        <f>IF(G811="","",IF(N811="Conflicts","Investigate contact interpretation / saturation behaviour",IF(OR(F811="OWC",F811="GOC",F811="GWC"),"Candidate contact — validate with logs, pressure and dynamic evidence","Transition zone — do not force to a sharp contact")))</f>
        <v/>
      </c>
    </row>
    <row r="812">
      <c r="A812" s="19">
        <f>IF(AND(Master_Data!A812&lt;&gt;"",Master_Data!A812=Master_Data!A813),Master_Data!A812,"")</f>
        <v/>
      </c>
      <c r="B812" s="19">
        <f>IF($A812="","",Master_Data!B812)</f>
        <v/>
      </c>
      <c r="C812" s="19">
        <f>IF($A812="","",Master_Data!B813)</f>
        <v/>
      </c>
      <c r="D812" s="19">
        <f>IF($A812="","",Master_Data!Q812)</f>
        <v/>
      </c>
      <c r="E812" s="19">
        <f>IF($A812="","",Master_Data!Q813)</f>
        <v/>
      </c>
      <c r="F812" s="19">
        <f>IF($A812="","",IF(AND(D812="GAS",E812="OIL"),"GOC",IF(AND(D812="OIL",E812="WATER"),"OWC",IF(AND(D812="GAS",E812="WATER"),"GWC",IF(AND(D812="OIL",E812="OIL_WATER"),"OWC_TRANSITION",IF(AND(D812="OIL_WATER",E812="WATER"),"OWC_TRANSITION",IF(AND(D812="GAS",E812="GAS_WATER"),"GOC_TRANSITION",IF(AND(D812="GAS_WATER",E812="OIL"),"GOC_TRANSITION",IF(OR(D812="OIL_WATER",D812="GAS_WATER"),"TRANSITION_INTERVAL","")))))))))</f>
        <v/>
      </c>
      <c r="G812" s="20">
        <f>IF(OR(F812="",Master_Data!R812="",Master_Data!S812=""),"",IF(RIGHT(F812,10)="TRANSITION",AVERAGE(Master_Data!R812:Master_Data!S812),AVERAGE(Master_Data!S812,Master_Data!R813)))</f>
        <v/>
      </c>
      <c r="H812" s="20">
        <f>IF(G812="","",MAX(Settings!$B$4,Settings!$B$5*AVERAGE(IF(Master_Data!O812&lt;&gt;"",Master_Data!O812,Master_Data!H812),IF(Master_Data!O813&lt;&gt;"",Master_Data!O813,Master_Data!H813))))</f>
        <v/>
      </c>
      <c r="I812" s="20">
        <f>IF(G812="","",G812-H812)</f>
        <v/>
      </c>
      <c r="J812" s="20">
        <f>IF(G812="","",G812+H812)</f>
        <v/>
      </c>
      <c r="K812" s="20">
        <f>IF($A812="","",Master_Data!G812)</f>
        <v/>
      </c>
      <c r="L812" s="20">
        <f>IF($A812="","",Master_Data!G813)</f>
        <v/>
      </c>
      <c r="M812" s="20">
        <f>IF(AND(ISNUMBER(K812),ISNUMBER(L812)),L812-K812,"")</f>
        <v/>
      </c>
      <c r="N812" s="19">
        <f>IF(G812="","",IF(AND(ISNUMBER(K812),ISNUMBER(L812)),IF(OR(F812="GOC",F812="OWC",F812="GWC",F812="OWC_TRANSITION",F812="GOC_TRANSITION"),IF(L812&gt;=K812,"Supports","Conflicts"),"N/A"),"No Sw"))</f>
        <v/>
      </c>
      <c r="O812" s="20">
        <f>IF(G812="","",Settings!$B$6*IF(OR(F812="GOC",F812="OWC",F812="GWC"),1,0.7)+Settings!$B$7*IF(N812="Supports",1,IF(N812="Conflicts",0,0.5))+Settings!$B$8*IF(AND(Master_Data!R812&lt;&gt;"",Master_Data!S812&lt;&gt;"",Master_Data!R813&lt;&gt;"",Master_Data!S813&lt;&gt;""),1,0.5))</f>
        <v/>
      </c>
      <c r="P812" s="19">
        <f>IF(G812="","",IF(N812="Conflicts","SW_CONFLICT",IF(OR(F812="GOC",F812="OWC",F812="GWC"),"DIRECT_FLUID_TRANSITION","TRANSITION_INTERVAL")))</f>
        <v/>
      </c>
      <c r="Q812" s="19">
        <f>IF(G812="","",IF(N812="Conflicts","Investigate contact interpretation / saturation behaviour",IF(OR(F812="OWC",F812="GOC",F812="GWC"),"Candidate contact — validate with logs, pressure and dynamic evidence","Transition zone — do not force to a sharp contact")))</f>
        <v/>
      </c>
    </row>
    <row r="813">
      <c r="A813" s="19">
        <f>IF(AND(Master_Data!A813&lt;&gt;"",Master_Data!A813=Master_Data!A814),Master_Data!A813,"")</f>
        <v/>
      </c>
      <c r="B813" s="19">
        <f>IF($A813="","",Master_Data!B813)</f>
        <v/>
      </c>
      <c r="C813" s="19">
        <f>IF($A813="","",Master_Data!B814)</f>
        <v/>
      </c>
      <c r="D813" s="19">
        <f>IF($A813="","",Master_Data!Q813)</f>
        <v/>
      </c>
      <c r="E813" s="19">
        <f>IF($A813="","",Master_Data!Q814)</f>
        <v/>
      </c>
      <c r="F813" s="19">
        <f>IF($A813="","",IF(AND(D813="GAS",E813="OIL"),"GOC",IF(AND(D813="OIL",E813="WATER"),"OWC",IF(AND(D813="GAS",E813="WATER"),"GWC",IF(AND(D813="OIL",E813="OIL_WATER"),"OWC_TRANSITION",IF(AND(D813="OIL_WATER",E813="WATER"),"OWC_TRANSITION",IF(AND(D813="GAS",E813="GAS_WATER"),"GOC_TRANSITION",IF(AND(D813="GAS_WATER",E813="OIL"),"GOC_TRANSITION",IF(OR(D813="OIL_WATER",D813="GAS_WATER"),"TRANSITION_INTERVAL","")))))))))</f>
        <v/>
      </c>
      <c r="G813" s="20">
        <f>IF(OR(F813="",Master_Data!R813="",Master_Data!S813=""),"",IF(RIGHT(F813,10)="TRANSITION",AVERAGE(Master_Data!R813:Master_Data!S813),AVERAGE(Master_Data!S813,Master_Data!R814)))</f>
        <v/>
      </c>
      <c r="H813" s="20">
        <f>IF(G813="","",MAX(Settings!$B$4,Settings!$B$5*AVERAGE(IF(Master_Data!O813&lt;&gt;"",Master_Data!O813,Master_Data!H813),IF(Master_Data!O814&lt;&gt;"",Master_Data!O814,Master_Data!H814))))</f>
        <v/>
      </c>
      <c r="I813" s="20">
        <f>IF(G813="","",G813-H813)</f>
        <v/>
      </c>
      <c r="J813" s="20">
        <f>IF(G813="","",G813+H813)</f>
        <v/>
      </c>
      <c r="K813" s="20">
        <f>IF($A813="","",Master_Data!G813)</f>
        <v/>
      </c>
      <c r="L813" s="20">
        <f>IF($A813="","",Master_Data!G814)</f>
        <v/>
      </c>
      <c r="M813" s="20">
        <f>IF(AND(ISNUMBER(K813),ISNUMBER(L813)),L813-K813,"")</f>
        <v/>
      </c>
      <c r="N813" s="19">
        <f>IF(G813="","",IF(AND(ISNUMBER(K813),ISNUMBER(L813)),IF(OR(F813="GOC",F813="OWC",F813="GWC",F813="OWC_TRANSITION",F813="GOC_TRANSITION"),IF(L813&gt;=K813,"Supports","Conflicts"),"N/A"),"No Sw"))</f>
        <v/>
      </c>
      <c r="O813" s="20">
        <f>IF(G813="","",Settings!$B$6*IF(OR(F813="GOC",F813="OWC",F813="GWC"),1,0.7)+Settings!$B$7*IF(N813="Supports",1,IF(N813="Conflicts",0,0.5))+Settings!$B$8*IF(AND(Master_Data!R813&lt;&gt;"",Master_Data!S813&lt;&gt;"",Master_Data!R814&lt;&gt;"",Master_Data!S814&lt;&gt;""),1,0.5))</f>
        <v/>
      </c>
      <c r="P813" s="19">
        <f>IF(G813="","",IF(N813="Conflicts","SW_CONFLICT",IF(OR(F813="GOC",F813="OWC",F813="GWC"),"DIRECT_FLUID_TRANSITION","TRANSITION_INTERVAL")))</f>
        <v/>
      </c>
      <c r="Q813" s="19">
        <f>IF(G813="","",IF(N813="Conflicts","Investigate contact interpretation / saturation behaviour",IF(OR(F813="OWC",F813="GOC",F813="GWC"),"Candidate contact — validate with logs, pressure and dynamic evidence","Transition zone — do not force to a sharp contact")))</f>
        <v/>
      </c>
    </row>
    <row r="814">
      <c r="A814" s="19">
        <f>IF(AND(Master_Data!A814&lt;&gt;"",Master_Data!A814=Master_Data!A815),Master_Data!A814,"")</f>
        <v/>
      </c>
      <c r="B814" s="19">
        <f>IF($A814="","",Master_Data!B814)</f>
        <v/>
      </c>
      <c r="C814" s="19">
        <f>IF($A814="","",Master_Data!B815)</f>
        <v/>
      </c>
      <c r="D814" s="19">
        <f>IF($A814="","",Master_Data!Q814)</f>
        <v/>
      </c>
      <c r="E814" s="19">
        <f>IF($A814="","",Master_Data!Q815)</f>
        <v/>
      </c>
      <c r="F814" s="19">
        <f>IF($A814="","",IF(AND(D814="GAS",E814="OIL"),"GOC",IF(AND(D814="OIL",E814="WATER"),"OWC",IF(AND(D814="GAS",E814="WATER"),"GWC",IF(AND(D814="OIL",E814="OIL_WATER"),"OWC_TRANSITION",IF(AND(D814="OIL_WATER",E814="WATER"),"OWC_TRANSITION",IF(AND(D814="GAS",E814="GAS_WATER"),"GOC_TRANSITION",IF(AND(D814="GAS_WATER",E814="OIL"),"GOC_TRANSITION",IF(OR(D814="OIL_WATER",D814="GAS_WATER"),"TRANSITION_INTERVAL","")))))))))</f>
        <v/>
      </c>
      <c r="G814" s="20">
        <f>IF(OR(F814="",Master_Data!R814="",Master_Data!S814=""),"",IF(RIGHT(F814,10)="TRANSITION",AVERAGE(Master_Data!R814:Master_Data!S814),AVERAGE(Master_Data!S814,Master_Data!R815)))</f>
        <v/>
      </c>
      <c r="H814" s="20">
        <f>IF(G814="","",MAX(Settings!$B$4,Settings!$B$5*AVERAGE(IF(Master_Data!O814&lt;&gt;"",Master_Data!O814,Master_Data!H814),IF(Master_Data!O815&lt;&gt;"",Master_Data!O815,Master_Data!H815))))</f>
        <v/>
      </c>
      <c r="I814" s="20">
        <f>IF(G814="","",G814-H814)</f>
        <v/>
      </c>
      <c r="J814" s="20">
        <f>IF(G814="","",G814+H814)</f>
        <v/>
      </c>
      <c r="K814" s="20">
        <f>IF($A814="","",Master_Data!G814)</f>
        <v/>
      </c>
      <c r="L814" s="20">
        <f>IF($A814="","",Master_Data!G815)</f>
        <v/>
      </c>
      <c r="M814" s="20">
        <f>IF(AND(ISNUMBER(K814),ISNUMBER(L814)),L814-K814,"")</f>
        <v/>
      </c>
      <c r="N814" s="19">
        <f>IF(G814="","",IF(AND(ISNUMBER(K814),ISNUMBER(L814)),IF(OR(F814="GOC",F814="OWC",F814="GWC",F814="OWC_TRANSITION",F814="GOC_TRANSITION"),IF(L814&gt;=K814,"Supports","Conflicts"),"N/A"),"No Sw"))</f>
        <v/>
      </c>
      <c r="O814" s="20">
        <f>IF(G814="","",Settings!$B$6*IF(OR(F814="GOC",F814="OWC",F814="GWC"),1,0.7)+Settings!$B$7*IF(N814="Supports",1,IF(N814="Conflicts",0,0.5))+Settings!$B$8*IF(AND(Master_Data!R814&lt;&gt;"",Master_Data!S814&lt;&gt;"",Master_Data!R815&lt;&gt;"",Master_Data!S815&lt;&gt;""),1,0.5))</f>
        <v/>
      </c>
      <c r="P814" s="19">
        <f>IF(G814="","",IF(N814="Conflicts","SW_CONFLICT",IF(OR(F814="GOC",F814="OWC",F814="GWC"),"DIRECT_FLUID_TRANSITION","TRANSITION_INTERVAL")))</f>
        <v/>
      </c>
      <c r="Q814" s="19">
        <f>IF(G814="","",IF(N814="Conflicts","Investigate contact interpretation / saturation behaviour",IF(OR(F814="OWC",F814="GOC",F814="GWC"),"Candidate contact — validate with logs, pressure and dynamic evidence","Transition zone — do not force to a sharp contact")))</f>
        <v/>
      </c>
    </row>
    <row r="815">
      <c r="A815" s="19">
        <f>IF(AND(Master_Data!A815&lt;&gt;"",Master_Data!A815=Master_Data!A816),Master_Data!A815,"")</f>
        <v/>
      </c>
      <c r="B815" s="19">
        <f>IF($A815="","",Master_Data!B815)</f>
        <v/>
      </c>
      <c r="C815" s="19">
        <f>IF($A815="","",Master_Data!B816)</f>
        <v/>
      </c>
      <c r="D815" s="19">
        <f>IF($A815="","",Master_Data!Q815)</f>
        <v/>
      </c>
      <c r="E815" s="19">
        <f>IF($A815="","",Master_Data!Q816)</f>
        <v/>
      </c>
      <c r="F815" s="19">
        <f>IF($A815="","",IF(AND(D815="GAS",E815="OIL"),"GOC",IF(AND(D815="OIL",E815="WATER"),"OWC",IF(AND(D815="GAS",E815="WATER"),"GWC",IF(AND(D815="OIL",E815="OIL_WATER"),"OWC_TRANSITION",IF(AND(D815="OIL_WATER",E815="WATER"),"OWC_TRANSITION",IF(AND(D815="GAS",E815="GAS_WATER"),"GOC_TRANSITION",IF(AND(D815="GAS_WATER",E815="OIL"),"GOC_TRANSITION",IF(OR(D815="OIL_WATER",D815="GAS_WATER"),"TRANSITION_INTERVAL","")))))))))</f>
        <v/>
      </c>
      <c r="G815" s="20">
        <f>IF(OR(F815="",Master_Data!R815="",Master_Data!S815=""),"",IF(RIGHT(F815,10)="TRANSITION",AVERAGE(Master_Data!R815:Master_Data!S815),AVERAGE(Master_Data!S815,Master_Data!R816)))</f>
        <v/>
      </c>
      <c r="H815" s="20">
        <f>IF(G815="","",MAX(Settings!$B$4,Settings!$B$5*AVERAGE(IF(Master_Data!O815&lt;&gt;"",Master_Data!O815,Master_Data!H815),IF(Master_Data!O816&lt;&gt;"",Master_Data!O816,Master_Data!H816))))</f>
        <v/>
      </c>
      <c r="I815" s="20">
        <f>IF(G815="","",G815-H815)</f>
        <v/>
      </c>
      <c r="J815" s="20">
        <f>IF(G815="","",G815+H815)</f>
        <v/>
      </c>
      <c r="K815" s="20">
        <f>IF($A815="","",Master_Data!G815)</f>
        <v/>
      </c>
      <c r="L815" s="20">
        <f>IF($A815="","",Master_Data!G816)</f>
        <v/>
      </c>
      <c r="M815" s="20">
        <f>IF(AND(ISNUMBER(K815),ISNUMBER(L815)),L815-K815,"")</f>
        <v/>
      </c>
      <c r="N815" s="19">
        <f>IF(G815="","",IF(AND(ISNUMBER(K815),ISNUMBER(L815)),IF(OR(F815="GOC",F815="OWC",F815="GWC",F815="OWC_TRANSITION",F815="GOC_TRANSITION"),IF(L815&gt;=K815,"Supports","Conflicts"),"N/A"),"No Sw"))</f>
        <v/>
      </c>
      <c r="O815" s="20">
        <f>IF(G815="","",Settings!$B$6*IF(OR(F815="GOC",F815="OWC",F815="GWC"),1,0.7)+Settings!$B$7*IF(N815="Supports",1,IF(N815="Conflicts",0,0.5))+Settings!$B$8*IF(AND(Master_Data!R815&lt;&gt;"",Master_Data!S815&lt;&gt;"",Master_Data!R816&lt;&gt;"",Master_Data!S816&lt;&gt;""),1,0.5))</f>
        <v/>
      </c>
      <c r="P815" s="19">
        <f>IF(G815="","",IF(N815="Conflicts","SW_CONFLICT",IF(OR(F815="GOC",F815="OWC",F815="GWC"),"DIRECT_FLUID_TRANSITION","TRANSITION_INTERVAL")))</f>
        <v/>
      </c>
      <c r="Q815" s="19">
        <f>IF(G815="","",IF(N815="Conflicts","Investigate contact interpretation / saturation behaviour",IF(OR(F815="OWC",F815="GOC",F815="GWC"),"Candidate contact — validate with logs, pressure and dynamic evidence","Transition zone — do not force to a sharp contact")))</f>
        <v/>
      </c>
    </row>
    <row r="816">
      <c r="A816" s="19">
        <f>IF(AND(Master_Data!A816&lt;&gt;"",Master_Data!A816=Master_Data!A817),Master_Data!A816,"")</f>
        <v/>
      </c>
      <c r="B816" s="19">
        <f>IF($A816="","",Master_Data!B816)</f>
        <v/>
      </c>
      <c r="C816" s="19">
        <f>IF($A816="","",Master_Data!B817)</f>
        <v/>
      </c>
      <c r="D816" s="19">
        <f>IF($A816="","",Master_Data!Q816)</f>
        <v/>
      </c>
      <c r="E816" s="19">
        <f>IF($A816="","",Master_Data!Q817)</f>
        <v/>
      </c>
      <c r="F816" s="19">
        <f>IF($A816="","",IF(AND(D816="GAS",E816="OIL"),"GOC",IF(AND(D816="OIL",E816="WATER"),"OWC",IF(AND(D816="GAS",E816="WATER"),"GWC",IF(AND(D816="OIL",E816="OIL_WATER"),"OWC_TRANSITION",IF(AND(D816="OIL_WATER",E816="WATER"),"OWC_TRANSITION",IF(AND(D816="GAS",E816="GAS_WATER"),"GOC_TRANSITION",IF(AND(D816="GAS_WATER",E816="OIL"),"GOC_TRANSITION",IF(OR(D816="OIL_WATER",D816="GAS_WATER"),"TRANSITION_INTERVAL","")))))))))</f>
        <v/>
      </c>
      <c r="G816" s="20">
        <f>IF(OR(F816="",Master_Data!R816="",Master_Data!S816=""),"",IF(RIGHT(F816,10)="TRANSITION",AVERAGE(Master_Data!R816:Master_Data!S816),AVERAGE(Master_Data!S816,Master_Data!R817)))</f>
        <v/>
      </c>
      <c r="H816" s="20">
        <f>IF(G816="","",MAX(Settings!$B$4,Settings!$B$5*AVERAGE(IF(Master_Data!O816&lt;&gt;"",Master_Data!O816,Master_Data!H816),IF(Master_Data!O817&lt;&gt;"",Master_Data!O817,Master_Data!H817))))</f>
        <v/>
      </c>
      <c r="I816" s="20">
        <f>IF(G816="","",G816-H816)</f>
        <v/>
      </c>
      <c r="J816" s="20">
        <f>IF(G816="","",G816+H816)</f>
        <v/>
      </c>
      <c r="K816" s="20">
        <f>IF($A816="","",Master_Data!G816)</f>
        <v/>
      </c>
      <c r="L816" s="20">
        <f>IF($A816="","",Master_Data!G817)</f>
        <v/>
      </c>
      <c r="M816" s="20">
        <f>IF(AND(ISNUMBER(K816),ISNUMBER(L816)),L816-K816,"")</f>
        <v/>
      </c>
      <c r="N816" s="19">
        <f>IF(G816="","",IF(AND(ISNUMBER(K816),ISNUMBER(L816)),IF(OR(F816="GOC",F816="OWC",F816="GWC",F816="OWC_TRANSITION",F816="GOC_TRANSITION"),IF(L816&gt;=K816,"Supports","Conflicts"),"N/A"),"No Sw"))</f>
        <v/>
      </c>
      <c r="O816" s="20">
        <f>IF(G816="","",Settings!$B$6*IF(OR(F816="GOC",F816="OWC",F816="GWC"),1,0.7)+Settings!$B$7*IF(N816="Supports",1,IF(N816="Conflicts",0,0.5))+Settings!$B$8*IF(AND(Master_Data!R816&lt;&gt;"",Master_Data!S816&lt;&gt;"",Master_Data!R817&lt;&gt;"",Master_Data!S817&lt;&gt;""),1,0.5))</f>
        <v/>
      </c>
      <c r="P816" s="19">
        <f>IF(G816="","",IF(N816="Conflicts","SW_CONFLICT",IF(OR(F816="GOC",F816="OWC",F816="GWC"),"DIRECT_FLUID_TRANSITION","TRANSITION_INTERVAL")))</f>
        <v/>
      </c>
      <c r="Q816" s="19">
        <f>IF(G816="","",IF(N816="Conflicts","Investigate contact interpretation / saturation behaviour",IF(OR(F816="OWC",F816="GOC",F816="GWC"),"Candidate contact — validate with logs, pressure and dynamic evidence","Transition zone — do not force to a sharp contact")))</f>
        <v/>
      </c>
    </row>
    <row r="817">
      <c r="A817" s="19">
        <f>IF(AND(Master_Data!A817&lt;&gt;"",Master_Data!A817=Master_Data!A818),Master_Data!A817,"")</f>
        <v/>
      </c>
      <c r="B817" s="19">
        <f>IF($A817="","",Master_Data!B817)</f>
        <v/>
      </c>
      <c r="C817" s="19">
        <f>IF($A817="","",Master_Data!B818)</f>
        <v/>
      </c>
      <c r="D817" s="19">
        <f>IF($A817="","",Master_Data!Q817)</f>
        <v/>
      </c>
      <c r="E817" s="19">
        <f>IF($A817="","",Master_Data!Q818)</f>
        <v/>
      </c>
      <c r="F817" s="19">
        <f>IF($A817="","",IF(AND(D817="GAS",E817="OIL"),"GOC",IF(AND(D817="OIL",E817="WATER"),"OWC",IF(AND(D817="GAS",E817="WATER"),"GWC",IF(AND(D817="OIL",E817="OIL_WATER"),"OWC_TRANSITION",IF(AND(D817="OIL_WATER",E817="WATER"),"OWC_TRANSITION",IF(AND(D817="GAS",E817="GAS_WATER"),"GOC_TRANSITION",IF(AND(D817="GAS_WATER",E817="OIL"),"GOC_TRANSITION",IF(OR(D817="OIL_WATER",D817="GAS_WATER"),"TRANSITION_INTERVAL","")))))))))</f>
        <v/>
      </c>
      <c r="G817" s="20">
        <f>IF(OR(F817="",Master_Data!R817="",Master_Data!S817=""),"",IF(RIGHT(F817,10)="TRANSITION",AVERAGE(Master_Data!R817:Master_Data!S817),AVERAGE(Master_Data!S817,Master_Data!R818)))</f>
        <v/>
      </c>
      <c r="H817" s="20">
        <f>IF(G817="","",MAX(Settings!$B$4,Settings!$B$5*AVERAGE(IF(Master_Data!O817&lt;&gt;"",Master_Data!O817,Master_Data!H817),IF(Master_Data!O818&lt;&gt;"",Master_Data!O818,Master_Data!H818))))</f>
        <v/>
      </c>
      <c r="I817" s="20">
        <f>IF(G817="","",G817-H817)</f>
        <v/>
      </c>
      <c r="J817" s="20">
        <f>IF(G817="","",G817+H817)</f>
        <v/>
      </c>
      <c r="K817" s="20">
        <f>IF($A817="","",Master_Data!G817)</f>
        <v/>
      </c>
      <c r="L817" s="20">
        <f>IF($A817="","",Master_Data!G818)</f>
        <v/>
      </c>
      <c r="M817" s="20">
        <f>IF(AND(ISNUMBER(K817),ISNUMBER(L817)),L817-K817,"")</f>
        <v/>
      </c>
      <c r="N817" s="19">
        <f>IF(G817="","",IF(AND(ISNUMBER(K817),ISNUMBER(L817)),IF(OR(F817="GOC",F817="OWC",F817="GWC",F817="OWC_TRANSITION",F817="GOC_TRANSITION"),IF(L817&gt;=K817,"Supports","Conflicts"),"N/A"),"No Sw"))</f>
        <v/>
      </c>
      <c r="O817" s="20">
        <f>IF(G817="","",Settings!$B$6*IF(OR(F817="GOC",F817="OWC",F817="GWC"),1,0.7)+Settings!$B$7*IF(N817="Supports",1,IF(N817="Conflicts",0,0.5))+Settings!$B$8*IF(AND(Master_Data!R817&lt;&gt;"",Master_Data!S817&lt;&gt;"",Master_Data!R818&lt;&gt;"",Master_Data!S818&lt;&gt;""),1,0.5))</f>
        <v/>
      </c>
      <c r="P817" s="19">
        <f>IF(G817="","",IF(N817="Conflicts","SW_CONFLICT",IF(OR(F817="GOC",F817="OWC",F817="GWC"),"DIRECT_FLUID_TRANSITION","TRANSITION_INTERVAL")))</f>
        <v/>
      </c>
      <c r="Q817" s="19">
        <f>IF(G817="","",IF(N817="Conflicts","Investigate contact interpretation / saturation behaviour",IF(OR(F817="OWC",F817="GOC",F817="GWC"),"Candidate contact — validate with logs, pressure and dynamic evidence","Transition zone — do not force to a sharp contact")))</f>
        <v/>
      </c>
    </row>
    <row r="818">
      <c r="A818" s="19">
        <f>IF(AND(Master_Data!A818&lt;&gt;"",Master_Data!A818=Master_Data!A819),Master_Data!A818,"")</f>
        <v/>
      </c>
      <c r="B818" s="19">
        <f>IF($A818="","",Master_Data!B818)</f>
        <v/>
      </c>
      <c r="C818" s="19">
        <f>IF($A818="","",Master_Data!B819)</f>
        <v/>
      </c>
      <c r="D818" s="19">
        <f>IF($A818="","",Master_Data!Q818)</f>
        <v/>
      </c>
      <c r="E818" s="19">
        <f>IF($A818="","",Master_Data!Q819)</f>
        <v/>
      </c>
      <c r="F818" s="19">
        <f>IF($A818="","",IF(AND(D818="GAS",E818="OIL"),"GOC",IF(AND(D818="OIL",E818="WATER"),"OWC",IF(AND(D818="GAS",E818="WATER"),"GWC",IF(AND(D818="OIL",E818="OIL_WATER"),"OWC_TRANSITION",IF(AND(D818="OIL_WATER",E818="WATER"),"OWC_TRANSITION",IF(AND(D818="GAS",E818="GAS_WATER"),"GOC_TRANSITION",IF(AND(D818="GAS_WATER",E818="OIL"),"GOC_TRANSITION",IF(OR(D818="OIL_WATER",D818="GAS_WATER"),"TRANSITION_INTERVAL","")))))))))</f>
        <v/>
      </c>
      <c r="G818" s="20">
        <f>IF(OR(F818="",Master_Data!R818="",Master_Data!S818=""),"",IF(RIGHT(F818,10)="TRANSITION",AVERAGE(Master_Data!R818:Master_Data!S818),AVERAGE(Master_Data!S818,Master_Data!R819)))</f>
        <v/>
      </c>
      <c r="H818" s="20">
        <f>IF(G818="","",MAX(Settings!$B$4,Settings!$B$5*AVERAGE(IF(Master_Data!O818&lt;&gt;"",Master_Data!O818,Master_Data!H818),IF(Master_Data!O819&lt;&gt;"",Master_Data!O819,Master_Data!H819))))</f>
        <v/>
      </c>
      <c r="I818" s="20">
        <f>IF(G818="","",G818-H818)</f>
        <v/>
      </c>
      <c r="J818" s="20">
        <f>IF(G818="","",G818+H818)</f>
        <v/>
      </c>
      <c r="K818" s="20">
        <f>IF($A818="","",Master_Data!G818)</f>
        <v/>
      </c>
      <c r="L818" s="20">
        <f>IF($A818="","",Master_Data!G819)</f>
        <v/>
      </c>
      <c r="M818" s="20">
        <f>IF(AND(ISNUMBER(K818),ISNUMBER(L818)),L818-K818,"")</f>
        <v/>
      </c>
      <c r="N818" s="19">
        <f>IF(G818="","",IF(AND(ISNUMBER(K818),ISNUMBER(L818)),IF(OR(F818="GOC",F818="OWC",F818="GWC",F818="OWC_TRANSITION",F818="GOC_TRANSITION"),IF(L818&gt;=K818,"Supports","Conflicts"),"N/A"),"No Sw"))</f>
        <v/>
      </c>
      <c r="O818" s="20">
        <f>IF(G818="","",Settings!$B$6*IF(OR(F818="GOC",F818="OWC",F818="GWC"),1,0.7)+Settings!$B$7*IF(N818="Supports",1,IF(N818="Conflicts",0,0.5))+Settings!$B$8*IF(AND(Master_Data!R818&lt;&gt;"",Master_Data!S818&lt;&gt;"",Master_Data!R819&lt;&gt;"",Master_Data!S819&lt;&gt;""),1,0.5))</f>
        <v/>
      </c>
      <c r="P818" s="19">
        <f>IF(G818="","",IF(N818="Conflicts","SW_CONFLICT",IF(OR(F818="GOC",F818="OWC",F818="GWC"),"DIRECT_FLUID_TRANSITION","TRANSITION_INTERVAL")))</f>
        <v/>
      </c>
      <c r="Q818" s="19">
        <f>IF(G818="","",IF(N818="Conflicts","Investigate contact interpretation / saturation behaviour",IF(OR(F818="OWC",F818="GOC",F818="GWC"),"Candidate contact — validate with logs, pressure and dynamic evidence","Transition zone — do not force to a sharp contact")))</f>
        <v/>
      </c>
    </row>
    <row r="819">
      <c r="A819" s="19">
        <f>IF(AND(Master_Data!A819&lt;&gt;"",Master_Data!A819=Master_Data!A820),Master_Data!A819,"")</f>
        <v/>
      </c>
      <c r="B819" s="19">
        <f>IF($A819="","",Master_Data!B819)</f>
        <v/>
      </c>
      <c r="C819" s="19">
        <f>IF($A819="","",Master_Data!B820)</f>
        <v/>
      </c>
      <c r="D819" s="19">
        <f>IF($A819="","",Master_Data!Q819)</f>
        <v/>
      </c>
      <c r="E819" s="19">
        <f>IF($A819="","",Master_Data!Q820)</f>
        <v/>
      </c>
      <c r="F819" s="19">
        <f>IF($A819="","",IF(AND(D819="GAS",E819="OIL"),"GOC",IF(AND(D819="OIL",E819="WATER"),"OWC",IF(AND(D819="GAS",E819="WATER"),"GWC",IF(AND(D819="OIL",E819="OIL_WATER"),"OWC_TRANSITION",IF(AND(D819="OIL_WATER",E819="WATER"),"OWC_TRANSITION",IF(AND(D819="GAS",E819="GAS_WATER"),"GOC_TRANSITION",IF(AND(D819="GAS_WATER",E819="OIL"),"GOC_TRANSITION",IF(OR(D819="OIL_WATER",D819="GAS_WATER"),"TRANSITION_INTERVAL","")))))))))</f>
        <v/>
      </c>
      <c r="G819" s="20">
        <f>IF(OR(F819="",Master_Data!R819="",Master_Data!S819=""),"",IF(RIGHT(F819,10)="TRANSITION",AVERAGE(Master_Data!R819:Master_Data!S819),AVERAGE(Master_Data!S819,Master_Data!R820)))</f>
        <v/>
      </c>
      <c r="H819" s="20">
        <f>IF(G819="","",MAX(Settings!$B$4,Settings!$B$5*AVERAGE(IF(Master_Data!O819&lt;&gt;"",Master_Data!O819,Master_Data!H819),IF(Master_Data!O820&lt;&gt;"",Master_Data!O820,Master_Data!H820))))</f>
        <v/>
      </c>
      <c r="I819" s="20">
        <f>IF(G819="","",G819-H819)</f>
        <v/>
      </c>
      <c r="J819" s="20">
        <f>IF(G819="","",G819+H819)</f>
        <v/>
      </c>
      <c r="K819" s="20">
        <f>IF($A819="","",Master_Data!G819)</f>
        <v/>
      </c>
      <c r="L819" s="20">
        <f>IF($A819="","",Master_Data!G820)</f>
        <v/>
      </c>
      <c r="M819" s="20">
        <f>IF(AND(ISNUMBER(K819),ISNUMBER(L819)),L819-K819,"")</f>
        <v/>
      </c>
      <c r="N819" s="19">
        <f>IF(G819="","",IF(AND(ISNUMBER(K819),ISNUMBER(L819)),IF(OR(F819="GOC",F819="OWC",F819="GWC",F819="OWC_TRANSITION",F819="GOC_TRANSITION"),IF(L819&gt;=K819,"Supports","Conflicts"),"N/A"),"No Sw"))</f>
        <v/>
      </c>
      <c r="O819" s="20">
        <f>IF(G819="","",Settings!$B$6*IF(OR(F819="GOC",F819="OWC",F819="GWC"),1,0.7)+Settings!$B$7*IF(N819="Supports",1,IF(N819="Conflicts",0,0.5))+Settings!$B$8*IF(AND(Master_Data!R819&lt;&gt;"",Master_Data!S819&lt;&gt;"",Master_Data!R820&lt;&gt;"",Master_Data!S820&lt;&gt;""),1,0.5))</f>
        <v/>
      </c>
      <c r="P819" s="19">
        <f>IF(G819="","",IF(N819="Conflicts","SW_CONFLICT",IF(OR(F819="GOC",F819="OWC",F819="GWC"),"DIRECT_FLUID_TRANSITION","TRANSITION_INTERVAL")))</f>
        <v/>
      </c>
      <c r="Q819" s="19">
        <f>IF(G819="","",IF(N819="Conflicts","Investigate contact interpretation / saturation behaviour",IF(OR(F819="OWC",F819="GOC",F819="GWC"),"Candidate contact — validate with logs, pressure and dynamic evidence","Transition zone — do not force to a sharp contact")))</f>
        <v/>
      </c>
    </row>
    <row r="820">
      <c r="A820" s="19">
        <f>IF(AND(Master_Data!A820&lt;&gt;"",Master_Data!A820=Master_Data!A821),Master_Data!A820,"")</f>
        <v/>
      </c>
      <c r="B820" s="19">
        <f>IF($A820="","",Master_Data!B820)</f>
        <v/>
      </c>
      <c r="C820" s="19">
        <f>IF($A820="","",Master_Data!B821)</f>
        <v/>
      </c>
      <c r="D820" s="19">
        <f>IF($A820="","",Master_Data!Q820)</f>
        <v/>
      </c>
      <c r="E820" s="19">
        <f>IF($A820="","",Master_Data!Q821)</f>
        <v/>
      </c>
      <c r="F820" s="19">
        <f>IF($A820="","",IF(AND(D820="GAS",E820="OIL"),"GOC",IF(AND(D820="OIL",E820="WATER"),"OWC",IF(AND(D820="GAS",E820="WATER"),"GWC",IF(AND(D820="OIL",E820="OIL_WATER"),"OWC_TRANSITION",IF(AND(D820="OIL_WATER",E820="WATER"),"OWC_TRANSITION",IF(AND(D820="GAS",E820="GAS_WATER"),"GOC_TRANSITION",IF(AND(D820="GAS_WATER",E820="OIL"),"GOC_TRANSITION",IF(OR(D820="OIL_WATER",D820="GAS_WATER"),"TRANSITION_INTERVAL","")))))))))</f>
        <v/>
      </c>
      <c r="G820" s="20">
        <f>IF(OR(F820="",Master_Data!R820="",Master_Data!S820=""),"",IF(RIGHT(F820,10)="TRANSITION",AVERAGE(Master_Data!R820:Master_Data!S820),AVERAGE(Master_Data!S820,Master_Data!R821)))</f>
        <v/>
      </c>
      <c r="H820" s="20">
        <f>IF(G820="","",MAX(Settings!$B$4,Settings!$B$5*AVERAGE(IF(Master_Data!O820&lt;&gt;"",Master_Data!O820,Master_Data!H820),IF(Master_Data!O821&lt;&gt;"",Master_Data!O821,Master_Data!H821))))</f>
        <v/>
      </c>
      <c r="I820" s="20">
        <f>IF(G820="","",G820-H820)</f>
        <v/>
      </c>
      <c r="J820" s="20">
        <f>IF(G820="","",G820+H820)</f>
        <v/>
      </c>
      <c r="K820" s="20">
        <f>IF($A820="","",Master_Data!G820)</f>
        <v/>
      </c>
      <c r="L820" s="20">
        <f>IF($A820="","",Master_Data!G821)</f>
        <v/>
      </c>
      <c r="M820" s="20">
        <f>IF(AND(ISNUMBER(K820),ISNUMBER(L820)),L820-K820,"")</f>
        <v/>
      </c>
      <c r="N820" s="19">
        <f>IF(G820="","",IF(AND(ISNUMBER(K820),ISNUMBER(L820)),IF(OR(F820="GOC",F820="OWC",F820="GWC",F820="OWC_TRANSITION",F820="GOC_TRANSITION"),IF(L820&gt;=K820,"Supports","Conflicts"),"N/A"),"No Sw"))</f>
        <v/>
      </c>
      <c r="O820" s="20">
        <f>IF(G820="","",Settings!$B$6*IF(OR(F820="GOC",F820="OWC",F820="GWC"),1,0.7)+Settings!$B$7*IF(N820="Supports",1,IF(N820="Conflicts",0,0.5))+Settings!$B$8*IF(AND(Master_Data!R820&lt;&gt;"",Master_Data!S820&lt;&gt;"",Master_Data!R821&lt;&gt;"",Master_Data!S821&lt;&gt;""),1,0.5))</f>
        <v/>
      </c>
      <c r="P820" s="19">
        <f>IF(G820="","",IF(N820="Conflicts","SW_CONFLICT",IF(OR(F820="GOC",F820="OWC",F820="GWC"),"DIRECT_FLUID_TRANSITION","TRANSITION_INTERVAL")))</f>
        <v/>
      </c>
      <c r="Q820" s="19">
        <f>IF(G820="","",IF(N820="Conflicts","Investigate contact interpretation / saturation behaviour",IF(OR(F820="OWC",F820="GOC",F820="GWC"),"Candidate contact — validate with logs, pressure and dynamic evidence","Transition zone — do not force to a sharp contact")))</f>
        <v/>
      </c>
    </row>
    <row r="821">
      <c r="A821" s="19">
        <f>IF(AND(Master_Data!A821&lt;&gt;"",Master_Data!A821=Master_Data!A822),Master_Data!A821,"")</f>
        <v/>
      </c>
      <c r="B821" s="19">
        <f>IF($A821="","",Master_Data!B821)</f>
        <v/>
      </c>
      <c r="C821" s="19">
        <f>IF($A821="","",Master_Data!B822)</f>
        <v/>
      </c>
      <c r="D821" s="19">
        <f>IF($A821="","",Master_Data!Q821)</f>
        <v/>
      </c>
      <c r="E821" s="19">
        <f>IF($A821="","",Master_Data!Q822)</f>
        <v/>
      </c>
      <c r="F821" s="19">
        <f>IF($A821="","",IF(AND(D821="GAS",E821="OIL"),"GOC",IF(AND(D821="OIL",E821="WATER"),"OWC",IF(AND(D821="GAS",E821="WATER"),"GWC",IF(AND(D821="OIL",E821="OIL_WATER"),"OWC_TRANSITION",IF(AND(D821="OIL_WATER",E821="WATER"),"OWC_TRANSITION",IF(AND(D821="GAS",E821="GAS_WATER"),"GOC_TRANSITION",IF(AND(D821="GAS_WATER",E821="OIL"),"GOC_TRANSITION",IF(OR(D821="OIL_WATER",D821="GAS_WATER"),"TRANSITION_INTERVAL","")))))))))</f>
        <v/>
      </c>
      <c r="G821" s="20">
        <f>IF(OR(F821="",Master_Data!R821="",Master_Data!S821=""),"",IF(RIGHT(F821,10)="TRANSITION",AVERAGE(Master_Data!R821:Master_Data!S821),AVERAGE(Master_Data!S821,Master_Data!R822)))</f>
        <v/>
      </c>
      <c r="H821" s="20">
        <f>IF(G821="","",MAX(Settings!$B$4,Settings!$B$5*AVERAGE(IF(Master_Data!O821&lt;&gt;"",Master_Data!O821,Master_Data!H821),IF(Master_Data!O822&lt;&gt;"",Master_Data!O822,Master_Data!H822))))</f>
        <v/>
      </c>
      <c r="I821" s="20">
        <f>IF(G821="","",G821-H821)</f>
        <v/>
      </c>
      <c r="J821" s="20">
        <f>IF(G821="","",G821+H821)</f>
        <v/>
      </c>
      <c r="K821" s="20">
        <f>IF($A821="","",Master_Data!G821)</f>
        <v/>
      </c>
      <c r="L821" s="20">
        <f>IF($A821="","",Master_Data!G822)</f>
        <v/>
      </c>
      <c r="M821" s="20">
        <f>IF(AND(ISNUMBER(K821),ISNUMBER(L821)),L821-K821,"")</f>
        <v/>
      </c>
      <c r="N821" s="19">
        <f>IF(G821="","",IF(AND(ISNUMBER(K821),ISNUMBER(L821)),IF(OR(F821="GOC",F821="OWC",F821="GWC",F821="OWC_TRANSITION",F821="GOC_TRANSITION"),IF(L821&gt;=K821,"Supports","Conflicts"),"N/A"),"No Sw"))</f>
        <v/>
      </c>
      <c r="O821" s="20">
        <f>IF(G821="","",Settings!$B$6*IF(OR(F821="GOC",F821="OWC",F821="GWC"),1,0.7)+Settings!$B$7*IF(N821="Supports",1,IF(N821="Conflicts",0,0.5))+Settings!$B$8*IF(AND(Master_Data!R821&lt;&gt;"",Master_Data!S821&lt;&gt;"",Master_Data!R822&lt;&gt;"",Master_Data!S822&lt;&gt;""),1,0.5))</f>
        <v/>
      </c>
      <c r="P821" s="19">
        <f>IF(G821="","",IF(N821="Conflicts","SW_CONFLICT",IF(OR(F821="GOC",F821="OWC",F821="GWC"),"DIRECT_FLUID_TRANSITION","TRANSITION_INTERVAL")))</f>
        <v/>
      </c>
      <c r="Q821" s="19">
        <f>IF(G821="","",IF(N821="Conflicts","Investigate contact interpretation / saturation behaviour",IF(OR(F821="OWC",F821="GOC",F821="GWC"),"Candidate contact — validate with logs, pressure and dynamic evidence","Transition zone — do not force to a sharp contact")))</f>
        <v/>
      </c>
    </row>
    <row r="822">
      <c r="A822" s="19">
        <f>IF(AND(Master_Data!A822&lt;&gt;"",Master_Data!A822=Master_Data!A823),Master_Data!A822,"")</f>
        <v/>
      </c>
      <c r="B822" s="19">
        <f>IF($A822="","",Master_Data!B822)</f>
        <v/>
      </c>
      <c r="C822" s="19">
        <f>IF($A822="","",Master_Data!B823)</f>
        <v/>
      </c>
      <c r="D822" s="19">
        <f>IF($A822="","",Master_Data!Q822)</f>
        <v/>
      </c>
      <c r="E822" s="19">
        <f>IF($A822="","",Master_Data!Q823)</f>
        <v/>
      </c>
      <c r="F822" s="19">
        <f>IF($A822="","",IF(AND(D822="GAS",E822="OIL"),"GOC",IF(AND(D822="OIL",E822="WATER"),"OWC",IF(AND(D822="GAS",E822="WATER"),"GWC",IF(AND(D822="OIL",E822="OIL_WATER"),"OWC_TRANSITION",IF(AND(D822="OIL_WATER",E822="WATER"),"OWC_TRANSITION",IF(AND(D822="GAS",E822="GAS_WATER"),"GOC_TRANSITION",IF(AND(D822="GAS_WATER",E822="OIL"),"GOC_TRANSITION",IF(OR(D822="OIL_WATER",D822="GAS_WATER"),"TRANSITION_INTERVAL","")))))))))</f>
        <v/>
      </c>
      <c r="G822" s="20">
        <f>IF(OR(F822="",Master_Data!R822="",Master_Data!S822=""),"",IF(RIGHT(F822,10)="TRANSITION",AVERAGE(Master_Data!R822:Master_Data!S822),AVERAGE(Master_Data!S822,Master_Data!R823)))</f>
        <v/>
      </c>
      <c r="H822" s="20">
        <f>IF(G822="","",MAX(Settings!$B$4,Settings!$B$5*AVERAGE(IF(Master_Data!O822&lt;&gt;"",Master_Data!O822,Master_Data!H822),IF(Master_Data!O823&lt;&gt;"",Master_Data!O823,Master_Data!H823))))</f>
        <v/>
      </c>
      <c r="I822" s="20">
        <f>IF(G822="","",G822-H822)</f>
        <v/>
      </c>
      <c r="J822" s="20">
        <f>IF(G822="","",G822+H822)</f>
        <v/>
      </c>
      <c r="K822" s="20">
        <f>IF($A822="","",Master_Data!G822)</f>
        <v/>
      </c>
      <c r="L822" s="20">
        <f>IF($A822="","",Master_Data!G823)</f>
        <v/>
      </c>
      <c r="M822" s="20">
        <f>IF(AND(ISNUMBER(K822),ISNUMBER(L822)),L822-K822,"")</f>
        <v/>
      </c>
      <c r="N822" s="19">
        <f>IF(G822="","",IF(AND(ISNUMBER(K822),ISNUMBER(L822)),IF(OR(F822="GOC",F822="OWC",F822="GWC",F822="OWC_TRANSITION",F822="GOC_TRANSITION"),IF(L822&gt;=K822,"Supports","Conflicts"),"N/A"),"No Sw"))</f>
        <v/>
      </c>
      <c r="O822" s="20">
        <f>IF(G822="","",Settings!$B$6*IF(OR(F822="GOC",F822="OWC",F822="GWC"),1,0.7)+Settings!$B$7*IF(N822="Supports",1,IF(N822="Conflicts",0,0.5))+Settings!$B$8*IF(AND(Master_Data!R822&lt;&gt;"",Master_Data!S822&lt;&gt;"",Master_Data!R823&lt;&gt;"",Master_Data!S823&lt;&gt;""),1,0.5))</f>
        <v/>
      </c>
      <c r="P822" s="19">
        <f>IF(G822="","",IF(N822="Conflicts","SW_CONFLICT",IF(OR(F822="GOC",F822="OWC",F822="GWC"),"DIRECT_FLUID_TRANSITION","TRANSITION_INTERVAL")))</f>
        <v/>
      </c>
      <c r="Q822" s="19">
        <f>IF(G822="","",IF(N822="Conflicts","Investigate contact interpretation / saturation behaviour",IF(OR(F822="OWC",F822="GOC",F822="GWC"),"Candidate contact — validate with logs, pressure and dynamic evidence","Transition zone — do not force to a sharp contact")))</f>
        <v/>
      </c>
    </row>
    <row r="823">
      <c r="A823" s="19">
        <f>IF(AND(Master_Data!A823&lt;&gt;"",Master_Data!A823=Master_Data!A824),Master_Data!A823,"")</f>
        <v/>
      </c>
      <c r="B823" s="19">
        <f>IF($A823="","",Master_Data!B823)</f>
        <v/>
      </c>
      <c r="C823" s="19">
        <f>IF($A823="","",Master_Data!B824)</f>
        <v/>
      </c>
      <c r="D823" s="19">
        <f>IF($A823="","",Master_Data!Q823)</f>
        <v/>
      </c>
      <c r="E823" s="19">
        <f>IF($A823="","",Master_Data!Q824)</f>
        <v/>
      </c>
      <c r="F823" s="19">
        <f>IF($A823="","",IF(AND(D823="GAS",E823="OIL"),"GOC",IF(AND(D823="OIL",E823="WATER"),"OWC",IF(AND(D823="GAS",E823="WATER"),"GWC",IF(AND(D823="OIL",E823="OIL_WATER"),"OWC_TRANSITION",IF(AND(D823="OIL_WATER",E823="WATER"),"OWC_TRANSITION",IF(AND(D823="GAS",E823="GAS_WATER"),"GOC_TRANSITION",IF(AND(D823="GAS_WATER",E823="OIL"),"GOC_TRANSITION",IF(OR(D823="OIL_WATER",D823="GAS_WATER"),"TRANSITION_INTERVAL","")))))))))</f>
        <v/>
      </c>
      <c r="G823" s="20">
        <f>IF(OR(F823="",Master_Data!R823="",Master_Data!S823=""),"",IF(RIGHT(F823,10)="TRANSITION",AVERAGE(Master_Data!R823:Master_Data!S823),AVERAGE(Master_Data!S823,Master_Data!R824)))</f>
        <v/>
      </c>
      <c r="H823" s="20">
        <f>IF(G823="","",MAX(Settings!$B$4,Settings!$B$5*AVERAGE(IF(Master_Data!O823&lt;&gt;"",Master_Data!O823,Master_Data!H823),IF(Master_Data!O824&lt;&gt;"",Master_Data!O824,Master_Data!H824))))</f>
        <v/>
      </c>
      <c r="I823" s="20">
        <f>IF(G823="","",G823-H823)</f>
        <v/>
      </c>
      <c r="J823" s="20">
        <f>IF(G823="","",G823+H823)</f>
        <v/>
      </c>
      <c r="K823" s="20">
        <f>IF($A823="","",Master_Data!G823)</f>
        <v/>
      </c>
      <c r="L823" s="20">
        <f>IF($A823="","",Master_Data!G824)</f>
        <v/>
      </c>
      <c r="M823" s="20">
        <f>IF(AND(ISNUMBER(K823),ISNUMBER(L823)),L823-K823,"")</f>
        <v/>
      </c>
      <c r="N823" s="19">
        <f>IF(G823="","",IF(AND(ISNUMBER(K823),ISNUMBER(L823)),IF(OR(F823="GOC",F823="OWC",F823="GWC",F823="OWC_TRANSITION",F823="GOC_TRANSITION"),IF(L823&gt;=K823,"Supports","Conflicts"),"N/A"),"No Sw"))</f>
        <v/>
      </c>
      <c r="O823" s="20">
        <f>IF(G823="","",Settings!$B$6*IF(OR(F823="GOC",F823="OWC",F823="GWC"),1,0.7)+Settings!$B$7*IF(N823="Supports",1,IF(N823="Conflicts",0,0.5))+Settings!$B$8*IF(AND(Master_Data!R823&lt;&gt;"",Master_Data!S823&lt;&gt;"",Master_Data!R824&lt;&gt;"",Master_Data!S824&lt;&gt;""),1,0.5))</f>
        <v/>
      </c>
      <c r="P823" s="19">
        <f>IF(G823="","",IF(N823="Conflicts","SW_CONFLICT",IF(OR(F823="GOC",F823="OWC",F823="GWC"),"DIRECT_FLUID_TRANSITION","TRANSITION_INTERVAL")))</f>
        <v/>
      </c>
      <c r="Q823" s="19">
        <f>IF(G823="","",IF(N823="Conflicts","Investigate contact interpretation / saturation behaviour",IF(OR(F823="OWC",F823="GOC",F823="GWC"),"Candidate contact — validate with logs, pressure and dynamic evidence","Transition zone — do not force to a sharp contact")))</f>
        <v/>
      </c>
    </row>
    <row r="824">
      <c r="A824" s="19">
        <f>IF(AND(Master_Data!A824&lt;&gt;"",Master_Data!A824=Master_Data!A825),Master_Data!A824,"")</f>
        <v/>
      </c>
      <c r="B824" s="19">
        <f>IF($A824="","",Master_Data!B824)</f>
        <v/>
      </c>
      <c r="C824" s="19">
        <f>IF($A824="","",Master_Data!B825)</f>
        <v/>
      </c>
      <c r="D824" s="19">
        <f>IF($A824="","",Master_Data!Q824)</f>
        <v/>
      </c>
      <c r="E824" s="19">
        <f>IF($A824="","",Master_Data!Q825)</f>
        <v/>
      </c>
      <c r="F824" s="19">
        <f>IF($A824="","",IF(AND(D824="GAS",E824="OIL"),"GOC",IF(AND(D824="OIL",E824="WATER"),"OWC",IF(AND(D824="GAS",E824="WATER"),"GWC",IF(AND(D824="OIL",E824="OIL_WATER"),"OWC_TRANSITION",IF(AND(D824="OIL_WATER",E824="WATER"),"OWC_TRANSITION",IF(AND(D824="GAS",E824="GAS_WATER"),"GOC_TRANSITION",IF(AND(D824="GAS_WATER",E824="OIL"),"GOC_TRANSITION",IF(OR(D824="OIL_WATER",D824="GAS_WATER"),"TRANSITION_INTERVAL","")))))))))</f>
        <v/>
      </c>
      <c r="G824" s="20">
        <f>IF(OR(F824="",Master_Data!R824="",Master_Data!S824=""),"",IF(RIGHT(F824,10)="TRANSITION",AVERAGE(Master_Data!R824:Master_Data!S824),AVERAGE(Master_Data!S824,Master_Data!R825)))</f>
        <v/>
      </c>
      <c r="H824" s="20">
        <f>IF(G824="","",MAX(Settings!$B$4,Settings!$B$5*AVERAGE(IF(Master_Data!O824&lt;&gt;"",Master_Data!O824,Master_Data!H824),IF(Master_Data!O825&lt;&gt;"",Master_Data!O825,Master_Data!H825))))</f>
        <v/>
      </c>
      <c r="I824" s="20">
        <f>IF(G824="","",G824-H824)</f>
        <v/>
      </c>
      <c r="J824" s="20">
        <f>IF(G824="","",G824+H824)</f>
        <v/>
      </c>
      <c r="K824" s="20">
        <f>IF($A824="","",Master_Data!G824)</f>
        <v/>
      </c>
      <c r="L824" s="20">
        <f>IF($A824="","",Master_Data!G825)</f>
        <v/>
      </c>
      <c r="M824" s="20">
        <f>IF(AND(ISNUMBER(K824),ISNUMBER(L824)),L824-K824,"")</f>
        <v/>
      </c>
      <c r="N824" s="19">
        <f>IF(G824="","",IF(AND(ISNUMBER(K824),ISNUMBER(L824)),IF(OR(F824="GOC",F824="OWC",F824="GWC",F824="OWC_TRANSITION",F824="GOC_TRANSITION"),IF(L824&gt;=K824,"Supports","Conflicts"),"N/A"),"No Sw"))</f>
        <v/>
      </c>
      <c r="O824" s="20">
        <f>IF(G824="","",Settings!$B$6*IF(OR(F824="GOC",F824="OWC",F824="GWC"),1,0.7)+Settings!$B$7*IF(N824="Supports",1,IF(N824="Conflicts",0,0.5))+Settings!$B$8*IF(AND(Master_Data!R824&lt;&gt;"",Master_Data!S824&lt;&gt;"",Master_Data!R825&lt;&gt;"",Master_Data!S825&lt;&gt;""),1,0.5))</f>
        <v/>
      </c>
      <c r="P824" s="19">
        <f>IF(G824="","",IF(N824="Conflicts","SW_CONFLICT",IF(OR(F824="GOC",F824="OWC",F824="GWC"),"DIRECT_FLUID_TRANSITION","TRANSITION_INTERVAL")))</f>
        <v/>
      </c>
      <c r="Q824" s="19">
        <f>IF(G824="","",IF(N824="Conflicts","Investigate contact interpretation / saturation behaviour",IF(OR(F824="OWC",F824="GOC",F824="GWC"),"Candidate contact — validate with logs, pressure and dynamic evidence","Transition zone — do not force to a sharp contact")))</f>
        <v/>
      </c>
    </row>
    <row r="825">
      <c r="A825" s="19">
        <f>IF(AND(Master_Data!A825&lt;&gt;"",Master_Data!A825=Master_Data!A826),Master_Data!A825,"")</f>
        <v/>
      </c>
      <c r="B825" s="19">
        <f>IF($A825="","",Master_Data!B825)</f>
        <v/>
      </c>
      <c r="C825" s="19">
        <f>IF($A825="","",Master_Data!B826)</f>
        <v/>
      </c>
      <c r="D825" s="19">
        <f>IF($A825="","",Master_Data!Q825)</f>
        <v/>
      </c>
      <c r="E825" s="19">
        <f>IF($A825="","",Master_Data!Q826)</f>
        <v/>
      </c>
      <c r="F825" s="19">
        <f>IF($A825="","",IF(AND(D825="GAS",E825="OIL"),"GOC",IF(AND(D825="OIL",E825="WATER"),"OWC",IF(AND(D825="GAS",E825="WATER"),"GWC",IF(AND(D825="OIL",E825="OIL_WATER"),"OWC_TRANSITION",IF(AND(D825="OIL_WATER",E825="WATER"),"OWC_TRANSITION",IF(AND(D825="GAS",E825="GAS_WATER"),"GOC_TRANSITION",IF(AND(D825="GAS_WATER",E825="OIL"),"GOC_TRANSITION",IF(OR(D825="OIL_WATER",D825="GAS_WATER"),"TRANSITION_INTERVAL","")))))))))</f>
        <v/>
      </c>
      <c r="G825" s="20">
        <f>IF(OR(F825="",Master_Data!R825="",Master_Data!S825=""),"",IF(RIGHT(F825,10)="TRANSITION",AVERAGE(Master_Data!R825:Master_Data!S825),AVERAGE(Master_Data!S825,Master_Data!R826)))</f>
        <v/>
      </c>
      <c r="H825" s="20">
        <f>IF(G825="","",MAX(Settings!$B$4,Settings!$B$5*AVERAGE(IF(Master_Data!O825&lt;&gt;"",Master_Data!O825,Master_Data!H825),IF(Master_Data!O826&lt;&gt;"",Master_Data!O826,Master_Data!H826))))</f>
        <v/>
      </c>
      <c r="I825" s="20">
        <f>IF(G825="","",G825-H825)</f>
        <v/>
      </c>
      <c r="J825" s="20">
        <f>IF(G825="","",G825+H825)</f>
        <v/>
      </c>
      <c r="K825" s="20">
        <f>IF($A825="","",Master_Data!G825)</f>
        <v/>
      </c>
      <c r="L825" s="20">
        <f>IF($A825="","",Master_Data!G826)</f>
        <v/>
      </c>
      <c r="M825" s="20">
        <f>IF(AND(ISNUMBER(K825),ISNUMBER(L825)),L825-K825,"")</f>
        <v/>
      </c>
      <c r="N825" s="19">
        <f>IF(G825="","",IF(AND(ISNUMBER(K825),ISNUMBER(L825)),IF(OR(F825="GOC",F825="OWC",F825="GWC",F825="OWC_TRANSITION",F825="GOC_TRANSITION"),IF(L825&gt;=K825,"Supports","Conflicts"),"N/A"),"No Sw"))</f>
        <v/>
      </c>
      <c r="O825" s="20">
        <f>IF(G825="","",Settings!$B$6*IF(OR(F825="GOC",F825="OWC",F825="GWC"),1,0.7)+Settings!$B$7*IF(N825="Supports",1,IF(N825="Conflicts",0,0.5))+Settings!$B$8*IF(AND(Master_Data!R825&lt;&gt;"",Master_Data!S825&lt;&gt;"",Master_Data!R826&lt;&gt;"",Master_Data!S826&lt;&gt;""),1,0.5))</f>
        <v/>
      </c>
      <c r="P825" s="19">
        <f>IF(G825="","",IF(N825="Conflicts","SW_CONFLICT",IF(OR(F825="GOC",F825="OWC",F825="GWC"),"DIRECT_FLUID_TRANSITION","TRANSITION_INTERVAL")))</f>
        <v/>
      </c>
      <c r="Q825" s="19">
        <f>IF(G825="","",IF(N825="Conflicts","Investigate contact interpretation / saturation behaviour",IF(OR(F825="OWC",F825="GOC",F825="GWC"),"Candidate contact — validate with logs, pressure and dynamic evidence","Transition zone — do not force to a sharp contact")))</f>
        <v/>
      </c>
    </row>
    <row r="826">
      <c r="A826" s="19">
        <f>IF(AND(Master_Data!A826&lt;&gt;"",Master_Data!A826=Master_Data!A827),Master_Data!A826,"")</f>
        <v/>
      </c>
      <c r="B826" s="19">
        <f>IF($A826="","",Master_Data!B826)</f>
        <v/>
      </c>
      <c r="C826" s="19">
        <f>IF($A826="","",Master_Data!B827)</f>
        <v/>
      </c>
      <c r="D826" s="19">
        <f>IF($A826="","",Master_Data!Q826)</f>
        <v/>
      </c>
      <c r="E826" s="19">
        <f>IF($A826="","",Master_Data!Q827)</f>
        <v/>
      </c>
      <c r="F826" s="19">
        <f>IF($A826="","",IF(AND(D826="GAS",E826="OIL"),"GOC",IF(AND(D826="OIL",E826="WATER"),"OWC",IF(AND(D826="GAS",E826="WATER"),"GWC",IF(AND(D826="OIL",E826="OIL_WATER"),"OWC_TRANSITION",IF(AND(D826="OIL_WATER",E826="WATER"),"OWC_TRANSITION",IF(AND(D826="GAS",E826="GAS_WATER"),"GOC_TRANSITION",IF(AND(D826="GAS_WATER",E826="OIL"),"GOC_TRANSITION",IF(OR(D826="OIL_WATER",D826="GAS_WATER"),"TRANSITION_INTERVAL","")))))))))</f>
        <v/>
      </c>
      <c r="G826" s="20">
        <f>IF(OR(F826="",Master_Data!R826="",Master_Data!S826=""),"",IF(RIGHT(F826,10)="TRANSITION",AVERAGE(Master_Data!R826:Master_Data!S826),AVERAGE(Master_Data!S826,Master_Data!R827)))</f>
        <v/>
      </c>
      <c r="H826" s="20">
        <f>IF(G826="","",MAX(Settings!$B$4,Settings!$B$5*AVERAGE(IF(Master_Data!O826&lt;&gt;"",Master_Data!O826,Master_Data!H826),IF(Master_Data!O827&lt;&gt;"",Master_Data!O827,Master_Data!H827))))</f>
        <v/>
      </c>
      <c r="I826" s="20">
        <f>IF(G826="","",G826-H826)</f>
        <v/>
      </c>
      <c r="J826" s="20">
        <f>IF(G826="","",G826+H826)</f>
        <v/>
      </c>
      <c r="K826" s="20">
        <f>IF($A826="","",Master_Data!G826)</f>
        <v/>
      </c>
      <c r="L826" s="20">
        <f>IF($A826="","",Master_Data!G827)</f>
        <v/>
      </c>
      <c r="M826" s="20">
        <f>IF(AND(ISNUMBER(K826),ISNUMBER(L826)),L826-K826,"")</f>
        <v/>
      </c>
      <c r="N826" s="19">
        <f>IF(G826="","",IF(AND(ISNUMBER(K826),ISNUMBER(L826)),IF(OR(F826="GOC",F826="OWC",F826="GWC",F826="OWC_TRANSITION",F826="GOC_TRANSITION"),IF(L826&gt;=K826,"Supports","Conflicts"),"N/A"),"No Sw"))</f>
        <v/>
      </c>
      <c r="O826" s="20">
        <f>IF(G826="","",Settings!$B$6*IF(OR(F826="GOC",F826="OWC",F826="GWC"),1,0.7)+Settings!$B$7*IF(N826="Supports",1,IF(N826="Conflicts",0,0.5))+Settings!$B$8*IF(AND(Master_Data!R826&lt;&gt;"",Master_Data!S826&lt;&gt;"",Master_Data!R827&lt;&gt;"",Master_Data!S827&lt;&gt;""),1,0.5))</f>
        <v/>
      </c>
      <c r="P826" s="19">
        <f>IF(G826="","",IF(N826="Conflicts","SW_CONFLICT",IF(OR(F826="GOC",F826="OWC",F826="GWC"),"DIRECT_FLUID_TRANSITION","TRANSITION_INTERVAL")))</f>
        <v/>
      </c>
      <c r="Q826" s="19">
        <f>IF(G826="","",IF(N826="Conflicts","Investigate contact interpretation / saturation behaviour",IF(OR(F826="OWC",F826="GOC",F826="GWC"),"Candidate contact — validate with logs, pressure and dynamic evidence","Transition zone — do not force to a sharp contact")))</f>
        <v/>
      </c>
    </row>
    <row r="827">
      <c r="A827" s="19">
        <f>IF(AND(Master_Data!A827&lt;&gt;"",Master_Data!A827=Master_Data!A828),Master_Data!A827,"")</f>
        <v/>
      </c>
      <c r="B827" s="19">
        <f>IF($A827="","",Master_Data!B827)</f>
        <v/>
      </c>
      <c r="C827" s="19">
        <f>IF($A827="","",Master_Data!B828)</f>
        <v/>
      </c>
      <c r="D827" s="19">
        <f>IF($A827="","",Master_Data!Q827)</f>
        <v/>
      </c>
      <c r="E827" s="19">
        <f>IF($A827="","",Master_Data!Q828)</f>
        <v/>
      </c>
      <c r="F827" s="19">
        <f>IF($A827="","",IF(AND(D827="GAS",E827="OIL"),"GOC",IF(AND(D827="OIL",E827="WATER"),"OWC",IF(AND(D827="GAS",E827="WATER"),"GWC",IF(AND(D827="OIL",E827="OIL_WATER"),"OWC_TRANSITION",IF(AND(D827="OIL_WATER",E827="WATER"),"OWC_TRANSITION",IF(AND(D827="GAS",E827="GAS_WATER"),"GOC_TRANSITION",IF(AND(D827="GAS_WATER",E827="OIL"),"GOC_TRANSITION",IF(OR(D827="OIL_WATER",D827="GAS_WATER"),"TRANSITION_INTERVAL","")))))))))</f>
        <v/>
      </c>
      <c r="G827" s="20">
        <f>IF(OR(F827="",Master_Data!R827="",Master_Data!S827=""),"",IF(RIGHT(F827,10)="TRANSITION",AVERAGE(Master_Data!R827:Master_Data!S827),AVERAGE(Master_Data!S827,Master_Data!R828)))</f>
        <v/>
      </c>
      <c r="H827" s="20">
        <f>IF(G827="","",MAX(Settings!$B$4,Settings!$B$5*AVERAGE(IF(Master_Data!O827&lt;&gt;"",Master_Data!O827,Master_Data!H827),IF(Master_Data!O828&lt;&gt;"",Master_Data!O828,Master_Data!H828))))</f>
        <v/>
      </c>
      <c r="I827" s="20">
        <f>IF(G827="","",G827-H827)</f>
        <v/>
      </c>
      <c r="J827" s="20">
        <f>IF(G827="","",G827+H827)</f>
        <v/>
      </c>
      <c r="K827" s="20">
        <f>IF($A827="","",Master_Data!G827)</f>
        <v/>
      </c>
      <c r="L827" s="20">
        <f>IF($A827="","",Master_Data!G828)</f>
        <v/>
      </c>
      <c r="M827" s="20">
        <f>IF(AND(ISNUMBER(K827),ISNUMBER(L827)),L827-K827,"")</f>
        <v/>
      </c>
      <c r="N827" s="19">
        <f>IF(G827="","",IF(AND(ISNUMBER(K827),ISNUMBER(L827)),IF(OR(F827="GOC",F827="OWC",F827="GWC",F827="OWC_TRANSITION",F827="GOC_TRANSITION"),IF(L827&gt;=K827,"Supports","Conflicts"),"N/A"),"No Sw"))</f>
        <v/>
      </c>
      <c r="O827" s="20">
        <f>IF(G827="","",Settings!$B$6*IF(OR(F827="GOC",F827="OWC",F827="GWC"),1,0.7)+Settings!$B$7*IF(N827="Supports",1,IF(N827="Conflicts",0,0.5))+Settings!$B$8*IF(AND(Master_Data!R827&lt;&gt;"",Master_Data!S827&lt;&gt;"",Master_Data!R828&lt;&gt;"",Master_Data!S828&lt;&gt;""),1,0.5))</f>
        <v/>
      </c>
      <c r="P827" s="19">
        <f>IF(G827="","",IF(N827="Conflicts","SW_CONFLICT",IF(OR(F827="GOC",F827="OWC",F827="GWC"),"DIRECT_FLUID_TRANSITION","TRANSITION_INTERVAL")))</f>
        <v/>
      </c>
      <c r="Q827" s="19">
        <f>IF(G827="","",IF(N827="Conflicts","Investigate contact interpretation / saturation behaviour",IF(OR(F827="OWC",F827="GOC",F827="GWC"),"Candidate contact — validate with logs, pressure and dynamic evidence","Transition zone — do not force to a sharp contact")))</f>
        <v/>
      </c>
    </row>
    <row r="828">
      <c r="A828" s="19">
        <f>IF(AND(Master_Data!A828&lt;&gt;"",Master_Data!A828=Master_Data!A829),Master_Data!A828,"")</f>
        <v/>
      </c>
      <c r="B828" s="19">
        <f>IF($A828="","",Master_Data!B828)</f>
        <v/>
      </c>
      <c r="C828" s="19">
        <f>IF($A828="","",Master_Data!B829)</f>
        <v/>
      </c>
      <c r="D828" s="19">
        <f>IF($A828="","",Master_Data!Q828)</f>
        <v/>
      </c>
      <c r="E828" s="19">
        <f>IF($A828="","",Master_Data!Q829)</f>
        <v/>
      </c>
      <c r="F828" s="19">
        <f>IF($A828="","",IF(AND(D828="GAS",E828="OIL"),"GOC",IF(AND(D828="OIL",E828="WATER"),"OWC",IF(AND(D828="GAS",E828="WATER"),"GWC",IF(AND(D828="OIL",E828="OIL_WATER"),"OWC_TRANSITION",IF(AND(D828="OIL_WATER",E828="WATER"),"OWC_TRANSITION",IF(AND(D828="GAS",E828="GAS_WATER"),"GOC_TRANSITION",IF(AND(D828="GAS_WATER",E828="OIL"),"GOC_TRANSITION",IF(OR(D828="OIL_WATER",D828="GAS_WATER"),"TRANSITION_INTERVAL","")))))))))</f>
        <v/>
      </c>
      <c r="G828" s="20">
        <f>IF(OR(F828="",Master_Data!R828="",Master_Data!S828=""),"",IF(RIGHT(F828,10)="TRANSITION",AVERAGE(Master_Data!R828:Master_Data!S828),AVERAGE(Master_Data!S828,Master_Data!R829)))</f>
        <v/>
      </c>
      <c r="H828" s="20">
        <f>IF(G828="","",MAX(Settings!$B$4,Settings!$B$5*AVERAGE(IF(Master_Data!O828&lt;&gt;"",Master_Data!O828,Master_Data!H828),IF(Master_Data!O829&lt;&gt;"",Master_Data!O829,Master_Data!H829))))</f>
        <v/>
      </c>
      <c r="I828" s="20">
        <f>IF(G828="","",G828-H828)</f>
        <v/>
      </c>
      <c r="J828" s="20">
        <f>IF(G828="","",G828+H828)</f>
        <v/>
      </c>
      <c r="K828" s="20">
        <f>IF($A828="","",Master_Data!G828)</f>
        <v/>
      </c>
      <c r="L828" s="20">
        <f>IF($A828="","",Master_Data!G829)</f>
        <v/>
      </c>
      <c r="M828" s="20">
        <f>IF(AND(ISNUMBER(K828),ISNUMBER(L828)),L828-K828,"")</f>
        <v/>
      </c>
      <c r="N828" s="19">
        <f>IF(G828="","",IF(AND(ISNUMBER(K828),ISNUMBER(L828)),IF(OR(F828="GOC",F828="OWC",F828="GWC",F828="OWC_TRANSITION",F828="GOC_TRANSITION"),IF(L828&gt;=K828,"Supports","Conflicts"),"N/A"),"No Sw"))</f>
        <v/>
      </c>
      <c r="O828" s="20">
        <f>IF(G828="","",Settings!$B$6*IF(OR(F828="GOC",F828="OWC",F828="GWC"),1,0.7)+Settings!$B$7*IF(N828="Supports",1,IF(N828="Conflicts",0,0.5))+Settings!$B$8*IF(AND(Master_Data!R828&lt;&gt;"",Master_Data!S828&lt;&gt;"",Master_Data!R829&lt;&gt;"",Master_Data!S829&lt;&gt;""),1,0.5))</f>
        <v/>
      </c>
      <c r="P828" s="19">
        <f>IF(G828="","",IF(N828="Conflicts","SW_CONFLICT",IF(OR(F828="GOC",F828="OWC",F828="GWC"),"DIRECT_FLUID_TRANSITION","TRANSITION_INTERVAL")))</f>
        <v/>
      </c>
      <c r="Q828" s="19">
        <f>IF(G828="","",IF(N828="Conflicts","Investigate contact interpretation / saturation behaviour",IF(OR(F828="OWC",F828="GOC",F828="GWC"),"Candidate contact — validate with logs, pressure and dynamic evidence","Transition zone — do not force to a sharp contact")))</f>
        <v/>
      </c>
    </row>
    <row r="829">
      <c r="A829" s="19">
        <f>IF(AND(Master_Data!A829&lt;&gt;"",Master_Data!A829=Master_Data!A830),Master_Data!A829,"")</f>
        <v/>
      </c>
      <c r="B829" s="19">
        <f>IF($A829="","",Master_Data!B829)</f>
        <v/>
      </c>
      <c r="C829" s="19">
        <f>IF($A829="","",Master_Data!B830)</f>
        <v/>
      </c>
      <c r="D829" s="19">
        <f>IF($A829="","",Master_Data!Q829)</f>
        <v/>
      </c>
      <c r="E829" s="19">
        <f>IF($A829="","",Master_Data!Q830)</f>
        <v/>
      </c>
      <c r="F829" s="19">
        <f>IF($A829="","",IF(AND(D829="GAS",E829="OIL"),"GOC",IF(AND(D829="OIL",E829="WATER"),"OWC",IF(AND(D829="GAS",E829="WATER"),"GWC",IF(AND(D829="OIL",E829="OIL_WATER"),"OWC_TRANSITION",IF(AND(D829="OIL_WATER",E829="WATER"),"OWC_TRANSITION",IF(AND(D829="GAS",E829="GAS_WATER"),"GOC_TRANSITION",IF(AND(D829="GAS_WATER",E829="OIL"),"GOC_TRANSITION",IF(OR(D829="OIL_WATER",D829="GAS_WATER"),"TRANSITION_INTERVAL","")))))))))</f>
        <v/>
      </c>
      <c r="G829" s="20">
        <f>IF(OR(F829="",Master_Data!R829="",Master_Data!S829=""),"",IF(RIGHT(F829,10)="TRANSITION",AVERAGE(Master_Data!R829:Master_Data!S829),AVERAGE(Master_Data!S829,Master_Data!R830)))</f>
        <v/>
      </c>
      <c r="H829" s="20">
        <f>IF(G829="","",MAX(Settings!$B$4,Settings!$B$5*AVERAGE(IF(Master_Data!O829&lt;&gt;"",Master_Data!O829,Master_Data!H829),IF(Master_Data!O830&lt;&gt;"",Master_Data!O830,Master_Data!H830))))</f>
        <v/>
      </c>
      <c r="I829" s="20">
        <f>IF(G829="","",G829-H829)</f>
        <v/>
      </c>
      <c r="J829" s="20">
        <f>IF(G829="","",G829+H829)</f>
        <v/>
      </c>
      <c r="K829" s="20">
        <f>IF($A829="","",Master_Data!G829)</f>
        <v/>
      </c>
      <c r="L829" s="20">
        <f>IF($A829="","",Master_Data!G830)</f>
        <v/>
      </c>
      <c r="M829" s="20">
        <f>IF(AND(ISNUMBER(K829),ISNUMBER(L829)),L829-K829,"")</f>
        <v/>
      </c>
      <c r="N829" s="19">
        <f>IF(G829="","",IF(AND(ISNUMBER(K829),ISNUMBER(L829)),IF(OR(F829="GOC",F829="OWC",F829="GWC",F829="OWC_TRANSITION",F829="GOC_TRANSITION"),IF(L829&gt;=K829,"Supports","Conflicts"),"N/A"),"No Sw"))</f>
        <v/>
      </c>
      <c r="O829" s="20">
        <f>IF(G829="","",Settings!$B$6*IF(OR(F829="GOC",F829="OWC",F829="GWC"),1,0.7)+Settings!$B$7*IF(N829="Supports",1,IF(N829="Conflicts",0,0.5))+Settings!$B$8*IF(AND(Master_Data!R829&lt;&gt;"",Master_Data!S829&lt;&gt;"",Master_Data!R830&lt;&gt;"",Master_Data!S830&lt;&gt;""),1,0.5))</f>
        <v/>
      </c>
      <c r="P829" s="19">
        <f>IF(G829="","",IF(N829="Conflicts","SW_CONFLICT",IF(OR(F829="GOC",F829="OWC",F829="GWC"),"DIRECT_FLUID_TRANSITION","TRANSITION_INTERVAL")))</f>
        <v/>
      </c>
      <c r="Q829" s="19">
        <f>IF(G829="","",IF(N829="Conflicts","Investigate contact interpretation / saturation behaviour",IF(OR(F829="OWC",F829="GOC",F829="GWC"),"Candidate contact — validate with logs, pressure and dynamic evidence","Transition zone — do not force to a sharp contact")))</f>
        <v/>
      </c>
    </row>
    <row r="830">
      <c r="A830" s="19">
        <f>IF(AND(Master_Data!A830&lt;&gt;"",Master_Data!A830=Master_Data!A831),Master_Data!A830,"")</f>
        <v/>
      </c>
      <c r="B830" s="19">
        <f>IF($A830="","",Master_Data!B830)</f>
        <v/>
      </c>
      <c r="C830" s="19">
        <f>IF($A830="","",Master_Data!B831)</f>
        <v/>
      </c>
      <c r="D830" s="19">
        <f>IF($A830="","",Master_Data!Q830)</f>
        <v/>
      </c>
      <c r="E830" s="19">
        <f>IF($A830="","",Master_Data!Q831)</f>
        <v/>
      </c>
      <c r="F830" s="19">
        <f>IF($A830="","",IF(AND(D830="GAS",E830="OIL"),"GOC",IF(AND(D830="OIL",E830="WATER"),"OWC",IF(AND(D830="GAS",E830="WATER"),"GWC",IF(AND(D830="OIL",E830="OIL_WATER"),"OWC_TRANSITION",IF(AND(D830="OIL_WATER",E830="WATER"),"OWC_TRANSITION",IF(AND(D830="GAS",E830="GAS_WATER"),"GOC_TRANSITION",IF(AND(D830="GAS_WATER",E830="OIL"),"GOC_TRANSITION",IF(OR(D830="OIL_WATER",D830="GAS_WATER"),"TRANSITION_INTERVAL","")))))))))</f>
        <v/>
      </c>
      <c r="G830" s="20">
        <f>IF(OR(F830="",Master_Data!R830="",Master_Data!S830=""),"",IF(RIGHT(F830,10)="TRANSITION",AVERAGE(Master_Data!R830:Master_Data!S830),AVERAGE(Master_Data!S830,Master_Data!R831)))</f>
        <v/>
      </c>
      <c r="H830" s="20">
        <f>IF(G830="","",MAX(Settings!$B$4,Settings!$B$5*AVERAGE(IF(Master_Data!O830&lt;&gt;"",Master_Data!O830,Master_Data!H830),IF(Master_Data!O831&lt;&gt;"",Master_Data!O831,Master_Data!H831))))</f>
        <v/>
      </c>
      <c r="I830" s="20">
        <f>IF(G830="","",G830-H830)</f>
        <v/>
      </c>
      <c r="J830" s="20">
        <f>IF(G830="","",G830+H830)</f>
        <v/>
      </c>
      <c r="K830" s="20">
        <f>IF($A830="","",Master_Data!G830)</f>
        <v/>
      </c>
      <c r="L830" s="20">
        <f>IF($A830="","",Master_Data!G831)</f>
        <v/>
      </c>
      <c r="M830" s="20">
        <f>IF(AND(ISNUMBER(K830),ISNUMBER(L830)),L830-K830,"")</f>
        <v/>
      </c>
      <c r="N830" s="19">
        <f>IF(G830="","",IF(AND(ISNUMBER(K830),ISNUMBER(L830)),IF(OR(F830="GOC",F830="OWC",F830="GWC",F830="OWC_TRANSITION",F830="GOC_TRANSITION"),IF(L830&gt;=K830,"Supports","Conflicts"),"N/A"),"No Sw"))</f>
        <v/>
      </c>
      <c r="O830" s="20">
        <f>IF(G830="","",Settings!$B$6*IF(OR(F830="GOC",F830="OWC",F830="GWC"),1,0.7)+Settings!$B$7*IF(N830="Supports",1,IF(N830="Conflicts",0,0.5))+Settings!$B$8*IF(AND(Master_Data!R830&lt;&gt;"",Master_Data!S830&lt;&gt;"",Master_Data!R831&lt;&gt;"",Master_Data!S831&lt;&gt;""),1,0.5))</f>
        <v/>
      </c>
      <c r="P830" s="19">
        <f>IF(G830="","",IF(N830="Conflicts","SW_CONFLICT",IF(OR(F830="GOC",F830="OWC",F830="GWC"),"DIRECT_FLUID_TRANSITION","TRANSITION_INTERVAL")))</f>
        <v/>
      </c>
      <c r="Q830" s="19">
        <f>IF(G830="","",IF(N830="Conflicts","Investigate contact interpretation / saturation behaviour",IF(OR(F830="OWC",F830="GOC",F830="GWC"),"Candidate contact — validate with logs, pressure and dynamic evidence","Transition zone — do not force to a sharp contact")))</f>
        <v/>
      </c>
    </row>
    <row r="831">
      <c r="A831" s="19">
        <f>IF(AND(Master_Data!A831&lt;&gt;"",Master_Data!A831=Master_Data!A832),Master_Data!A831,"")</f>
        <v/>
      </c>
      <c r="B831" s="19">
        <f>IF($A831="","",Master_Data!B831)</f>
        <v/>
      </c>
      <c r="C831" s="19">
        <f>IF($A831="","",Master_Data!B832)</f>
        <v/>
      </c>
      <c r="D831" s="19">
        <f>IF($A831="","",Master_Data!Q831)</f>
        <v/>
      </c>
      <c r="E831" s="19">
        <f>IF($A831="","",Master_Data!Q832)</f>
        <v/>
      </c>
      <c r="F831" s="19">
        <f>IF($A831="","",IF(AND(D831="GAS",E831="OIL"),"GOC",IF(AND(D831="OIL",E831="WATER"),"OWC",IF(AND(D831="GAS",E831="WATER"),"GWC",IF(AND(D831="OIL",E831="OIL_WATER"),"OWC_TRANSITION",IF(AND(D831="OIL_WATER",E831="WATER"),"OWC_TRANSITION",IF(AND(D831="GAS",E831="GAS_WATER"),"GOC_TRANSITION",IF(AND(D831="GAS_WATER",E831="OIL"),"GOC_TRANSITION",IF(OR(D831="OIL_WATER",D831="GAS_WATER"),"TRANSITION_INTERVAL","")))))))))</f>
        <v/>
      </c>
      <c r="G831" s="20">
        <f>IF(OR(F831="",Master_Data!R831="",Master_Data!S831=""),"",IF(RIGHT(F831,10)="TRANSITION",AVERAGE(Master_Data!R831:Master_Data!S831),AVERAGE(Master_Data!S831,Master_Data!R832)))</f>
        <v/>
      </c>
      <c r="H831" s="20">
        <f>IF(G831="","",MAX(Settings!$B$4,Settings!$B$5*AVERAGE(IF(Master_Data!O831&lt;&gt;"",Master_Data!O831,Master_Data!H831),IF(Master_Data!O832&lt;&gt;"",Master_Data!O832,Master_Data!H832))))</f>
        <v/>
      </c>
      <c r="I831" s="20">
        <f>IF(G831="","",G831-H831)</f>
        <v/>
      </c>
      <c r="J831" s="20">
        <f>IF(G831="","",G831+H831)</f>
        <v/>
      </c>
      <c r="K831" s="20">
        <f>IF($A831="","",Master_Data!G831)</f>
        <v/>
      </c>
      <c r="L831" s="20">
        <f>IF($A831="","",Master_Data!G832)</f>
        <v/>
      </c>
      <c r="M831" s="20">
        <f>IF(AND(ISNUMBER(K831),ISNUMBER(L831)),L831-K831,"")</f>
        <v/>
      </c>
      <c r="N831" s="19">
        <f>IF(G831="","",IF(AND(ISNUMBER(K831),ISNUMBER(L831)),IF(OR(F831="GOC",F831="OWC",F831="GWC",F831="OWC_TRANSITION",F831="GOC_TRANSITION"),IF(L831&gt;=K831,"Supports","Conflicts"),"N/A"),"No Sw"))</f>
        <v/>
      </c>
      <c r="O831" s="20">
        <f>IF(G831="","",Settings!$B$6*IF(OR(F831="GOC",F831="OWC",F831="GWC"),1,0.7)+Settings!$B$7*IF(N831="Supports",1,IF(N831="Conflicts",0,0.5))+Settings!$B$8*IF(AND(Master_Data!R831&lt;&gt;"",Master_Data!S831&lt;&gt;"",Master_Data!R832&lt;&gt;"",Master_Data!S832&lt;&gt;""),1,0.5))</f>
        <v/>
      </c>
      <c r="P831" s="19">
        <f>IF(G831="","",IF(N831="Conflicts","SW_CONFLICT",IF(OR(F831="GOC",F831="OWC",F831="GWC"),"DIRECT_FLUID_TRANSITION","TRANSITION_INTERVAL")))</f>
        <v/>
      </c>
      <c r="Q831" s="19">
        <f>IF(G831="","",IF(N831="Conflicts","Investigate contact interpretation / saturation behaviour",IF(OR(F831="OWC",F831="GOC",F831="GWC"),"Candidate contact — validate with logs, pressure and dynamic evidence","Transition zone — do not force to a sharp contact")))</f>
        <v/>
      </c>
    </row>
    <row r="832">
      <c r="A832" s="19">
        <f>IF(AND(Master_Data!A832&lt;&gt;"",Master_Data!A832=Master_Data!A833),Master_Data!A832,"")</f>
        <v/>
      </c>
      <c r="B832" s="19">
        <f>IF($A832="","",Master_Data!B832)</f>
        <v/>
      </c>
      <c r="C832" s="19">
        <f>IF($A832="","",Master_Data!B833)</f>
        <v/>
      </c>
      <c r="D832" s="19">
        <f>IF($A832="","",Master_Data!Q832)</f>
        <v/>
      </c>
      <c r="E832" s="19">
        <f>IF($A832="","",Master_Data!Q833)</f>
        <v/>
      </c>
      <c r="F832" s="19">
        <f>IF($A832="","",IF(AND(D832="GAS",E832="OIL"),"GOC",IF(AND(D832="OIL",E832="WATER"),"OWC",IF(AND(D832="GAS",E832="WATER"),"GWC",IF(AND(D832="OIL",E832="OIL_WATER"),"OWC_TRANSITION",IF(AND(D832="OIL_WATER",E832="WATER"),"OWC_TRANSITION",IF(AND(D832="GAS",E832="GAS_WATER"),"GOC_TRANSITION",IF(AND(D832="GAS_WATER",E832="OIL"),"GOC_TRANSITION",IF(OR(D832="OIL_WATER",D832="GAS_WATER"),"TRANSITION_INTERVAL","")))))))))</f>
        <v/>
      </c>
      <c r="G832" s="20">
        <f>IF(OR(F832="",Master_Data!R832="",Master_Data!S832=""),"",IF(RIGHT(F832,10)="TRANSITION",AVERAGE(Master_Data!R832:Master_Data!S832),AVERAGE(Master_Data!S832,Master_Data!R833)))</f>
        <v/>
      </c>
      <c r="H832" s="20">
        <f>IF(G832="","",MAX(Settings!$B$4,Settings!$B$5*AVERAGE(IF(Master_Data!O832&lt;&gt;"",Master_Data!O832,Master_Data!H832),IF(Master_Data!O833&lt;&gt;"",Master_Data!O833,Master_Data!H833))))</f>
        <v/>
      </c>
      <c r="I832" s="20">
        <f>IF(G832="","",G832-H832)</f>
        <v/>
      </c>
      <c r="J832" s="20">
        <f>IF(G832="","",G832+H832)</f>
        <v/>
      </c>
      <c r="K832" s="20">
        <f>IF($A832="","",Master_Data!G832)</f>
        <v/>
      </c>
      <c r="L832" s="20">
        <f>IF($A832="","",Master_Data!G833)</f>
        <v/>
      </c>
      <c r="M832" s="20">
        <f>IF(AND(ISNUMBER(K832),ISNUMBER(L832)),L832-K832,"")</f>
        <v/>
      </c>
      <c r="N832" s="19">
        <f>IF(G832="","",IF(AND(ISNUMBER(K832),ISNUMBER(L832)),IF(OR(F832="GOC",F832="OWC",F832="GWC",F832="OWC_TRANSITION",F832="GOC_TRANSITION"),IF(L832&gt;=K832,"Supports","Conflicts"),"N/A"),"No Sw"))</f>
        <v/>
      </c>
      <c r="O832" s="20">
        <f>IF(G832="","",Settings!$B$6*IF(OR(F832="GOC",F832="OWC",F832="GWC"),1,0.7)+Settings!$B$7*IF(N832="Supports",1,IF(N832="Conflicts",0,0.5))+Settings!$B$8*IF(AND(Master_Data!R832&lt;&gt;"",Master_Data!S832&lt;&gt;"",Master_Data!R833&lt;&gt;"",Master_Data!S833&lt;&gt;""),1,0.5))</f>
        <v/>
      </c>
      <c r="P832" s="19">
        <f>IF(G832="","",IF(N832="Conflicts","SW_CONFLICT",IF(OR(F832="GOC",F832="OWC",F832="GWC"),"DIRECT_FLUID_TRANSITION","TRANSITION_INTERVAL")))</f>
        <v/>
      </c>
      <c r="Q832" s="19">
        <f>IF(G832="","",IF(N832="Conflicts","Investigate contact interpretation / saturation behaviour",IF(OR(F832="OWC",F832="GOC",F832="GWC"),"Candidate contact — validate with logs, pressure and dynamic evidence","Transition zone — do not force to a sharp contact")))</f>
        <v/>
      </c>
    </row>
    <row r="833">
      <c r="A833" s="19">
        <f>IF(AND(Master_Data!A833&lt;&gt;"",Master_Data!A833=Master_Data!A834),Master_Data!A833,"")</f>
        <v/>
      </c>
      <c r="B833" s="19">
        <f>IF($A833="","",Master_Data!B833)</f>
        <v/>
      </c>
      <c r="C833" s="19">
        <f>IF($A833="","",Master_Data!B834)</f>
        <v/>
      </c>
      <c r="D833" s="19">
        <f>IF($A833="","",Master_Data!Q833)</f>
        <v/>
      </c>
      <c r="E833" s="19">
        <f>IF($A833="","",Master_Data!Q834)</f>
        <v/>
      </c>
      <c r="F833" s="19">
        <f>IF($A833="","",IF(AND(D833="GAS",E833="OIL"),"GOC",IF(AND(D833="OIL",E833="WATER"),"OWC",IF(AND(D833="GAS",E833="WATER"),"GWC",IF(AND(D833="OIL",E833="OIL_WATER"),"OWC_TRANSITION",IF(AND(D833="OIL_WATER",E833="WATER"),"OWC_TRANSITION",IF(AND(D833="GAS",E833="GAS_WATER"),"GOC_TRANSITION",IF(AND(D833="GAS_WATER",E833="OIL"),"GOC_TRANSITION",IF(OR(D833="OIL_WATER",D833="GAS_WATER"),"TRANSITION_INTERVAL","")))))))))</f>
        <v/>
      </c>
      <c r="G833" s="20">
        <f>IF(OR(F833="",Master_Data!R833="",Master_Data!S833=""),"",IF(RIGHT(F833,10)="TRANSITION",AVERAGE(Master_Data!R833:Master_Data!S833),AVERAGE(Master_Data!S833,Master_Data!R834)))</f>
        <v/>
      </c>
      <c r="H833" s="20">
        <f>IF(G833="","",MAX(Settings!$B$4,Settings!$B$5*AVERAGE(IF(Master_Data!O833&lt;&gt;"",Master_Data!O833,Master_Data!H833),IF(Master_Data!O834&lt;&gt;"",Master_Data!O834,Master_Data!H834))))</f>
        <v/>
      </c>
      <c r="I833" s="20">
        <f>IF(G833="","",G833-H833)</f>
        <v/>
      </c>
      <c r="J833" s="20">
        <f>IF(G833="","",G833+H833)</f>
        <v/>
      </c>
      <c r="K833" s="20">
        <f>IF($A833="","",Master_Data!G833)</f>
        <v/>
      </c>
      <c r="L833" s="20">
        <f>IF($A833="","",Master_Data!G834)</f>
        <v/>
      </c>
      <c r="M833" s="20">
        <f>IF(AND(ISNUMBER(K833),ISNUMBER(L833)),L833-K833,"")</f>
        <v/>
      </c>
      <c r="N833" s="19">
        <f>IF(G833="","",IF(AND(ISNUMBER(K833),ISNUMBER(L833)),IF(OR(F833="GOC",F833="OWC",F833="GWC",F833="OWC_TRANSITION",F833="GOC_TRANSITION"),IF(L833&gt;=K833,"Supports","Conflicts"),"N/A"),"No Sw"))</f>
        <v/>
      </c>
      <c r="O833" s="20">
        <f>IF(G833="","",Settings!$B$6*IF(OR(F833="GOC",F833="OWC",F833="GWC"),1,0.7)+Settings!$B$7*IF(N833="Supports",1,IF(N833="Conflicts",0,0.5))+Settings!$B$8*IF(AND(Master_Data!R833&lt;&gt;"",Master_Data!S833&lt;&gt;"",Master_Data!R834&lt;&gt;"",Master_Data!S834&lt;&gt;""),1,0.5))</f>
        <v/>
      </c>
      <c r="P833" s="19">
        <f>IF(G833="","",IF(N833="Conflicts","SW_CONFLICT",IF(OR(F833="GOC",F833="OWC",F833="GWC"),"DIRECT_FLUID_TRANSITION","TRANSITION_INTERVAL")))</f>
        <v/>
      </c>
      <c r="Q833" s="19">
        <f>IF(G833="","",IF(N833="Conflicts","Investigate contact interpretation / saturation behaviour",IF(OR(F833="OWC",F833="GOC",F833="GWC"),"Candidate contact — validate with logs, pressure and dynamic evidence","Transition zone — do not force to a sharp contact")))</f>
        <v/>
      </c>
    </row>
    <row r="834">
      <c r="A834" s="19">
        <f>IF(AND(Master_Data!A834&lt;&gt;"",Master_Data!A834=Master_Data!A835),Master_Data!A834,"")</f>
        <v/>
      </c>
      <c r="B834" s="19">
        <f>IF($A834="","",Master_Data!B834)</f>
        <v/>
      </c>
      <c r="C834" s="19">
        <f>IF($A834="","",Master_Data!B835)</f>
        <v/>
      </c>
      <c r="D834" s="19">
        <f>IF($A834="","",Master_Data!Q834)</f>
        <v/>
      </c>
      <c r="E834" s="19">
        <f>IF($A834="","",Master_Data!Q835)</f>
        <v/>
      </c>
      <c r="F834" s="19">
        <f>IF($A834="","",IF(AND(D834="GAS",E834="OIL"),"GOC",IF(AND(D834="OIL",E834="WATER"),"OWC",IF(AND(D834="GAS",E834="WATER"),"GWC",IF(AND(D834="OIL",E834="OIL_WATER"),"OWC_TRANSITION",IF(AND(D834="OIL_WATER",E834="WATER"),"OWC_TRANSITION",IF(AND(D834="GAS",E834="GAS_WATER"),"GOC_TRANSITION",IF(AND(D834="GAS_WATER",E834="OIL"),"GOC_TRANSITION",IF(OR(D834="OIL_WATER",D834="GAS_WATER"),"TRANSITION_INTERVAL","")))))))))</f>
        <v/>
      </c>
      <c r="G834" s="20">
        <f>IF(OR(F834="",Master_Data!R834="",Master_Data!S834=""),"",IF(RIGHT(F834,10)="TRANSITION",AVERAGE(Master_Data!R834:Master_Data!S834),AVERAGE(Master_Data!S834,Master_Data!R835)))</f>
        <v/>
      </c>
      <c r="H834" s="20">
        <f>IF(G834="","",MAX(Settings!$B$4,Settings!$B$5*AVERAGE(IF(Master_Data!O834&lt;&gt;"",Master_Data!O834,Master_Data!H834),IF(Master_Data!O835&lt;&gt;"",Master_Data!O835,Master_Data!H835))))</f>
        <v/>
      </c>
      <c r="I834" s="20">
        <f>IF(G834="","",G834-H834)</f>
        <v/>
      </c>
      <c r="J834" s="20">
        <f>IF(G834="","",G834+H834)</f>
        <v/>
      </c>
      <c r="K834" s="20">
        <f>IF($A834="","",Master_Data!G834)</f>
        <v/>
      </c>
      <c r="L834" s="20">
        <f>IF($A834="","",Master_Data!G835)</f>
        <v/>
      </c>
      <c r="M834" s="20">
        <f>IF(AND(ISNUMBER(K834),ISNUMBER(L834)),L834-K834,"")</f>
        <v/>
      </c>
      <c r="N834" s="19">
        <f>IF(G834="","",IF(AND(ISNUMBER(K834),ISNUMBER(L834)),IF(OR(F834="GOC",F834="OWC",F834="GWC",F834="OWC_TRANSITION",F834="GOC_TRANSITION"),IF(L834&gt;=K834,"Supports","Conflicts"),"N/A"),"No Sw"))</f>
        <v/>
      </c>
      <c r="O834" s="20">
        <f>IF(G834="","",Settings!$B$6*IF(OR(F834="GOC",F834="OWC",F834="GWC"),1,0.7)+Settings!$B$7*IF(N834="Supports",1,IF(N834="Conflicts",0,0.5))+Settings!$B$8*IF(AND(Master_Data!R834&lt;&gt;"",Master_Data!S834&lt;&gt;"",Master_Data!R835&lt;&gt;"",Master_Data!S835&lt;&gt;""),1,0.5))</f>
        <v/>
      </c>
      <c r="P834" s="19">
        <f>IF(G834="","",IF(N834="Conflicts","SW_CONFLICT",IF(OR(F834="GOC",F834="OWC",F834="GWC"),"DIRECT_FLUID_TRANSITION","TRANSITION_INTERVAL")))</f>
        <v/>
      </c>
      <c r="Q834" s="19">
        <f>IF(G834="","",IF(N834="Conflicts","Investigate contact interpretation / saturation behaviour",IF(OR(F834="OWC",F834="GOC",F834="GWC"),"Candidate contact — validate with logs, pressure and dynamic evidence","Transition zone — do not force to a sharp contact")))</f>
        <v/>
      </c>
    </row>
    <row r="835">
      <c r="A835" s="19">
        <f>IF(AND(Master_Data!A835&lt;&gt;"",Master_Data!A835=Master_Data!A836),Master_Data!A835,"")</f>
        <v/>
      </c>
      <c r="B835" s="19">
        <f>IF($A835="","",Master_Data!B835)</f>
        <v/>
      </c>
      <c r="C835" s="19">
        <f>IF($A835="","",Master_Data!B836)</f>
        <v/>
      </c>
      <c r="D835" s="19">
        <f>IF($A835="","",Master_Data!Q835)</f>
        <v/>
      </c>
      <c r="E835" s="19">
        <f>IF($A835="","",Master_Data!Q836)</f>
        <v/>
      </c>
      <c r="F835" s="19">
        <f>IF($A835="","",IF(AND(D835="GAS",E835="OIL"),"GOC",IF(AND(D835="OIL",E835="WATER"),"OWC",IF(AND(D835="GAS",E835="WATER"),"GWC",IF(AND(D835="OIL",E835="OIL_WATER"),"OWC_TRANSITION",IF(AND(D835="OIL_WATER",E835="WATER"),"OWC_TRANSITION",IF(AND(D835="GAS",E835="GAS_WATER"),"GOC_TRANSITION",IF(AND(D835="GAS_WATER",E835="OIL"),"GOC_TRANSITION",IF(OR(D835="OIL_WATER",D835="GAS_WATER"),"TRANSITION_INTERVAL","")))))))))</f>
        <v/>
      </c>
      <c r="G835" s="20">
        <f>IF(OR(F835="",Master_Data!R835="",Master_Data!S835=""),"",IF(RIGHT(F835,10)="TRANSITION",AVERAGE(Master_Data!R835:Master_Data!S835),AVERAGE(Master_Data!S835,Master_Data!R836)))</f>
        <v/>
      </c>
      <c r="H835" s="20">
        <f>IF(G835="","",MAX(Settings!$B$4,Settings!$B$5*AVERAGE(IF(Master_Data!O835&lt;&gt;"",Master_Data!O835,Master_Data!H835),IF(Master_Data!O836&lt;&gt;"",Master_Data!O836,Master_Data!H836))))</f>
        <v/>
      </c>
      <c r="I835" s="20">
        <f>IF(G835="","",G835-H835)</f>
        <v/>
      </c>
      <c r="J835" s="20">
        <f>IF(G835="","",G835+H835)</f>
        <v/>
      </c>
      <c r="K835" s="20">
        <f>IF($A835="","",Master_Data!G835)</f>
        <v/>
      </c>
      <c r="L835" s="20">
        <f>IF($A835="","",Master_Data!G836)</f>
        <v/>
      </c>
      <c r="M835" s="20">
        <f>IF(AND(ISNUMBER(K835),ISNUMBER(L835)),L835-K835,"")</f>
        <v/>
      </c>
      <c r="N835" s="19">
        <f>IF(G835="","",IF(AND(ISNUMBER(K835),ISNUMBER(L835)),IF(OR(F835="GOC",F835="OWC",F835="GWC",F835="OWC_TRANSITION",F835="GOC_TRANSITION"),IF(L835&gt;=K835,"Supports","Conflicts"),"N/A"),"No Sw"))</f>
        <v/>
      </c>
      <c r="O835" s="20">
        <f>IF(G835="","",Settings!$B$6*IF(OR(F835="GOC",F835="OWC",F835="GWC"),1,0.7)+Settings!$B$7*IF(N835="Supports",1,IF(N835="Conflicts",0,0.5))+Settings!$B$8*IF(AND(Master_Data!R835&lt;&gt;"",Master_Data!S835&lt;&gt;"",Master_Data!R836&lt;&gt;"",Master_Data!S836&lt;&gt;""),1,0.5))</f>
        <v/>
      </c>
      <c r="P835" s="19">
        <f>IF(G835="","",IF(N835="Conflicts","SW_CONFLICT",IF(OR(F835="GOC",F835="OWC",F835="GWC"),"DIRECT_FLUID_TRANSITION","TRANSITION_INTERVAL")))</f>
        <v/>
      </c>
      <c r="Q835" s="19">
        <f>IF(G835="","",IF(N835="Conflicts","Investigate contact interpretation / saturation behaviour",IF(OR(F835="OWC",F835="GOC",F835="GWC"),"Candidate contact — validate with logs, pressure and dynamic evidence","Transition zone — do not force to a sharp contact")))</f>
        <v/>
      </c>
    </row>
    <row r="836">
      <c r="A836" s="19">
        <f>IF(AND(Master_Data!A836&lt;&gt;"",Master_Data!A836=Master_Data!A837),Master_Data!A836,"")</f>
        <v/>
      </c>
      <c r="B836" s="19">
        <f>IF($A836="","",Master_Data!B836)</f>
        <v/>
      </c>
      <c r="C836" s="19">
        <f>IF($A836="","",Master_Data!B837)</f>
        <v/>
      </c>
      <c r="D836" s="19">
        <f>IF($A836="","",Master_Data!Q836)</f>
        <v/>
      </c>
      <c r="E836" s="19">
        <f>IF($A836="","",Master_Data!Q837)</f>
        <v/>
      </c>
      <c r="F836" s="19">
        <f>IF($A836="","",IF(AND(D836="GAS",E836="OIL"),"GOC",IF(AND(D836="OIL",E836="WATER"),"OWC",IF(AND(D836="GAS",E836="WATER"),"GWC",IF(AND(D836="OIL",E836="OIL_WATER"),"OWC_TRANSITION",IF(AND(D836="OIL_WATER",E836="WATER"),"OWC_TRANSITION",IF(AND(D836="GAS",E836="GAS_WATER"),"GOC_TRANSITION",IF(AND(D836="GAS_WATER",E836="OIL"),"GOC_TRANSITION",IF(OR(D836="OIL_WATER",D836="GAS_WATER"),"TRANSITION_INTERVAL","")))))))))</f>
        <v/>
      </c>
      <c r="G836" s="20">
        <f>IF(OR(F836="",Master_Data!R836="",Master_Data!S836=""),"",IF(RIGHT(F836,10)="TRANSITION",AVERAGE(Master_Data!R836:Master_Data!S836),AVERAGE(Master_Data!S836,Master_Data!R837)))</f>
        <v/>
      </c>
      <c r="H836" s="20">
        <f>IF(G836="","",MAX(Settings!$B$4,Settings!$B$5*AVERAGE(IF(Master_Data!O836&lt;&gt;"",Master_Data!O836,Master_Data!H836),IF(Master_Data!O837&lt;&gt;"",Master_Data!O837,Master_Data!H837))))</f>
        <v/>
      </c>
      <c r="I836" s="20">
        <f>IF(G836="","",G836-H836)</f>
        <v/>
      </c>
      <c r="J836" s="20">
        <f>IF(G836="","",G836+H836)</f>
        <v/>
      </c>
      <c r="K836" s="20">
        <f>IF($A836="","",Master_Data!G836)</f>
        <v/>
      </c>
      <c r="L836" s="20">
        <f>IF($A836="","",Master_Data!G837)</f>
        <v/>
      </c>
      <c r="M836" s="20">
        <f>IF(AND(ISNUMBER(K836),ISNUMBER(L836)),L836-K836,"")</f>
        <v/>
      </c>
      <c r="N836" s="19">
        <f>IF(G836="","",IF(AND(ISNUMBER(K836),ISNUMBER(L836)),IF(OR(F836="GOC",F836="OWC",F836="GWC",F836="OWC_TRANSITION",F836="GOC_TRANSITION"),IF(L836&gt;=K836,"Supports","Conflicts"),"N/A"),"No Sw"))</f>
        <v/>
      </c>
      <c r="O836" s="20">
        <f>IF(G836="","",Settings!$B$6*IF(OR(F836="GOC",F836="OWC",F836="GWC"),1,0.7)+Settings!$B$7*IF(N836="Supports",1,IF(N836="Conflicts",0,0.5))+Settings!$B$8*IF(AND(Master_Data!R836&lt;&gt;"",Master_Data!S836&lt;&gt;"",Master_Data!R837&lt;&gt;"",Master_Data!S837&lt;&gt;""),1,0.5))</f>
        <v/>
      </c>
      <c r="P836" s="19">
        <f>IF(G836="","",IF(N836="Conflicts","SW_CONFLICT",IF(OR(F836="GOC",F836="OWC",F836="GWC"),"DIRECT_FLUID_TRANSITION","TRANSITION_INTERVAL")))</f>
        <v/>
      </c>
      <c r="Q836" s="19">
        <f>IF(G836="","",IF(N836="Conflicts","Investigate contact interpretation / saturation behaviour",IF(OR(F836="OWC",F836="GOC",F836="GWC"),"Candidate contact — validate with logs, pressure and dynamic evidence","Transition zone — do not force to a sharp contact")))</f>
        <v/>
      </c>
    </row>
    <row r="837">
      <c r="A837" s="19">
        <f>IF(AND(Master_Data!A837&lt;&gt;"",Master_Data!A837=Master_Data!A838),Master_Data!A837,"")</f>
        <v/>
      </c>
      <c r="B837" s="19">
        <f>IF($A837="","",Master_Data!B837)</f>
        <v/>
      </c>
      <c r="C837" s="19">
        <f>IF($A837="","",Master_Data!B838)</f>
        <v/>
      </c>
      <c r="D837" s="19">
        <f>IF($A837="","",Master_Data!Q837)</f>
        <v/>
      </c>
      <c r="E837" s="19">
        <f>IF($A837="","",Master_Data!Q838)</f>
        <v/>
      </c>
      <c r="F837" s="19">
        <f>IF($A837="","",IF(AND(D837="GAS",E837="OIL"),"GOC",IF(AND(D837="OIL",E837="WATER"),"OWC",IF(AND(D837="GAS",E837="WATER"),"GWC",IF(AND(D837="OIL",E837="OIL_WATER"),"OWC_TRANSITION",IF(AND(D837="OIL_WATER",E837="WATER"),"OWC_TRANSITION",IF(AND(D837="GAS",E837="GAS_WATER"),"GOC_TRANSITION",IF(AND(D837="GAS_WATER",E837="OIL"),"GOC_TRANSITION",IF(OR(D837="OIL_WATER",D837="GAS_WATER"),"TRANSITION_INTERVAL","")))))))))</f>
        <v/>
      </c>
      <c r="G837" s="20">
        <f>IF(OR(F837="",Master_Data!R837="",Master_Data!S837=""),"",IF(RIGHT(F837,10)="TRANSITION",AVERAGE(Master_Data!R837:Master_Data!S837),AVERAGE(Master_Data!S837,Master_Data!R838)))</f>
        <v/>
      </c>
      <c r="H837" s="20">
        <f>IF(G837="","",MAX(Settings!$B$4,Settings!$B$5*AVERAGE(IF(Master_Data!O837&lt;&gt;"",Master_Data!O837,Master_Data!H837),IF(Master_Data!O838&lt;&gt;"",Master_Data!O838,Master_Data!H838))))</f>
        <v/>
      </c>
      <c r="I837" s="20">
        <f>IF(G837="","",G837-H837)</f>
        <v/>
      </c>
      <c r="J837" s="20">
        <f>IF(G837="","",G837+H837)</f>
        <v/>
      </c>
      <c r="K837" s="20">
        <f>IF($A837="","",Master_Data!G837)</f>
        <v/>
      </c>
      <c r="L837" s="20">
        <f>IF($A837="","",Master_Data!G838)</f>
        <v/>
      </c>
      <c r="M837" s="20">
        <f>IF(AND(ISNUMBER(K837),ISNUMBER(L837)),L837-K837,"")</f>
        <v/>
      </c>
      <c r="N837" s="19">
        <f>IF(G837="","",IF(AND(ISNUMBER(K837),ISNUMBER(L837)),IF(OR(F837="GOC",F837="OWC",F837="GWC",F837="OWC_TRANSITION",F837="GOC_TRANSITION"),IF(L837&gt;=K837,"Supports","Conflicts"),"N/A"),"No Sw"))</f>
        <v/>
      </c>
      <c r="O837" s="20">
        <f>IF(G837="","",Settings!$B$6*IF(OR(F837="GOC",F837="OWC",F837="GWC"),1,0.7)+Settings!$B$7*IF(N837="Supports",1,IF(N837="Conflicts",0,0.5))+Settings!$B$8*IF(AND(Master_Data!R837&lt;&gt;"",Master_Data!S837&lt;&gt;"",Master_Data!R838&lt;&gt;"",Master_Data!S838&lt;&gt;""),1,0.5))</f>
        <v/>
      </c>
      <c r="P837" s="19">
        <f>IF(G837="","",IF(N837="Conflicts","SW_CONFLICT",IF(OR(F837="GOC",F837="OWC",F837="GWC"),"DIRECT_FLUID_TRANSITION","TRANSITION_INTERVAL")))</f>
        <v/>
      </c>
      <c r="Q837" s="19">
        <f>IF(G837="","",IF(N837="Conflicts","Investigate contact interpretation / saturation behaviour",IF(OR(F837="OWC",F837="GOC",F837="GWC"),"Candidate contact — validate with logs, pressure and dynamic evidence","Transition zone — do not force to a sharp contact")))</f>
        <v/>
      </c>
    </row>
    <row r="838">
      <c r="A838" s="19">
        <f>IF(AND(Master_Data!A838&lt;&gt;"",Master_Data!A838=Master_Data!A839),Master_Data!A838,"")</f>
        <v/>
      </c>
      <c r="B838" s="19">
        <f>IF($A838="","",Master_Data!B838)</f>
        <v/>
      </c>
      <c r="C838" s="19">
        <f>IF($A838="","",Master_Data!B839)</f>
        <v/>
      </c>
      <c r="D838" s="19">
        <f>IF($A838="","",Master_Data!Q838)</f>
        <v/>
      </c>
      <c r="E838" s="19">
        <f>IF($A838="","",Master_Data!Q839)</f>
        <v/>
      </c>
      <c r="F838" s="19">
        <f>IF($A838="","",IF(AND(D838="GAS",E838="OIL"),"GOC",IF(AND(D838="OIL",E838="WATER"),"OWC",IF(AND(D838="GAS",E838="WATER"),"GWC",IF(AND(D838="OIL",E838="OIL_WATER"),"OWC_TRANSITION",IF(AND(D838="OIL_WATER",E838="WATER"),"OWC_TRANSITION",IF(AND(D838="GAS",E838="GAS_WATER"),"GOC_TRANSITION",IF(AND(D838="GAS_WATER",E838="OIL"),"GOC_TRANSITION",IF(OR(D838="OIL_WATER",D838="GAS_WATER"),"TRANSITION_INTERVAL","")))))))))</f>
        <v/>
      </c>
      <c r="G838" s="20">
        <f>IF(OR(F838="",Master_Data!R838="",Master_Data!S838=""),"",IF(RIGHT(F838,10)="TRANSITION",AVERAGE(Master_Data!R838:Master_Data!S838),AVERAGE(Master_Data!S838,Master_Data!R839)))</f>
        <v/>
      </c>
      <c r="H838" s="20">
        <f>IF(G838="","",MAX(Settings!$B$4,Settings!$B$5*AVERAGE(IF(Master_Data!O838&lt;&gt;"",Master_Data!O838,Master_Data!H838),IF(Master_Data!O839&lt;&gt;"",Master_Data!O839,Master_Data!H839))))</f>
        <v/>
      </c>
      <c r="I838" s="20">
        <f>IF(G838="","",G838-H838)</f>
        <v/>
      </c>
      <c r="J838" s="20">
        <f>IF(G838="","",G838+H838)</f>
        <v/>
      </c>
      <c r="K838" s="20">
        <f>IF($A838="","",Master_Data!G838)</f>
        <v/>
      </c>
      <c r="L838" s="20">
        <f>IF($A838="","",Master_Data!G839)</f>
        <v/>
      </c>
      <c r="M838" s="20">
        <f>IF(AND(ISNUMBER(K838),ISNUMBER(L838)),L838-K838,"")</f>
        <v/>
      </c>
      <c r="N838" s="19">
        <f>IF(G838="","",IF(AND(ISNUMBER(K838),ISNUMBER(L838)),IF(OR(F838="GOC",F838="OWC",F838="GWC",F838="OWC_TRANSITION",F838="GOC_TRANSITION"),IF(L838&gt;=K838,"Supports","Conflicts"),"N/A"),"No Sw"))</f>
        <v/>
      </c>
      <c r="O838" s="20">
        <f>IF(G838="","",Settings!$B$6*IF(OR(F838="GOC",F838="OWC",F838="GWC"),1,0.7)+Settings!$B$7*IF(N838="Supports",1,IF(N838="Conflicts",0,0.5))+Settings!$B$8*IF(AND(Master_Data!R838&lt;&gt;"",Master_Data!S838&lt;&gt;"",Master_Data!R839&lt;&gt;"",Master_Data!S839&lt;&gt;""),1,0.5))</f>
        <v/>
      </c>
      <c r="P838" s="19">
        <f>IF(G838="","",IF(N838="Conflicts","SW_CONFLICT",IF(OR(F838="GOC",F838="OWC",F838="GWC"),"DIRECT_FLUID_TRANSITION","TRANSITION_INTERVAL")))</f>
        <v/>
      </c>
      <c r="Q838" s="19">
        <f>IF(G838="","",IF(N838="Conflicts","Investigate contact interpretation / saturation behaviour",IF(OR(F838="OWC",F838="GOC",F838="GWC"),"Candidate contact — validate with logs, pressure and dynamic evidence","Transition zone — do not force to a sharp contact")))</f>
        <v/>
      </c>
    </row>
    <row r="839">
      <c r="A839" s="19">
        <f>IF(AND(Master_Data!A839&lt;&gt;"",Master_Data!A839=Master_Data!A840),Master_Data!A839,"")</f>
        <v/>
      </c>
      <c r="B839" s="19">
        <f>IF($A839="","",Master_Data!B839)</f>
        <v/>
      </c>
      <c r="C839" s="19">
        <f>IF($A839="","",Master_Data!B840)</f>
        <v/>
      </c>
      <c r="D839" s="19">
        <f>IF($A839="","",Master_Data!Q839)</f>
        <v/>
      </c>
      <c r="E839" s="19">
        <f>IF($A839="","",Master_Data!Q840)</f>
        <v/>
      </c>
      <c r="F839" s="19">
        <f>IF($A839="","",IF(AND(D839="GAS",E839="OIL"),"GOC",IF(AND(D839="OIL",E839="WATER"),"OWC",IF(AND(D839="GAS",E839="WATER"),"GWC",IF(AND(D839="OIL",E839="OIL_WATER"),"OWC_TRANSITION",IF(AND(D839="OIL_WATER",E839="WATER"),"OWC_TRANSITION",IF(AND(D839="GAS",E839="GAS_WATER"),"GOC_TRANSITION",IF(AND(D839="GAS_WATER",E839="OIL"),"GOC_TRANSITION",IF(OR(D839="OIL_WATER",D839="GAS_WATER"),"TRANSITION_INTERVAL","")))))))))</f>
        <v/>
      </c>
      <c r="G839" s="20">
        <f>IF(OR(F839="",Master_Data!R839="",Master_Data!S839=""),"",IF(RIGHT(F839,10)="TRANSITION",AVERAGE(Master_Data!R839:Master_Data!S839),AVERAGE(Master_Data!S839,Master_Data!R840)))</f>
        <v/>
      </c>
      <c r="H839" s="20">
        <f>IF(G839="","",MAX(Settings!$B$4,Settings!$B$5*AVERAGE(IF(Master_Data!O839&lt;&gt;"",Master_Data!O839,Master_Data!H839),IF(Master_Data!O840&lt;&gt;"",Master_Data!O840,Master_Data!H840))))</f>
        <v/>
      </c>
      <c r="I839" s="20">
        <f>IF(G839="","",G839-H839)</f>
        <v/>
      </c>
      <c r="J839" s="20">
        <f>IF(G839="","",G839+H839)</f>
        <v/>
      </c>
      <c r="K839" s="20">
        <f>IF($A839="","",Master_Data!G839)</f>
        <v/>
      </c>
      <c r="L839" s="20">
        <f>IF($A839="","",Master_Data!G840)</f>
        <v/>
      </c>
      <c r="M839" s="20">
        <f>IF(AND(ISNUMBER(K839),ISNUMBER(L839)),L839-K839,"")</f>
        <v/>
      </c>
      <c r="N839" s="19">
        <f>IF(G839="","",IF(AND(ISNUMBER(K839),ISNUMBER(L839)),IF(OR(F839="GOC",F839="OWC",F839="GWC",F839="OWC_TRANSITION",F839="GOC_TRANSITION"),IF(L839&gt;=K839,"Supports","Conflicts"),"N/A"),"No Sw"))</f>
        <v/>
      </c>
      <c r="O839" s="20">
        <f>IF(G839="","",Settings!$B$6*IF(OR(F839="GOC",F839="OWC",F839="GWC"),1,0.7)+Settings!$B$7*IF(N839="Supports",1,IF(N839="Conflicts",0,0.5))+Settings!$B$8*IF(AND(Master_Data!R839&lt;&gt;"",Master_Data!S839&lt;&gt;"",Master_Data!R840&lt;&gt;"",Master_Data!S840&lt;&gt;""),1,0.5))</f>
        <v/>
      </c>
      <c r="P839" s="19">
        <f>IF(G839="","",IF(N839="Conflicts","SW_CONFLICT",IF(OR(F839="GOC",F839="OWC",F839="GWC"),"DIRECT_FLUID_TRANSITION","TRANSITION_INTERVAL")))</f>
        <v/>
      </c>
      <c r="Q839" s="19">
        <f>IF(G839="","",IF(N839="Conflicts","Investigate contact interpretation / saturation behaviour",IF(OR(F839="OWC",F839="GOC",F839="GWC"),"Candidate contact — validate with logs, pressure and dynamic evidence","Transition zone — do not force to a sharp contact")))</f>
        <v/>
      </c>
    </row>
    <row r="840">
      <c r="A840" s="19">
        <f>IF(AND(Master_Data!A840&lt;&gt;"",Master_Data!A840=Master_Data!A841),Master_Data!A840,"")</f>
        <v/>
      </c>
      <c r="B840" s="19">
        <f>IF($A840="","",Master_Data!B840)</f>
        <v/>
      </c>
      <c r="C840" s="19">
        <f>IF($A840="","",Master_Data!B841)</f>
        <v/>
      </c>
      <c r="D840" s="19">
        <f>IF($A840="","",Master_Data!Q840)</f>
        <v/>
      </c>
      <c r="E840" s="19">
        <f>IF($A840="","",Master_Data!Q841)</f>
        <v/>
      </c>
      <c r="F840" s="19">
        <f>IF($A840="","",IF(AND(D840="GAS",E840="OIL"),"GOC",IF(AND(D840="OIL",E840="WATER"),"OWC",IF(AND(D840="GAS",E840="WATER"),"GWC",IF(AND(D840="OIL",E840="OIL_WATER"),"OWC_TRANSITION",IF(AND(D840="OIL_WATER",E840="WATER"),"OWC_TRANSITION",IF(AND(D840="GAS",E840="GAS_WATER"),"GOC_TRANSITION",IF(AND(D840="GAS_WATER",E840="OIL"),"GOC_TRANSITION",IF(OR(D840="OIL_WATER",D840="GAS_WATER"),"TRANSITION_INTERVAL","")))))))))</f>
        <v/>
      </c>
      <c r="G840" s="20">
        <f>IF(OR(F840="",Master_Data!R840="",Master_Data!S840=""),"",IF(RIGHT(F840,10)="TRANSITION",AVERAGE(Master_Data!R840:Master_Data!S840),AVERAGE(Master_Data!S840,Master_Data!R841)))</f>
        <v/>
      </c>
      <c r="H840" s="20">
        <f>IF(G840="","",MAX(Settings!$B$4,Settings!$B$5*AVERAGE(IF(Master_Data!O840&lt;&gt;"",Master_Data!O840,Master_Data!H840),IF(Master_Data!O841&lt;&gt;"",Master_Data!O841,Master_Data!H841))))</f>
        <v/>
      </c>
      <c r="I840" s="20">
        <f>IF(G840="","",G840-H840)</f>
        <v/>
      </c>
      <c r="J840" s="20">
        <f>IF(G840="","",G840+H840)</f>
        <v/>
      </c>
      <c r="K840" s="20">
        <f>IF($A840="","",Master_Data!G840)</f>
        <v/>
      </c>
      <c r="L840" s="20">
        <f>IF($A840="","",Master_Data!G841)</f>
        <v/>
      </c>
      <c r="M840" s="20">
        <f>IF(AND(ISNUMBER(K840),ISNUMBER(L840)),L840-K840,"")</f>
        <v/>
      </c>
      <c r="N840" s="19">
        <f>IF(G840="","",IF(AND(ISNUMBER(K840),ISNUMBER(L840)),IF(OR(F840="GOC",F840="OWC",F840="GWC",F840="OWC_TRANSITION",F840="GOC_TRANSITION"),IF(L840&gt;=K840,"Supports","Conflicts"),"N/A"),"No Sw"))</f>
        <v/>
      </c>
      <c r="O840" s="20">
        <f>IF(G840="","",Settings!$B$6*IF(OR(F840="GOC",F840="OWC",F840="GWC"),1,0.7)+Settings!$B$7*IF(N840="Supports",1,IF(N840="Conflicts",0,0.5))+Settings!$B$8*IF(AND(Master_Data!R840&lt;&gt;"",Master_Data!S840&lt;&gt;"",Master_Data!R841&lt;&gt;"",Master_Data!S841&lt;&gt;""),1,0.5))</f>
        <v/>
      </c>
      <c r="P840" s="19">
        <f>IF(G840="","",IF(N840="Conflicts","SW_CONFLICT",IF(OR(F840="GOC",F840="OWC",F840="GWC"),"DIRECT_FLUID_TRANSITION","TRANSITION_INTERVAL")))</f>
        <v/>
      </c>
      <c r="Q840" s="19">
        <f>IF(G840="","",IF(N840="Conflicts","Investigate contact interpretation / saturation behaviour",IF(OR(F840="OWC",F840="GOC",F840="GWC"),"Candidate contact — validate with logs, pressure and dynamic evidence","Transition zone — do not force to a sharp contact")))</f>
        <v/>
      </c>
    </row>
    <row r="841">
      <c r="A841" s="19">
        <f>IF(AND(Master_Data!A841&lt;&gt;"",Master_Data!A841=Master_Data!A842),Master_Data!A841,"")</f>
        <v/>
      </c>
      <c r="B841" s="19">
        <f>IF($A841="","",Master_Data!B841)</f>
        <v/>
      </c>
      <c r="C841" s="19">
        <f>IF($A841="","",Master_Data!B842)</f>
        <v/>
      </c>
      <c r="D841" s="19">
        <f>IF($A841="","",Master_Data!Q841)</f>
        <v/>
      </c>
      <c r="E841" s="19">
        <f>IF($A841="","",Master_Data!Q842)</f>
        <v/>
      </c>
      <c r="F841" s="19">
        <f>IF($A841="","",IF(AND(D841="GAS",E841="OIL"),"GOC",IF(AND(D841="OIL",E841="WATER"),"OWC",IF(AND(D841="GAS",E841="WATER"),"GWC",IF(AND(D841="OIL",E841="OIL_WATER"),"OWC_TRANSITION",IF(AND(D841="OIL_WATER",E841="WATER"),"OWC_TRANSITION",IF(AND(D841="GAS",E841="GAS_WATER"),"GOC_TRANSITION",IF(AND(D841="GAS_WATER",E841="OIL"),"GOC_TRANSITION",IF(OR(D841="OIL_WATER",D841="GAS_WATER"),"TRANSITION_INTERVAL","")))))))))</f>
        <v/>
      </c>
      <c r="G841" s="20">
        <f>IF(OR(F841="",Master_Data!R841="",Master_Data!S841=""),"",IF(RIGHT(F841,10)="TRANSITION",AVERAGE(Master_Data!R841:Master_Data!S841),AVERAGE(Master_Data!S841,Master_Data!R842)))</f>
        <v/>
      </c>
      <c r="H841" s="20">
        <f>IF(G841="","",MAX(Settings!$B$4,Settings!$B$5*AVERAGE(IF(Master_Data!O841&lt;&gt;"",Master_Data!O841,Master_Data!H841),IF(Master_Data!O842&lt;&gt;"",Master_Data!O842,Master_Data!H842))))</f>
        <v/>
      </c>
      <c r="I841" s="20">
        <f>IF(G841="","",G841-H841)</f>
        <v/>
      </c>
      <c r="J841" s="20">
        <f>IF(G841="","",G841+H841)</f>
        <v/>
      </c>
      <c r="K841" s="20">
        <f>IF($A841="","",Master_Data!G841)</f>
        <v/>
      </c>
      <c r="L841" s="20">
        <f>IF($A841="","",Master_Data!G842)</f>
        <v/>
      </c>
      <c r="M841" s="20">
        <f>IF(AND(ISNUMBER(K841),ISNUMBER(L841)),L841-K841,"")</f>
        <v/>
      </c>
      <c r="N841" s="19">
        <f>IF(G841="","",IF(AND(ISNUMBER(K841),ISNUMBER(L841)),IF(OR(F841="GOC",F841="OWC",F841="GWC",F841="OWC_TRANSITION",F841="GOC_TRANSITION"),IF(L841&gt;=K841,"Supports","Conflicts"),"N/A"),"No Sw"))</f>
        <v/>
      </c>
      <c r="O841" s="20">
        <f>IF(G841="","",Settings!$B$6*IF(OR(F841="GOC",F841="OWC",F841="GWC"),1,0.7)+Settings!$B$7*IF(N841="Supports",1,IF(N841="Conflicts",0,0.5))+Settings!$B$8*IF(AND(Master_Data!R841&lt;&gt;"",Master_Data!S841&lt;&gt;"",Master_Data!R842&lt;&gt;"",Master_Data!S842&lt;&gt;""),1,0.5))</f>
        <v/>
      </c>
      <c r="P841" s="19">
        <f>IF(G841="","",IF(N841="Conflicts","SW_CONFLICT",IF(OR(F841="GOC",F841="OWC",F841="GWC"),"DIRECT_FLUID_TRANSITION","TRANSITION_INTERVAL")))</f>
        <v/>
      </c>
      <c r="Q841" s="19">
        <f>IF(G841="","",IF(N841="Conflicts","Investigate contact interpretation / saturation behaviour",IF(OR(F841="OWC",F841="GOC",F841="GWC"),"Candidate contact — validate with logs, pressure and dynamic evidence","Transition zone — do not force to a sharp contact")))</f>
        <v/>
      </c>
    </row>
    <row r="842">
      <c r="A842" s="19">
        <f>IF(AND(Master_Data!A842&lt;&gt;"",Master_Data!A842=Master_Data!A843),Master_Data!A842,"")</f>
        <v/>
      </c>
      <c r="B842" s="19">
        <f>IF($A842="","",Master_Data!B842)</f>
        <v/>
      </c>
      <c r="C842" s="19">
        <f>IF($A842="","",Master_Data!B843)</f>
        <v/>
      </c>
      <c r="D842" s="19">
        <f>IF($A842="","",Master_Data!Q842)</f>
        <v/>
      </c>
      <c r="E842" s="19">
        <f>IF($A842="","",Master_Data!Q843)</f>
        <v/>
      </c>
      <c r="F842" s="19">
        <f>IF($A842="","",IF(AND(D842="GAS",E842="OIL"),"GOC",IF(AND(D842="OIL",E842="WATER"),"OWC",IF(AND(D842="GAS",E842="WATER"),"GWC",IF(AND(D842="OIL",E842="OIL_WATER"),"OWC_TRANSITION",IF(AND(D842="OIL_WATER",E842="WATER"),"OWC_TRANSITION",IF(AND(D842="GAS",E842="GAS_WATER"),"GOC_TRANSITION",IF(AND(D842="GAS_WATER",E842="OIL"),"GOC_TRANSITION",IF(OR(D842="OIL_WATER",D842="GAS_WATER"),"TRANSITION_INTERVAL","")))))))))</f>
        <v/>
      </c>
      <c r="G842" s="20">
        <f>IF(OR(F842="",Master_Data!R842="",Master_Data!S842=""),"",IF(RIGHT(F842,10)="TRANSITION",AVERAGE(Master_Data!R842:Master_Data!S842),AVERAGE(Master_Data!S842,Master_Data!R843)))</f>
        <v/>
      </c>
      <c r="H842" s="20">
        <f>IF(G842="","",MAX(Settings!$B$4,Settings!$B$5*AVERAGE(IF(Master_Data!O842&lt;&gt;"",Master_Data!O842,Master_Data!H842),IF(Master_Data!O843&lt;&gt;"",Master_Data!O843,Master_Data!H843))))</f>
        <v/>
      </c>
      <c r="I842" s="20">
        <f>IF(G842="","",G842-H842)</f>
        <v/>
      </c>
      <c r="J842" s="20">
        <f>IF(G842="","",G842+H842)</f>
        <v/>
      </c>
      <c r="K842" s="20">
        <f>IF($A842="","",Master_Data!G842)</f>
        <v/>
      </c>
      <c r="L842" s="20">
        <f>IF($A842="","",Master_Data!G843)</f>
        <v/>
      </c>
      <c r="M842" s="20">
        <f>IF(AND(ISNUMBER(K842),ISNUMBER(L842)),L842-K842,"")</f>
        <v/>
      </c>
      <c r="N842" s="19">
        <f>IF(G842="","",IF(AND(ISNUMBER(K842),ISNUMBER(L842)),IF(OR(F842="GOC",F842="OWC",F842="GWC",F842="OWC_TRANSITION",F842="GOC_TRANSITION"),IF(L842&gt;=K842,"Supports","Conflicts"),"N/A"),"No Sw"))</f>
        <v/>
      </c>
      <c r="O842" s="20">
        <f>IF(G842="","",Settings!$B$6*IF(OR(F842="GOC",F842="OWC",F842="GWC"),1,0.7)+Settings!$B$7*IF(N842="Supports",1,IF(N842="Conflicts",0,0.5))+Settings!$B$8*IF(AND(Master_Data!R842&lt;&gt;"",Master_Data!S842&lt;&gt;"",Master_Data!R843&lt;&gt;"",Master_Data!S843&lt;&gt;""),1,0.5))</f>
        <v/>
      </c>
      <c r="P842" s="19">
        <f>IF(G842="","",IF(N842="Conflicts","SW_CONFLICT",IF(OR(F842="GOC",F842="OWC",F842="GWC"),"DIRECT_FLUID_TRANSITION","TRANSITION_INTERVAL")))</f>
        <v/>
      </c>
      <c r="Q842" s="19">
        <f>IF(G842="","",IF(N842="Conflicts","Investigate contact interpretation / saturation behaviour",IF(OR(F842="OWC",F842="GOC",F842="GWC"),"Candidate contact — validate with logs, pressure and dynamic evidence","Transition zone — do not force to a sharp contact")))</f>
        <v/>
      </c>
    </row>
    <row r="843">
      <c r="A843" s="19">
        <f>IF(AND(Master_Data!A843&lt;&gt;"",Master_Data!A843=Master_Data!A844),Master_Data!A843,"")</f>
        <v/>
      </c>
      <c r="B843" s="19">
        <f>IF($A843="","",Master_Data!B843)</f>
        <v/>
      </c>
      <c r="C843" s="19">
        <f>IF($A843="","",Master_Data!B844)</f>
        <v/>
      </c>
      <c r="D843" s="19">
        <f>IF($A843="","",Master_Data!Q843)</f>
        <v/>
      </c>
      <c r="E843" s="19">
        <f>IF($A843="","",Master_Data!Q844)</f>
        <v/>
      </c>
      <c r="F843" s="19">
        <f>IF($A843="","",IF(AND(D843="GAS",E843="OIL"),"GOC",IF(AND(D843="OIL",E843="WATER"),"OWC",IF(AND(D843="GAS",E843="WATER"),"GWC",IF(AND(D843="OIL",E843="OIL_WATER"),"OWC_TRANSITION",IF(AND(D843="OIL_WATER",E843="WATER"),"OWC_TRANSITION",IF(AND(D843="GAS",E843="GAS_WATER"),"GOC_TRANSITION",IF(AND(D843="GAS_WATER",E843="OIL"),"GOC_TRANSITION",IF(OR(D843="OIL_WATER",D843="GAS_WATER"),"TRANSITION_INTERVAL","")))))))))</f>
        <v/>
      </c>
      <c r="G843" s="20">
        <f>IF(OR(F843="",Master_Data!R843="",Master_Data!S843=""),"",IF(RIGHT(F843,10)="TRANSITION",AVERAGE(Master_Data!R843:Master_Data!S843),AVERAGE(Master_Data!S843,Master_Data!R844)))</f>
        <v/>
      </c>
      <c r="H843" s="20">
        <f>IF(G843="","",MAX(Settings!$B$4,Settings!$B$5*AVERAGE(IF(Master_Data!O843&lt;&gt;"",Master_Data!O843,Master_Data!H843),IF(Master_Data!O844&lt;&gt;"",Master_Data!O844,Master_Data!H844))))</f>
        <v/>
      </c>
      <c r="I843" s="20">
        <f>IF(G843="","",G843-H843)</f>
        <v/>
      </c>
      <c r="J843" s="20">
        <f>IF(G843="","",G843+H843)</f>
        <v/>
      </c>
      <c r="K843" s="20">
        <f>IF($A843="","",Master_Data!G843)</f>
        <v/>
      </c>
      <c r="L843" s="20">
        <f>IF($A843="","",Master_Data!G844)</f>
        <v/>
      </c>
      <c r="M843" s="20">
        <f>IF(AND(ISNUMBER(K843),ISNUMBER(L843)),L843-K843,"")</f>
        <v/>
      </c>
      <c r="N843" s="19">
        <f>IF(G843="","",IF(AND(ISNUMBER(K843),ISNUMBER(L843)),IF(OR(F843="GOC",F843="OWC",F843="GWC",F843="OWC_TRANSITION",F843="GOC_TRANSITION"),IF(L843&gt;=K843,"Supports","Conflicts"),"N/A"),"No Sw"))</f>
        <v/>
      </c>
      <c r="O843" s="20">
        <f>IF(G843="","",Settings!$B$6*IF(OR(F843="GOC",F843="OWC",F843="GWC"),1,0.7)+Settings!$B$7*IF(N843="Supports",1,IF(N843="Conflicts",0,0.5))+Settings!$B$8*IF(AND(Master_Data!R843&lt;&gt;"",Master_Data!S843&lt;&gt;"",Master_Data!R844&lt;&gt;"",Master_Data!S844&lt;&gt;""),1,0.5))</f>
        <v/>
      </c>
      <c r="P843" s="19">
        <f>IF(G843="","",IF(N843="Conflicts","SW_CONFLICT",IF(OR(F843="GOC",F843="OWC",F843="GWC"),"DIRECT_FLUID_TRANSITION","TRANSITION_INTERVAL")))</f>
        <v/>
      </c>
      <c r="Q843" s="19">
        <f>IF(G843="","",IF(N843="Conflicts","Investigate contact interpretation / saturation behaviour",IF(OR(F843="OWC",F843="GOC",F843="GWC"),"Candidate contact — validate with logs, pressure and dynamic evidence","Transition zone — do not force to a sharp contact")))</f>
        <v/>
      </c>
    </row>
    <row r="844">
      <c r="A844" s="19">
        <f>IF(AND(Master_Data!A844&lt;&gt;"",Master_Data!A844=Master_Data!A845),Master_Data!A844,"")</f>
        <v/>
      </c>
      <c r="B844" s="19">
        <f>IF($A844="","",Master_Data!B844)</f>
        <v/>
      </c>
      <c r="C844" s="19">
        <f>IF($A844="","",Master_Data!B845)</f>
        <v/>
      </c>
      <c r="D844" s="19">
        <f>IF($A844="","",Master_Data!Q844)</f>
        <v/>
      </c>
      <c r="E844" s="19">
        <f>IF($A844="","",Master_Data!Q845)</f>
        <v/>
      </c>
      <c r="F844" s="19">
        <f>IF($A844="","",IF(AND(D844="GAS",E844="OIL"),"GOC",IF(AND(D844="OIL",E844="WATER"),"OWC",IF(AND(D844="GAS",E844="WATER"),"GWC",IF(AND(D844="OIL",E844="OIL_WATER"),"OWC_TRANSITION",IF(AND(D844="OIL_WATER",E844="WATER"),"OWC_TRANSITION",IF(AND(D844="GAS",E844="GAS_WATER"),"GOC_TRANSITION",IF(AND(D844="GAS_WATER",E844="OIL"),"GOC_TRANSITION",IF(OR(D844="OIL_WATER",D844="GAS_WATER"),"TRANSITION_INTERVAL","")))))))))</f>
        <v/>
      </c>
      <c r="G844" s="20">
        <f>IF(OR(F844="",Master_Data!R844="",Master_Data!S844=""),"",IF(RIGHT(F844,10)="TRANSITION",AVERAGE(Master_Data!R844:Master_Data!S844),AVERAGE(Master_Data!S844,Master_Data!R845)))</f>
        <v/>
      </c>
      <c r="H844" s="20">
        <f>IF(G844="","",MAX(Settings!$B$4,Settings!$B$5*AVERAGE(IF(Master_Data!O844&lt;&gt;"",Master_Data!O844,Master_Data!H844),IF(Master_Data!O845&lt;&gt;"",Master_Data!O845,Master_Data!H845))))</f>
        <v/>
      </c>
      <c r="I844" s="20">
        <f>IF(G844="","",G844-H844)</f>
        <v/>
      </c>
      <c r="J844" s="20">
        <f>IF(G844="","",G844+H844)</f>
        <v/>
      </c>
      <c r="K844" s="20">
        <f>IF($A844="","",Master_Data!G844)</f>
        <v/>
      </c>
      <c r="L844" s="20">
        <f>IF($A844="","",Master_Data!G845)</f>
        <v/>
      </c>
      <c r="M844" s="20">
        <f>IF(AND(ISNUMBER(K844),ISNUMBER(L844)),L844-K844,"")</f>
        <v/>
      </c>
      <c r="N844" s="19">
        <f>IF(G844="","",IF(AND(ISNUMBER(K844),ISNUMBER(L844)),IF(OR(F844="GOC",F844="OWC",F844="GWC",F844="OWC_TRANSITION",F844="GOC_TRANSITION"),IF(L844&gt;=K844,"Supports","Conflicts"),"N/A"),"No Sw"))</f>
        <v/>
      </c>
      <c r="O844" s="20">
        <f>IF(G844="","",Settings!$B$6*IF(OR(F844="GOC",F844="OWC",F844="GWC"),1,0.7)+Settings!$B$7*IF(N844="Supports",1,IF(N844="Conflicts",0,0.5))+Settings!$B$8*IF(AND(Master_Data!R844&lt;&gt;"",Master_Data!S844&lt;&gt;"",Master_Data!R845&lt;&gt;"",Master_Data!S845&lt;&gt;""),1,0.5))</f>
        <v/>
      </c>
      <c r="P844" s="19">
        <f>IF(G844="","",IF(N844="Conflicts","SW_CONFLICT",IF(OR(F844="GOC",F844="OWC",F844="GWC"),"DIRECT_FLUID_TRANSITION","TRANSITION_INTERVAL")))</f>
        <v/>
      </c>
      <c r="Q844" s="19">
        <f>IF(G844="","",IF(N844="Conflicts","Investigate contact interpretation / saturation behaviour",IF(OR(F844="OWC",F844="GOC",F844="GWC"),"Candidate contact — validate with logs, pressure and dynamic evidence","Transition zone — do not force to a sharp contact")))</f>
        <v/>
      </c>
    </row>
    <row r="845">
      <c r="A845" s="19">
        <f>IF(AND(Master_Data!A845&lt;&gt;"",Master_Data!A845=Master_Data!A846),Master_Data!A845,"")</f>
        <v/>
      </c>
      <c r="B845" s="19">
        <f>IF($A845="","",Master_Data!B845)</f>
        <v/>
      </c>
      <c r="C845" s="19">
        <f>IF($A845="","",Master_Data!B846)</f>
        <v/>
      </c>
      <c r="D845" s="19">
        <f>IF($A845="","",Master_Data!Q845)</f>
        <v/>
      </c>
      <c r="E845" s="19">
        <f>IF($A845="","",Master_Data!Q846)</f>
        <v/>
      </c>
      <c r="F845" s="19">
        <f>IF($A845="","",IF(AND(D845="GAS",E845="OIL"),"GOC",IF(AND(D845="OIL",E845="WATER"),"OWC",IF(AND(D845="GAS",E845="WATER"),"GWC",IF(AND(D845="OIL",E845="OIL_WATER"),"OWC_TRANSITION",IF(AND(D845="OIL_WATER",E845="WATER"),"OWC_TRANSITION",IF(AND(D845="GAS",E845="GAS_WATER"),"GOC_TRANSITION",IF(AND(D845="GAS_WATER",E845="OIL"),"GOC_TRANSITION",IF(OR(D845="OIL_WATER",D845="GAS_WATER"),"TRANSITION_INTERVAL","")))))))))</f>
        <v/>
      </c>
      <c r="G845" s="20">
        <f>IF(OR(F845="",Master_Data!R845="",Master_Data!S845=""),"",IF(RIGHT(F845,10)="TRANSITION",AVERAGE(Master_Data!R845:Master_Data!S845),AVERAGE(Master_Data!S845,Master_Data!R846)))</f>
        <v/>
      </c>
      <c r="H845" s="20">
        <f>IF(G845="","",MAX(Settings!$B$4,Settings!$B$5*AVERAGE(IF(Master_Data!O845&lt;&gt;"",Master_Data!O845,Master_Data!H845),IF(Master_Data!O846&lt;&gt;"",Master_Data!O846,Master_Data!H846))))</f>
        <v/>
      </c>
      <c r="I845" s="20">
        <f>IF(G845="","",G845-H845)</f>
        <v/>
      </c>
      <c r="J845" s="20">
        <f>IF(G845="","",G845+H845)</f>
        <v/>
      </c>
      <c r="K845" s="20">
        <f>IF($A845="","",Master_Data!G845)</f>
        <v/>
      </c>
      <c r="L845" s="20">
        <f>IF($A845="","",Master_Data!G846)</f>
        <v/>
      </c>
      <c r="M845" s="20">
        <f>IF(AND(ISNUMBER(K845),ISNUMBER(L845)),L845-K845,"")</f>
        <v/>
      </c>
      <c r="N845" s="19">
        <f>IF(G845="","",IF(AND(ISNUMBER(K845),ISNUMBER(L845)),IF(OR(F845="GOC",F845="OWC",F845="GWC",F845="OWC_TRANSITION",F845="GOC_TRANSITION"),IF(L845&gt;=K845,"Supports","Conflicts"),"N/A"),"No Sw"))</f>
        <v/>
      </c>
      <c r="O845" s="20">
        <f>IF(G845="","",Settings!$B$6*IF(OR(F845="GOC",F845="OWC",F845="GWC"),1,0.7)+Settings!$B$7*IF(N845="Supports",1,IF(N845="Conflicts",0,0.5))+Settings!$B$8*IF(AND(Master_Data!R845&lt;&gt;"",Master_Data!S845&lt;&gt;"",Master_Data!R846&lt;&gt;"",Master_Data!S846&lt;&gt;""),1,0.5))</f>
        <v/>
      </c>
      <c r="P845" s="19">
        <f>IF(G845="","",IF(N845="Conflicts","SW_CONFLICT",IF(OR(F845="GOC",F845="OWC",F845="GWC"),"DIRECT_FLUID_TRANSITION","TRANSITION_INTERVAL")))</f>
        <v/>
      </c>
      <c r="Q845" s="19">
        <f>IF(G845="","",IF(N845="Conflicts","Investigate contact interpretation / saturation behaviour",IF(OR(F845="OWC",F845="GOC",F845="GWC"),"Candidate contact — validate with logs, pressure and dynamic evidence","Transition zone — do not force to a sharp contact")))</f>
        <v/>
      </c>
    </row>
    <row r="846">
      <c r="A846" s="19">
        <f>IF(AND(Master_Data!A846&lt;&gt;"",Master_Data!A846=Master_Data!A847),Master_Data!A846,"")</f>
        <v/>
      </c>
      <c r="B846" s="19">
        <f>IF($A846="","",Master_Data!B846)</f>
        <v/>
      </c>
      <c r="C846" s="19">
        <f>IF($A846="","",Master_Data!B847)</f>
        <v/>
      </c>
      <c r="D846" s="19">
        <f>IF($A846="","",Master_Data!Q846)</f>
        <v/>
      </c>
      <c r="E846" s="19">
        <f>IF($A846="","",Master_Data!Q847)</f>
        <v/>
      </c>
      <c r="F846" s="19">
        <f>IF($A846="","",IF(AND(D846="GAS",E846="OIL"),"GOC",IF(AND(D846="OIL",E846="WATER"),"OWC",IF(AND(D846="GAS",E846="WATER"),"GWC",IF(AND(D846="OIL",E846="OIL_WATER"),"OWC_TRANSITION",IF(AND(D846="OIL_WATER",E846="WATER"),"OWC_TRANSITION",IF(AND(D846="GAS",E846="GAS_WATER"),"GOC_TRANSITION",IF(AND(D846="GAS_WATER",E846="OIL"),"GOC_TRANSITION",IF(OR(D846="OIL_WATER",D846="GAS_WATER"),"TRANSITION_INTERVAL","")))))))))</f>
        <v/>
      </c>
      <c r="G846" s="20">
        <f>IF(OR(F846="",Master_Data!R846="",Master_Data!S846=""),"",IF(RIGHT(F846,10)="TRANSITION",AVERAGE(Master_Data!R846:Master_Data!S846),AVERAGE(Master_Data!S846,Master_Data!R847)))</f>
        <v/>
      </c>
      <c r="H846" s="20">
        <f>IF(G846="","",MAX(Settings!$B$4,Settings!$B$5*AVERAGE(IF(Master_Data!O846&lt;&gt;"",Master_Data!O846,Master_Data!H846),IF(Master_Data!O847&lt;&gt;"",Master_Data!O847,Master_Data!H847))))</f>
        <v/>
      </c>
      <c r="I846" s="20">
        <f>IF(G846="","",G846-H846)</f>
        <v/>
      </c>
      <c r="J846" s="20">
        <f>IF(G846="","",G846+H846)</f>
        <v/>
      </c>
      <c r="K846" s="20">
        <f>IF($A846="","",Master_Data!G846)</f>
        <v/>
      </c>
      <c r="L846" s="20">
        <f>IF($A846="","",Master_Data!G847)</f>
        <v/>
      </c>
      <c r="M846" s="20">
        <f>IF(AND(ISNUMBER(K846),ISNUMBER(L846)),L846-K846,"")</f>
        <v/>
      </c>
      <c r="N846" s="19">
        <f>IF(G846="","",IF(AND(ISNUMBER(K846),ISNUMBER(L846)),IF(OR(F846="GOC",F846="OWC",F846="GWC",F846="OWC_TRANSITION",F846="GOC_TRANSITION"),IF(L846&gt;=K846,"Supports","Conflicts"),"N/A"),"No Sw"))</f>
        <v/>
      </c>
      <c r="O846" s="20">
        <f>IF(G846="","",Settings!$B$6*IF(OR(F846="GOC",F846="OWC",F846="GWC"),1,0.7)+Settings!$B$7*IF(N846="Supports",1,IF(N846="Conflicts",0,0.5))+Settings!$B$8*IF(AND(Master_Data!R846&lt;&gt;"",Master_Data!S846&lt;&gt;"",Master_Data!R847&lt;&gt;"",Master_Data!S847&lt;&gt;""),1,0.5))</f>
        <v/>
      </c>
      <c r="P846" s="19">
        <f>IF(G846="","",IF(N846="Conflicts","SW_CONFLICT",IF(OR(F846="GOC",F846="OWC",F846="GWC"),"DIRECT_FLUID_TRANSITION","TRANSITION_INTERVAL")))</f>
        <v/>
      </c>
      <c r="Q846" s="19">
        <f>IF(G846="","",IF(N846="Conflicts","Investigate contact interpretation / saturation behaviour",IF(OR(F846="OWC",F846="GOC",F846="GWC"),"Candidate contact — validate with logs, pressure and dynamic evidence","Transition zone — do not force to a sharp contact")))</f>
        <v/>
      </c>
    </row>
    <row r="847">
      <c r="A847" s="19">
        <f>IF(AND(Master_Data!A847&lt;&gt;"",Master_Data!A847=Master_Data!A848),Master_Data!A847,"")</f>
        <v/>
      </c>
      <c r="B847" s="19">
        <f>IF($A847="","",Master_Data!B847)</f>
        <v/>
      </c>
      <c r="C847" s="19">
        <f>IF($A847="","",Master_Data!B848)</f>
        <v/>
      </c>
      <c r="D847" s="19">
        <f>IF($A847="","",Master_Data!Q847)</f>
        <v/>
      </c>
      <c r="E847" s="19">
        <f>IF($A847="","",Master_Data!Q848)</f>
        <v/>
      </c>
      <c r="F847" s="19">
        <f>IF($A847="","",IF(AND(D847="GAS",E847="OIL"),"GOC",IF(AND(D847="OIL",E847="WATER"),"OWC",IF(AND(D847="GAS",E847="WATER"),"GWC",IF(AND(D847="OIL",E847="OIL_WATER"),"OWC_TRANSITION",IF(AND(D847="OIL_WATER",E847="WATER"),"OWC_TRANSITION",IF(AND(D847="GAS",E847="GAS_WATER"),"GOC_TRANSITION",IF(AND(D847="GAS_WATER",E847="OIL"),"GOC_TRANSITION",IF(OR(D847="OIL_WATER",D847="GAS_WATER"),"TRANSITION_INTERVAL","")))))))))</f>
        <v/>
      </c>
      <c r="G847" s="20">
        <f>IF(OR(F847="",Master_Data!R847="",Master_Data!S847=""),"",IF(RIGHT(F847,10)="TRANSITION",AVERAGE(Master_Data!R847:Master_Data!S847),AVERAGE(Master_Data!S847,Master_Data!R848)))</f>
        <v/>
      </c>
      <c r="H847" s="20">
        <f>IF(G847="","",MAX(Settings!$B$4,Settings!$B$5*AVERAGE(IF(Master_Data!O847&lt;&gt;"",Master_Data!O847,Master_Data!H847),IF(Master_Data!O848&lt;&gt;"",Master_Data!O848,Master_Data!H848))))</f>
        <v/>
      </c>
      <c r="I847" s="20">
        <f>IF(G847="","",G847-H847)</f>
        <v/>
      </c>
      <c r="J847" s="20">
        <f>IF(G847="","",G847+H847)</f>
        <v/>
      </c>
      <c r="K847" s="20">
        <f>IF($A847="","",Master_Data!G847)</f>
        <v/>
      </c>
      <c r="L847" s="20">
        <f>IF($A847="","",Master_Data!G848)</f>
        <v/>
      </c>
      <c r="M847" s="20">
        <f>IF(AND(ISNUMBER(K847),ISNUMBER(L847)),L847-K847,"")</f>
        <v/>
      </c>
      <c r="N847" s="19">
        <f>IF(G847="","",IF(AND(ISNUMBER(K847),ISNUMBER(L847)),IF(OR(F847="GOC",F847="OWC",F847="GWC",F847="OWC_TRANSITION",F847="GOC_TRANSITION"),IF(L847&gt;=K847,"Supports","Conflicts"),"N/A"),"No Sw"))</f>
        <v/>
      </c>
      <c r="O847" s="20">
        <f>IF(G847="","",Settings!$B$6*IF(OR(F847="GOC",F847="OWC",F847="GWC"),1,0.7)+Settings!$B$7*IF(N847="Supports",1,IF(N847="Conflicts",0,0.5))+Settings!$B$8*IF(AND(Master_Data!R847&lt;&gt;"",Master_Data!S847&lt;&gt;"",Master_Data!R848&lt;&gt;"",Master_Data!S848&lt;&gt;""),1,0.5))</f>
        <v/>
      </c>
      <c r="P847" s="19">
        <f>IF(G847="","",IF(N847="Conflicts","SW_CONFLICT",IF(OR(F847="GOC",F847="OWC",F847="GWC"),"DIRECT_FLUID_TRANSITION","TRANSITION_INTERVAL")))</f>
        <v/>
      </c>
      <c r="Q847" s="19">
        <f>IF(G847="","",IF(N847="Conflicts","Investigate contact interpretation / saturation behaviour",IF(OR(F847="OWC",F847="GOC",F847="GWC"),"Candidate contact — validate with logs, pressure and dynamic evidence","Transition zone — do not force to a sharp contact")))</f>
        <v/>
      </c>
    </row>
    <row r="848">
      <c r="A848" s="19">
        <f>IF(AND(Master_Data!A848&lt;&gt;"",Master_Data!A848=Master_Data!A849),Master_Data!A848,"")</f>
        <v/>
      </c>
      <c r="B848" s="19">
        <f>IF($A848="","",Master_Data!B848)</f>
        <v/>
      </c>
      <c r="C848" s="19">
        <f>IF($A848="","",Master_Data!B849)</f>
        <v/>
      </c>
      <c r="D848" s="19">
        <f>IF($A848="","",Master_Data!Q848)</f>
        <v/>
      </c>
      <c r="E848" s="19">
        <f>IF($A848="","",Master_Data!Q849)</f>
        <v/>
      </c>
      <c r="F848" s="19">
        <f>IF($A848="","",IF(AND(D848="GAS",E848="OIL"),"GOC",IF(AND(D848="OIL",E848="WATER"),"OWC",IF(AND(D848="GAS",E848="WATER"),"GWC",IF(AND(D848="OIL",E848="OIL_WATER"),"OWC_TRANSITION",IF(AND(D848="OIL_WATER",E848="WATER"),"OWC_TRANSITION",IF(AND(D848="GAS",E848="GAS_WATER"),"GOC_TRANSITION",IF(AND(D848="GAS_WATER",E848="OIL"),"GOC_TRANSITION",IF(OR(D848="OIL_WATER",D848="GAS_WATER"),"TRANSITION_INTERVAL","")))))))))</f>
        <v/>
      </c>
      <c r="G848" s="20">
        <f>IF(OR(F848="",Master_Data!R848="",Master_Data!S848=""),"",IF(RIGHT(F848,10)="TRANSITION",AVERAGE(Master_Data!R848:Master_Data!S848),AVERAGE(Master_Data!S848,Master_Data!R849)))</f>
        <v/>
      </c>
      <c r="H848" s="20">
        <f>IF(G848="","",MAX(Settings!$B$4,Settings!$B$5*AVERAGE(IF(Master_Data!O848&lt;&gt;"",Master_Data!O848,Master_Data!H848),IF(Master_Data!O849&lt;&gt;"",Master_Data!O849,Master_Data!H849))))</f>
        <v/>
      </c>
      <c r="I848" s="20">
        <f>IF(G848="","",G848-H848)</f>
        <v/>
      </c>
      <c r="J848" s="20">
        <f>IF(G848="","",G848+H848)</f>
        <v/>
      </c>
      <c r="K848" s="20">
        <f>IF($A848="","",Master_Data!G848)</f>
        <v/>
      </c>
      <c r="L848" s="20">
        <f>IF($A848="","",Master_Data!G849)</f>
        <v/>
      </c>
      <c r="M848" s="20">
        <f>IF(AND(ISNUMBER(K848),ISNUMBER(L848)),L848-K848,"")</f>
        <v/>
      </c>
      <c r="N848" s="19">
        <f>IF(G848="","",IF(AND(ISNUMBER(K848),ISNUMBER(L848)),IF(OR(F848="GOC",F848="OWC",F848="GWC",F848="OWC_TRANSITION",F848="GOC_TRANSITION"),IF(L848&gt;=K848,"Supports","Conflicts"),"N/A"),"No Sw"))</f>
        <v/>
      </c>
      <c r="O848" s="20">
        <f>IF(G848="","",Settings!$B$6*IF(OR(F848="GOC",F848="OWC",F848="GWC"),1,0.7)+Settings!$B$7*IF(N848="Supports",1,IF(N848="Conflicts",0,0.5))+Settings!$B$8*IF(AND(Master_Data!R848&lt;&gt;"",Master_Data!S848&lt;&gt;"",Master_Data!R849&lt;&gt;"",Master_Data!S849&lt;&gt;""),1,0.5))</f>
        <v/>
      </c>
      <c r="P848" s="19">
        <f>IF(G848="","",IF(N848="Conflicts","SW_CONFLICT",IF(OR(F848="GOC",F848="OWC",F848="GWC"),"DIRECT_FLUID_TRANSITION","TRANSITION_INTERVAL")))</f>
        <v/>
      </c>
      <c r="Q848" s="19">
        <f>IF(G848="","",IF(N848="Conflicts","Investigate contact interpretation / saturation behaviour",IF(OR(F848="OWC",F848="GOC",F848="GWC"),"Candidate contact — validate with logs, pressure and dynamic evidence","Transition zone — do not force to a sharp contact")))</f>
        <v/>
      </c>
    </row>
    <row r="849">
      <c r="A849" s="19">
        <f>IF(AND(Master_Data!A849&lt;&gt;"",Master_Data!A849=Master_Data!A850),Master_Data!A849,"")</f>
        <v/>
      </c>
      <c r="B849" s="19">
        <f>IF($A849="","",Master_Data!B849)</f>
        <v/>
      </c>
      <c r="C849" s="19">
        <f>IF($A849="","",Master_Data!B850)</f>
        <v/>
      </c>
      <c r="D849" s="19">
        <f>IF($A849="","",Master_Data!Q849)</f>
        <v/>
      </c>
      <c r="E849" s="19">
        <f>IF($A849="","",Master_Data!Q850)</f>
        <v/>
      </c>
      <c r="F849" s="19">
        <f>IF($A849="","",IF(AND(D849="GAS",E849="OIL"),"GOC",IF(AND(D849="OIL",E849="WATER"),"OWC",IF(AND(D849="GAS",E849="WATER"),"GWC",IF(AND(D849="OIL",E849="OIL_WATER"),"OWC_TRANSITION",IF(AND(D849="OIL_WATER",E849="WATER"),"OWC_TRANSITION",IF(AND(D849="GAS",E849="GAS_WATER"),"GOC_TRANSITION",IF(AND(D849="GAS_WATER",E849="OIL"),"GOC_TRANSITION",IF(OR(D849="OIL_WATER",D849="GAS_WATER"),"TRANSITION_INTERVAL","")))))))))</f>
        <v/>
      </c>
      <c r="G849" s="20">
        <f>IF(OR(F849="",Master_Data!R849="",Master_Data!S849=""),"",IF(RIGHT(F849,10)="TRANSITION",AVERAGE(Master_Data!R849:Master_Data!S849),AVERAGE(Master_Data!S849,Master_Data!R850)))</f>
        <v/>
      </c>
      <c r="H849" s="20">
        <f>IF(G849="","",MAX(Settings!$B$4,Settings!$B$5*AVERAGE(IF(Master_Data!O849&lt;&gt;"",Master_Data!O849,Master_Data!H849),IF(Master_Data!O850&lt;&gt;"",Master_Data!O850,Master_Data!H850))))</f>
        <v/>
      </c>
      <c r="I849" s="20">
        <f>IF(G849="","",G849-H849)</f>
        <v/>
      </c>
      <c r="J849" s="20">
        <f>IF(G849="","",G849+H849)</f>
        <v/>
      </c>
      <c r="K849" s="20">
        <f>IF($A849="","",Master_Data!G849)</f>
        <v/>
      </c>
      <c r="L849" s="20">
        <f>IF($A849="","",Master_Data!G850)</f>
        <v/>
      </c>
      <c r="M849" s="20">
        <f>IF(AND(ISNUMBER(K849),ISNUMBER(L849)),L849-K849,"")</f>
        <v/>
      </c>
      <c r="N849" s="19">
        <f>IF(G849="","",IF(AND(ISNUMBER(K849),ISNUMBER(L849)),IF(OR(F849="GOC",F849="OWC",F849="GWC",F849="OWC_TRANSITION",F849="GOC_TRANSITION"),IF(L849&gt;=K849,"Supports","Conflicts"),"N/A"),"No Sw"))</f>
        <v/>
      </c>
      <c r="O849" s="20">
        <f>IF(G849="","",Settings!$B$6*IF(OR(F849="GOC",F849="OWC",F849="GWC"),1,0.7)+Settings!$B$7*IF(N849="Supports",1,IF(N849="Conflicts",0,0.5))+Settings!$B$8*IF(AND(Master_Data!R849&lt;&gt;"",Master_Data!S849&lt;&gt;"",Master_Data!R850&lt;&gt;"",Master_Data!S850&lt;&gt;""),1,0.5))</f>
        <v/>
      </c>
      <c r="P849" s="19">
        <f>IF(G849="","",IF(N849="Conflicts","SW_CONFLICT",IF(OR(F849="GOC",F849="OWC",F849="GWC"),"DIRECT_FLUID_TRANSITION","TRANSITION_INTERVAL")))</f>
        <v/>
      </c>
      <c r="Q849" s="19">
        <f>IF(G849="","",IF(N849="Conflicts","Investigate contact interpretation / saturation behaviour",IF(OR(F849="OWC",F849="GOC",F849="GWC"),"Candidate contact — validate with logs, pressure and dynamic evidence","Transition zone — do not force to a sharp contact")))</f>
        <v/>
      </c>
    </row>
    <row r="850">
      <c r="A850" s="19">
        <f>IF(AND(Master_Data!A850&lt;&gt;"",Master_Data!A850=Master_Data!A851),Master_Data!A850,"")</f>
        <v/>
      </c>
      <c r="B850" s="19">
        <f>IF($A850="","",Master_Data!B850)</f>
        <v/>
      </c>
      <c r="C850" s="19">
        <f>IF($A850="","",Master_Data!B851)</f>
        <v/>
      </c>
      <c r="D850" s="19">
        <f>IF($A850="","",Master_Data!Q850)</f>
        <v/>
      </c>
      <c r="E850" s="19">
        <f>IF($A850="","",Master_Data!Q851)</f>
        <v/>
      </c>
      <c r="F850" s="19">
        <f>IF($A850="","",IF(AND(D850="GAS",E850="OIL"),"GOC",IF(AND(D850="OIL",E850="WATER"),"OWC",IF(AND(D850="GAS",E850="WATER"),"GWC",IF(AND(D850="OIL",E850="OIL_WATER"),"OWC_TRANSITION",IF(AND(D850="OIL_WATER",E850="WATER"),"OWC_TRANSITION",IF(AND(D850="GAS",E850="GAS_WATER"),"GOC_TRANSITION",IF(AND(D850="GAS_WATER",E850="OIL"),"GOC_TRANSITION",IF(OR(D850="OIL_WATER",D850="GAS_WATER"),"TRANSITION_INTERVAL","")))))))))</f>
        <v/>
      </c>
      <c r="G850" s="20">
        <f>IF(OR(F850="",Master_Data!R850="",Master_Data!S850=""),"",IF(RIGHT(F850,10)="TRANSITION",AVERAGE(Master_Data!R850:Master_Data!S850),AVERAGE(Master_Data!S850,Master_Data!R851)))</f>
        <v/>
      </c>
      <c r="H850" s="20">
        <f>IF(G850="","",MAX(Settings!$B$4,Settings!$B$5*AVERAGE(IF(Master_Data!O850&lt;&gt;"",Master_Data!O850,Master_Data!H850),IF(Master_Data!O851&lt;&gt;"",Master_Data!O851,Master_Data!H851))))</f>
        <v/>
      </c>
      <c r="I850" s="20">
        <f>IF(G850="","",G850-H850)</f>
        <v/>
      </c>
      <c r="J850" s="20">
        <f>IF(G850="","",G850+H850)</f>
        <v/>
      </c>
      <c r="K850" s="20">
        <f>IF($A850="","",Master_Data!G850)</f>
        <v/>
      </c>
      <c r="L850" s="20">
        <f>IF($A850="","",Master_Data!G851)</f>
        <v/>
      </c>
      <c r="M850" s="20">
        <f>IF(AND(ISNUMBER(K850),ISNUMBER(L850)),L850-K850,"")</f>
        <v/>
      </c>
      <c r="N850" s="19">
        <f>IF(G850="","",IF(AND(ISNUMBER(K850),ISNUMBER(L850)),IF(OR(F850="GOC",F850="OWC",F850="GWC",F850="OWC_TRANSITION",F850="GOC_TRANSITION"),IF(L850&gt;=K850,"Supports","Conflicts"),"N/A"),"No Sw"))</f>
        <v/>
      </c>
      <c r="O850" s="20">
        <f>IF(G850="","",Settings!$B$6*IF(OR(F850="GOC",F850="OWC",F850="GWC"),1,0.7)+Settings!$B$7*IF(N850="Supports",1,IF(N850="Conflicts",0,0.5))+Settings!$B$8*IF(AND(Master_Data!R850&lt;&gt;"",Master_Data!S850&lt;&gt;"",Master_Data!R851&lt;&gt;"",Master_Data!S851&lt;&gt;""),1,0.5))</f>
        <v/>
      </c>
      <c r="P850" s="19">
        <f>IF(G850="","",IF(N850="Conflicts","SW_CONFLICT",IF(OR(F850="GOC",F850="OWC",F850="GWC"),"DIRECT_FLUID_TRANSITION","TRANSITION_INTERVAL")))</f>
        <v/>
      </c>
      <c r="Q850" s="19">
        <f>IF(G850="","",IF(N850="Conflicts","Investigate contact interpretation / saturation behaviour",IF(OR(F850="OWC",F850="GOC",F850="GWC"),"Candidate contact — validate with logs, pressure and dynamic evidence","Transition zone — do not force to a sharp contact")))</f>
        <v/>
      </c>
    </row>
    <row r="851">
      <c r="A851" s="19">
        <f>IF(AND(Master_Data!A851&lt;&gt;"",Master_Data!A851=Master_Data!A852),Master_Data!A851,"")</f>
        <v/>
      </c>
      <c r="B851" s="19">
        <f>IF($A851="","",Master_Data!B851)</f>
        <v/>
      </c>
      <c r="C851" s="19">
        <f>IF($A851="","",Master_Data!B852)</f>
        <v/>
      </c>
      <c r="D851" s="19">
        <f>IF($A851="","",Master_Data!Q851)</f>
        <v/>
      </c>
      <c r="E851" s="19">
        <f>IF($A851="","",Master_Data!Q852)</f>
        <v/>
      </c>
      <c r="F851" s="19">
        <f>IF($A851="","",IF(AND(D851="GAS",E851="OIL"),"GOC",IF(AND(D851="OIL",E851="WATER"),"OWC",IF(AND(D851="GAS",E851="WATER"),"GWC",IF(AND(D851="OIL",E851="OIL_WATER"),"OWC_TRANSITION",IF(AND(D851="OIL_WATER",E851="WATER"),"OWC_TRANSITION",IF(AND(D851="GAS",E851="GAS_WATER"),"GOC_TRANSITION",IF(AND(D851="GAS_WATER",E851="OIL"),"GOC_TRANSITION",IF(OR(D851="OIL_WATER",D851="GAS_WATER"),"TRANSITION_INTERVAL","")))))))))</f>
        <v/>
      </c>
      <c r="G851" s="20">
        <f>IF(OR(F851="",Master_Data!R851="",Master_Data!S851=""),"",IF(RIGHT(F851,10)="TRANSITION",AVERAGE(Master_Data!R851:Master_Data!S851),AVERAGE(Master_Data!S851,Master_Data!R852)))</f>
        <v/>
      </c>
      <c r="H851" s="20">
        <f>IF(G851="","",MAX(Settings!$B$4,Settings!$B$5*AVERAGE(IF(Master_Data!O851&lt;&gt;"",Master_Data!O851,Master_Data!H851),IF(Master_Data!O852&lt;&gt;"",Master_Data!O852,Master_Data!H852))))</f>
        <v/>
      </c>
      <c r="I851" s="20">
        <f>IF(G851="","",G851-H851)</f>
        <v/>
      </c>
      <c r="J851" s="20">
        <f>IF(G851="","",G851+H851)</f>
        <v/>
      </c>
      <c r="K851" s="20">
        <f>IF($A851="","",Master_Data!G851)</f>
        <v/>
      </c>
      <c r="L851" s="20">
        <f>IF($A851="","",Master_Data!G852)</f>
        <v/>
      </c>
      <c r="M851" s="20">
        <f>IF(AND(ISNUMBER(K851),ISNUMBER(L851)),L851-K851,"")</f>
        <v/>
      </c>
      <c r="N851" s="19">
        <f>IF(G851="","",IF(AND(ISNUMBER(K851),ISNUMBER(L851)),IF(OR(F851="GOC",F851="OWC",F851="GWC",F851="OWC_TRANSITION",F851="GOC_TRANSITION"),IF(L851&gt;=K851,"Supports","Conflicts"),"N/A"),"No Sw"))</f>
        <v/>
      </c>
      <c r="O851" s="20">
        <f>IF(G851="","",Settings!$B$6*IF(OR(F851="GOC",F851="OWC",F851="GWC"),1,0.7)+Settings!$B$7*IF(N851="Supports",1,IF(N851="Conflicts",0,0.5))+Settings!$B$8*IF(AND(Master_Data!R851&lt;&gt;"",Master_Data!S851&lt;&gt;"",Master_Data!R852&lt;&gt;"",Master_Data!S852&lt;&gt;""),1,0.5))</f>
        <v/>
      </c>
      <c r="P851" s="19">
        <f>IF(G851="","",IF(N851="Conflicts","SW_CONFLICT",IF(OR(F851="GOC",F851="OWC",F851="GWC"),"DIRECT_FLUID_TRANSITION","TRANSITION_INTERVAL")))</f>
        <v/>
      </c>
      <c r="Q851" s="19">
        <f>IF(G851="","",IF(N851="Conflicts","Investigate contact interpretation / saturation behaviour",IF(OR(F851="OWC",F851="GOC",F851="GWC"),"Candidate contact — validate with logs, pressure and dynamic evidence","Transition zone — do not force to a sharp contact")))</f>
        <v/>
      </c>
    </row>
    <row r="852">
      <c r="A852" s="19">
        <f>IF(AND(Master_Data!A852&lt;&gt;"",Master_Data!A852=Master_Data!A853),Master_Data!A852,"")</f>
        <v/>
      </c>
      <c r="B852" s="19">
        <f>IF($A852="","",Master_Data!B852)</f>
        <v/>
      </c>
      <c r="C852" s="19">
        <f>IF($A852="","",Master_Data!B853)</f>
        <v/>
      </c>
      <c r="D852" s="19">
        <f>IF($A852="","",Master_Data!Q852)</f>
        <v/>
      </c>
      <c r="E852" s="19">
        <f>IF($A852="","",Master_Data!Q853)</f>
        <v/>
      </c>
      <c r="F852" s="19">
        <f>IF($A852="","",IF(AND(D852="GAS",E852="OIL"),"GOC",IF(AND(D852="OIL",E852="WATER"),"OWC",IF(AND(D852="GAS",E852="WATER"),"GWC",IF(AND(D852="OIL",E852="OIL_WATER"),"OWC_TRANSITION",IF(AND(D852="OIL_WATER",E852="WATER"),"OWC_TRANSITION",IF(AND(D852="GAS",E852="GAS_WATER"),"GOC_TRANSITION",IF(AND(D852="GAS_WATER",E852="OIL"),"GOC_TRANSITION",IF(OR(D852="OIL_WATER",D852="GAS_WATER"),"TRANSITION_INTERVAL","")))))))))</f>
        <v/>
      </c>
      <c r="G852" s="20">
        <f>IF(OR(F852="",Master_Data!R852="",Master_Data!S852=""),"",IF(RIGHT(F852,10)="TRANSITION",AVERAGE(Master_Data!R852:Master_Data!S852),AVERAGE(Master_Data!S852,Master_Data!R853)))</f>
        <v/>
      </c>
      <c r="H852" s="20">
        <f>IF(G852="","",MAX(Settings!$B$4,Settings!$B$5*AVERAGE(IF(Master_Data!O852&lt;&gt;"",Master_Data!O852,Master_Data!H852),IF(Master_Data!O853&lt;&gt;"",Master_Data!O853,Master_Data!H853))))</f>
        <v/>
      </c>
      <c r="I852" s="20">
        <f>IF(G852="","",G852-H852)</f>
        <v/>
      </c>
      <c r="J852" s="20">
        <f>IF(G852="","",G852+H852)</f>
        <v/>
      </c>
      <c r="K852" s="20">
        <f>IF($A852="","",Master_Data!G852)</f>
        <v/>
      </c>
      <c r="L852" s="20">
        <f>IF($A852="","",Master_Data!G853)</f>
        <v/>
      </c>
      <c r="M852" s="20">
        <f>IF(AND(ISNUMBER(K852),ISNUMBER(L852)),L852-K852,"")</f>
        <v/>
      </c>
      <c r="N852" s="19">
        <f>IF(G852="","",IF(AND(ISNUMBER(K852),ISNUMBER(L852)),IF(OR(F852="GOC",F852="OWC",F852="GWC",F852="OWC_TRANSITION",F852="GOC_TRANSITION"),IF(L852&gt;=K852,"Supports","Conflicts"),"N/A"),"No Sw"))</f>
        <v/>
      </c>
      <c r="O852" s="20">
        <f>IF(G852="","",Settings!$B$6*IF(OR(F852="GOC",F852="OWC",F852="GWC"),1,0.7)+Settings!$B$7*IF(N852="Supports",1,IF(N852="Conflicts",0,0.5))+Settings!$B$8*IF(AND(Master_Data!R852&lt;&gt;"",Master_Data!S852&lt;&gt;"",Master_Data!R853&lt;&gt;"",Master_Data!S853&lt;&gt;""),1,0.5))</f>
        <v/>
      </c>
      <c r="P852" s="19">
        <f>IF(G852="","",IF(N852="Conflicts","SW_CONFLICT",IF(OR(F852="GOC",F852="OWC",F852="GWC"),"DIRECT_FLUID_TRANSITION","TRANSITION_INTERVAL")))</f>
        <v/>
      </c>
      <c r="Q852" s="19">
        <f>IF(G852="","",IF(N852="Conflicts","Investigate contact interpretation / saturation behaviour",IF(OR(F852="OWC",F852="GOC",F852="GWC"),"Candidate contact — validate with logs, pressure and dynamic evidence","Transition zone — do not force to a sharp contact")))</f>
        <v/>
      </c>
    </row>
    <row r="853">
      <c r="A853" s="19">
        <f>IF(AND(Master_Data!A853&lt;&gt;"",Master_Data!A853=Master_Data!A854),Master_Data!A853,"")</f>
        <v/>
      </c>
      <c r="B853" s="19">
        <f>IF($A853="","",Master_Data!B853)</f>
        <v/>
      </c>
      <c r="C853" s="19">
        <f>IF($A853="","",Master_Data!B854)</f>
        <v/>
      </c>
      <c r="D853" s="19">
        <f>IF($A853="","",Master_Data!Q853)</f>
        <v/>
      </c>
      <c r="E853" s="19">
        <f>IF($A853="","",Master_Data!Q854)</f>
        <v/>
      </c>
      <c r="F853" s="19">
        <f>IF($A853="","",IF(AND(D853="GAS",E853="OIL"),"GOC",IF(AND(D853="OIL",E853="WATER"),"OWC",IF(AND(D853="GAS",E853="WATER"),"GWC",IF(AND(D853="OIL",E853="OIL_WATER"),"OWC_TRANSITION",IF(AND(D853="OIL_WATER",E853="WATER"),"OWC_TRANSITION",IF(AND(D853="GAS",E853="GAS_WATER"),"GOC_TRANSITION",IF(AND(D853="GAS_WATER",E853="OIL"),"GOC_TRANSITION",IF(OR(D853="OIL_WATER",D853="GAS_WATER"),"TRANSITION_INTERVAL","")))))))))</f>
        <v/>
      </c>
      <c r="G853" s="20">
        <f>IF(OR(F853="",Master_Data!R853="",Master_Data!S853=""),"",IF(RIGHT(F853,10)="TRANSITION",AVERAGE(Master_Data!R853:Master_Data!S853),AVERAGE(Master_Data!S853,Master_Data!R854)))</f>
        <v/>
      </c>
      <c r="H853" s="20">
        <f>IF(G853="","",MAX(Settings!$B$4,Settings!$B$5*AVERAGE(IF(Master_Data!O853&lt;&gt;"",Master_Data!O853,Master_Data!H853),IF(Master_Data!O854&lt;&gt;"",Master_Data!O854,Master_Data!H854))))</f>
        <v/>
      </c>
      <c r="I853" s="20">
        <f>IF(G853="","",G853-H853)</f>
        <v/>
      </c>
      <c r="J853" s="20">
        <f>IF(G853="","",G853+H853)</f>
        <v/>
      </c>
      <c r="K853" s="20">
        <f>IF($A853="","",Master_Data!G853)</f>
        <v/>
      </c>
      <c r="L853" s="20">
        <f>IF($A853="","",Master_Data!G854)</f>
        <v/>
      </c>
      <c r="M853" s="20">
        <f>IF(AND(ISNUMBER(K853),ISNUMBER(L853)),L853-K853,"")</f>
        <v/>
      </c>
      <c r="N853" s="19">
        <f>IF(G853="","",IF(AND(ISNUMBER(K853),ISNUMBER(L853)),IF(OR(F853="GOC",F853="OWC",F853="GWC",F853="OWC_TRANSITION",F853="GOC_TRANSITION"),IF(L853&gt;=K853,"Supports","Conflicts"),"N/A"),"No Sw"))</f>
        <v/>
      </c>
      <c r="O853" s="20">
        <f>IF(G853="","",Settings!$B$6*IF(OR(F853="GOC",F853="OWC",F853="GWC"),1,0.7)+Settings!$B$7*IF(N853="Supports",1,IF(N853="Conflicts",0,0.5))+Settings!$B$8*IF(AND(Master_Data!R853&lt;&gt;"",Master_Data!S853&lt;&gt;"",Master_Data!R854&lt;&gt;"",Master_Data!S854&lt;&gt;""),1,0.5))</f>
        <v/>
      </c>
      <c r="P853" s="19">
        <f>IF(G853="","",IF(N853="Conflicts","SW_CONFLICT",IF(OR(F853="GOC",F853="OWC",F853="GWC"),"DIRECT_FLUID_TRANSITION","TRANSITION_INTERVAL")))</f>
        <v/>
      </c>
      <c r="Q853" s="19">
        <f>IF(G853="","",IF(N853="Conflicts","Investigate contact interpretation / saturation behaviour",IF(OR(F853="OWC",F853="GOC",F853="GWC"),"Candidate contact — validate with logs, pressure and dynamic evidence","Transition zone — do not force to a sharp contact")))</f>
        <v/>
      </c>
    </row>
    <row r="854">
      <c r="A854" s="19">
        <f>IF(AND(Master_Data!A854&lt;&gt;"",Master_Data!A854=Master_Data!A855),Master_Data!A854,"")</f>
        <v/>
      </c>
      <c r="B854" s="19">
        <f>IF($A854="","",Master_Data!B854)</f>
        <v/>
      </c>
      <c r="C854" s="19">
        <f>IF($A854="","",Master_Data!B855)</f>
        <v/>
      </c>
      <c r="D854" s="19">
        <f>IF($A854="","",Master_Data!Q854)</f>
        <v/>
      </c>
      <c r="E854" s="19">
        <f>IF($A854="","",Master_Data!Q855)</f>
        <v/>
      </c>
      <c r="F854" s="19">
        <f>IF($A854="","",IF(AND(D854="GAS",E854="OIL"),"GOC",IF(AND(D854="OIL",E854="WATER"),"OWC",IF(AND(D854="GAS",E854="WATER"),"GWC",IF(AND(D854="OIL",E854="OIL_WATER"),"OWC_TRANSITION",IF(AND(D854="OIL_WATER",E854="WATER"),"OWC_TRANSITION",IF(AND(D854="GAS",E854="GAS_WATER"),"GOC_TRANSITION",IF(AND(D854="GAS_WATER",E854="OIL"),"GOC_TRANSITION",IF(OR(D854="OIL_WATER",D854="GAS_WATER"),"TRANSITION_INTERVAL","")))))))))</f>
        <v/>
      </c>
      <c r="G854" s="20">
        <f>IF(OR(F854="",Master_Data!R854="",Master_Data!S854=""),"",IF(RIGHT(F854,10)="TRANSITION",AVERAGE(Master_Data!R854:Master_Data!S854),AVERAGE(Master_Data!S854,Master_Data!R855)))</f>
        <v/>
      </c>
      <c r="H854" s="20">
        <f>IF(G854="","",MAX(Settings!$B$4,Settings!$B$5*AVERAGE(IF(Master_Data!O854&lt;&gt;"",Master_Data!O854,Master_Data!H854),IF(Master_Data!O855&lt;&gt;"",Master_Data!O855,Master_Data!H855))))</f>
        <v/>
      </c>
      <c r="I854" s="20">
        <f>IF(G854="","",G854-H854)</f>
        <v/>
      </c>
      <c r="J854" s="20">
        <f>IF(G854="","",G854+H854)</f>
        <v/>
      </c>
      <c r="K854" s="20">
        <f>IF($A854="","",Master_Data!G854)</f>
        <v/>
      </c>
      <c r="L854" s="20">
        <f>IF($A854="","",Master_Data!G855)</f>
        <v/>
      </c>
      <c r="M854" s="20">
        <f>IF(AND(ISNUMBER(K854),ISNUMBER(L854)),L854-K854,"")</f>
        <v/>
      </c>
      <c r="N854" s="19">
        <f>IF(G854="","",IF(AND(ISNUMBER(K854),ISNUMBER(L854)),IF(OR(F854="GOC",F854="OWC",F854="GWC",F854="OWC_TRANSITION",F854="GOC_TRANSITION"),IF(L854&gt;=K854,"Supports","Conflicts"),"N/A"),"No Sw"))</f>
        <v/>
      </c>
      <c r="O854" s="20">
        <f>IF(G854="","",Settings!$B$6*IF(OR(F854="GOC",F854="OWC",F854="GWC"),1,0.7)+Settings!$B$7*IF(N854="Supports",1,IF(N854="Conflicts",0,0.5))+Settings!$B$8*IF(AND(Master_Data!R854&lt;&gt;"",Master_Data!S854&lt;&gt;"",Master_Data!R855&lt;&gt;"",Master_Data!S855&lt;&gt;""),1,0.5))</f>
        <v/>
      </c>
      <c r="P854" s="19">
        <f>IF(G854="","",IF(N854="Conflicts","SW_CONFLICT",IF(OR(F854="GOC",F854="OWC",F854="GWC"),"DIRECT_FLUID_TRANSITION","TRANSITION_INTERVAL")))</f>
        <v/>
      </c>
      <c r="Q854" s="19">
        <f>IF(G854="","",IF(N854="Conflicts","Investigate contact interpretation / saturation behaviour",IF(OR(F854="OWC",F854="GOC",F854="GWC"),"Candidate contact — validate with logs, pressure and dynamic evidence","Transition zone — do not force to a sharp contact")))</f>
        <v/>
      </c>
    </row>
    <row r="855">
      <c r="A855" s="19">
        <f>IF(AND(Master_Data!A855&lt;&gt;"",Master_Data!A855=Master_Data!A856),Master_Data!A855,"")</f>
        <v/>
      </c>
      <c r="B855" s="19">
        <f>IF($A855="","",Master_Data!B855)</f>
        <v/>
      </c>
      <c r="C855" s="19">
        <f>IF($A855="","",Master_Data!B856)</f>
        <v/>
      </c>
      <c r="D855" s="19">
        <f>IF($A855="","",Master_Data!Q855)</f>
        <v/>
      </c>
      <c r="E855" s="19">
        <f>IF($A855="","",Master_Data!Q856)</f>
        <v/>
      </c>
      <c r="F855" s="19">
        <f>IF($A855="","",IF(AND(D855="GAS",E855="OIL"),"GOC",IF(AND(D855="OIL",E855="WATER"),"OWC",IF(AND(D855="GAS",E855="WATER"),"GWC",IF(AND(D855="OIL",E855="OIL_WATER"),"OWC_TRANSITION",IF(AND(D855="OIL_WATER",E855="WATER"),"OWC_TRANSITION",IF(AND(D855="GAS",E855="GAS_WATER"),"GOC_TRANSITION",IF(AND(D855="GAS_WATER",E855="OIL"),"GOC_TRANSITION",IF(OR(D855="OIL_WATER",D855="GAS_WATER"),"TRANSITION_INTERVAL","")))))))))</f>
        <v/>
      </c>
      <c r="G855" s="20">
        <f>IF(OR(F855="",Master_Data!R855="",Master_Data!S855=""),"",IF(RIGHT(F855,10)="TRANSITION",AVERAGE(Master_Data!R855:Master_Data!S855),AVERAGE(Master_Data!S855,Master_Data!R856)))</f>
        <v/>
      </c>
      <c r="H855" s="20">
        <f>IF(G855="","",MAX(Settings!$B$4,Settings!$B$5*AVERAGE(IF(Master_Data!O855&lt;&gt;"",Master_Data!O855,Master_Data!H855),IF(Master_Data!O856&lt;&gt;"",Master_Data!O856,Master_Data!H856))))</f>
        <v/>
      </c>
      <c r="I855" s="20">
        <f>IF(G855="","",G855-H855)</f>
        <v/>
      </c>
      <c r="J855" s="20">
        <f>IF(G855="","",G855+H855)</f>
        <v/>
      </c>
      <c r="K855" s="20">
        <f>IF($A855="","",Master_Data!G855)</f>
        <v/>
      </c>
      <c r="L855" s="20">
        <f>IF($A855="","",Master_Data!G856)</f>
        <v/>
      </c>
      <c r="M855" s="20">
        <f>IF(AND(ISNUMBER(K855),ISNUMBER(L855)),L855-K855,"")</f>
        <v/>
      </c>
      <c r="N855" s="19">
        <f>IF(G855="","",IF(AND(ISNUMBER(K855),ISNUMBER(L855)),IF(OR(F855="GOC",F855="OWC",F855="GWC",F855="OWC_TRANSITION",F855="GOC_TRANSITION"),IF(L855&gt;=K855,"Supports","Conflicts"),"N/A"),"No Sw"))</f>
        <v/>
      </c>
      <c r="O855" s="20">
        <f>IF(G855="","",Settings!$B$6*IF(OR(F855="GOC",F855="OWC",F855="GWC"),1,0.7)+Settings!$B$7*IF(N855="Supports",1,IF(N855="Conflicts",0,0.5))+Settings!$B$8*IF(AND(Master_Data!R855&lt;&gt;"",Master_Data!S855&lt;&gt;"",Master_Data!R856&lt;&gt;"",Master_Data!S856&lt;&gt;""),1,0.5))</f>
        <v/>
      </c>
      <c r="P855" s="19">
        <f>IF(G855="","",IF(N855="Conflicts","SW_CONFLICT",IF(OR(F855="GOC",F855="OWC",F855="GWC"),"DIRECT_FLUID_TRANSITION","TRANSITION_INTERVAL")))</f>
        <v/>
      </c>
      <c r="Q855" s="19">
        <f>IF(G855="","",IF(N855="Conflicts","Investigate contact interpretation / saturation behaviour",IF(OR(F855="OWC",F855="GOC",F855="GWC"),"Candidate contact — validate with logs, pressure and dynamic evidence","Transition zone — do not force to a sharp contact")))</f>
        <v/>
      </c>
    </row>
    <row r="856">
      <c r="A856" s="19">
        <f>IF(AND(Master_Data!A856&lt;&gt;"",Master_Data!A856=Master_Data!A857),Master_Data!A856,"")</f>
        <v/>
      </c>
      <c r="B856" s="19">
        <f>IF($A856="","",Master_Data!B856)</f>
        <v/>
      </c>
      <c r="C856" s="19">
        <f>IF($A856="","",Master_Data!B857)</f>
        <v/>
      </c>
      <c r="D856" s="19">
        <f>IF($A856="","",Master_Data!Q856)</f>
        <v/>
      </c>
      <c r="E856" s="19">
        <f>IF($A856="","",Master_Data!Q857)</f>
        <v/>
      </c>
      <c r="F856" s="19">
        <f>IF($A856="","",IF(AND(D856="GAS",E856="OIL"),"GOC",IF(AND(D856="OIL",E856="WATER"),"OWC",IF(AND(D856="GAS",E856="WATER"),"GWC",IF(AND(D856="OIL",E856="OIL_WATER"),"OWC_TRANSITION",IF(AND(D856="OIL_WATER",E856="WATER"),"OWC_TRANSITION",IF(AND(D856="GAS",E856="GAS_WATER"),"GOC_TRANSITION",IF(AND(D856="GAS_WATER",E856="OIL"),"GOC_TRANSITION",IF(OR(D856="OIL_WATER",D856="GAS_WATER"),"TRANSITION_INTERVAL","")))))))))</f>
        <v/>
      </c>
      <c r="G856" s="20">
        <f>IF(OR(F856="",Master_Data!R856="",Master_Data!S856=""),"",IF(RIGHT(F856,10)="TRANSITION",AVERAGE(Master_Data!R856:Master_Data!S856),AVERAGE(Master_Data!S856,Master_Data!R857)))</f>
        <v/>
      </c>
      <c r="H856" s="20">
        <f>IF(G856="","",MAX(Settings!$B$4,Settings!$B$5*AVERAGE(IF(Master_Data!O856&lt;&gt;"",Master_Data!O856,Master_Data!H856),IF(Master_Data!O857&lt;&gt;"",Master_Data!O857,Master_Data!H857))))</f>
        <v/>
      </c>
      <c r="I856" s="20">
        <f>IF(G856="","",G856-H856)</f>
        <v/>
      </c>
      <c r="J856" s="20">
        <f>IF(G856="","",G856+H856)</f>
        <v/>
      </c>
      <c r="K856" s="20">
        <f>IF($A856="","",Master_Data!G856)</f>
        <v/>
      </c>
      <c r="L856" s="20">
        <f>IF($A856="","",Master_Data!G857)</f>
        <v/>
      </c>
      <c r="M856" s="20">
        <f>IF(AND(ISNUMBER(K856),ISNUMBER(L856)),L856-K856,"")</f>
        <v/>
      </c>
      <c r="N856" s="19">
        <f>IF(G856="","",IF(AND(ISNUMBER(K856),ISNUMBER(L856)),IF(OR(F856="GOC",F856="OWC",F856="GWC",F856="OWC_TRANSITION",F856="GOC_TRANSITION"),IF(L856&gt;=K856,"Supports","Conflicts"),"N/A"),"No Sw"))</f>
        <v/>
      </c>
      <c r="O856" s="20">
        <f>IF(G856="","",Settings!$B$6*IF(OR(F856="GOC",F856="OWC",F856="GWC"),1,0.7)+Settings!$B$7*IF(N856="Supports",1,IF(N856="Conflicts",0,0.5))+Settings!$B$8*IF(AND(Master_Data!R856&lt;&gt;"",Master_Data!S856&lt;&gt;"",Master_Data!R857&lt;&gt;"",Master_Data!S857&lt;&gt;""),1,0.5))</f>
        <v/>
      </c>
      <c r="P856" s="19">
        <f>IF(G856="","",IF(N856="Conflicts","SW_CONFLICT",IF(OR(F856="GOC",F856="OWC",F856="GWC"),"DIRECT_FLUID_TRANSITION","TRANSITION_INTERVAL")))</f>
        <v/>
      </c>
      <c r="Q856" s="19">
        <f>IF(G856="","",IF(N856="Conflicts","Investigate contact interpretation / saturation behaviour",IF(OR(F856="OWC",F856="GOC",F856="GWC"),"Candidate contact — validate with logs, pressure and dynamic evidence","Transition zone — do not force to a sharp contact")))</f>
        <v/>
      </c>
    </row>
    <row r="857">
      <c r="A857" s="19">
        <f>IF(AND(Master_Data!A857&lt;&gt;"",Master_Data!A857=Master_Data!A858),Master_Data!A857,"")</f>
        <v/>
      </c>
      <c r="B857" s="19">
        <f>IF($A857="","",Master_Data!B857)</f>
        <v/>
      </c>
      <c r="C857" s="19">
        <f>IF($A857="","",Master_Data!B858)</f>
        <v/>
      </c>
      <c r="D857" s="19">
        <f>IF($A857="","",Master_Data!Q857)</f>
        <v/>
      </c>
      <c r="E857" s="19">
        <f>IF($A857="","",Master_Data!Q858)</f>
        <v/>
      </c>
      <c r="F857" s="19">
        <f>IF($A857="","",IF(AND(D857="GAS",E857="OIL"),"GOC",IF(AND(D857="OIL",E857="WATER"),"OWC",IF(AND(D857="GAS",E857="WATER"),"GWC",IF(AND(D857="OIL",E857="OIL_WATER"),"OWC_TRANSITION",IF(AND(D857="OIL_WATER",E857="WATER"),"OWC_TRANSITION",IF(AND(D857="GAS",E857="GAS_WATER"),"GOC_TRANSITION",IF(AND(D857="GAS_WATER",E857="OIL"),"GOC_TRANSITION",IF(OR(D857="OIL_WATER",D857="GAS_WATER"),"TRANSITION_INTERVAL","")))))))))</f>
        <v/>
      </c>
      <c r="G857" s="20">
        <f>IF(OR(F857="",Master_Data!R857="",Master_Data!S857=""),"",IF(RIGHT(F857,10)="TRANSITION",AVERAGE(Master_Data!R857:Master_Data!S857),AVERAGE(Master_Data!S857,Master_Data!R858)))</f>
        <v/>
      </c>
      <c r="H857" s="20">
        <f>IF(G857="","",MAX(Settings!$B$4,Settings!$B$5*AVERAGE(IF(Master_Data!O857&lt;&gt;"",Master_Data!O857,Master_Data!H857),IF(Master_Data!O858&lt;&gt;"",Master_Data!O858,Master_Data!H858))))</f>
        <v/>
      </c>
      <c r="I857" s="20">
        <f>IF(G857="","",G857-H857)</f>
        <v/>
      </c>
      <c r="J857" s="20">
        <f>IF(G857="","",G857+H857)</f>
        <v/>
      </c>
      <c r="K857" s="20">
        <f>IF($A857="","",Master_Data!G857)</f>
        <v/>
      </c>
      <c r="L857" s="20">
        <f>IF($A857="","",Master_Data!G858)</f>
        <v/>
      </c>
      <c r="M857" s="20">
        <f>IF(AND(ISNUMBER(K857),ISNUMBER(L857)),L857-K857,"")</f>
        <v/>
      </c>
      <c r="N857" s="19">
        <f>IF(G857="","",IF(AND(ISNUMBER(K857),ISNUMBER(L857)),IF(OR(F857="GOC",F857="OWC",F857="GWC",F857="OWC_TRANSITION",F857="GOC_TRANSITION"),IF(L857&gt;=K857,"Supports","Conflicts"),"N/A"),"No Sw"))</f>
        <v/>
      </c>
      <c r="O857" s="20">
        <f>IF(G857="","",Settings!$B$6*IF(OR(F857="GOC",F857="OWC",F857="GWC"),1,0.7)+Settings!$B$7*IF(N857="Supports",1,IF(N857="Conflicts",0,0.5))+Settings!$B$8*IF(AND(Master_Data!R857&lt;&gt;"",Master_Data!S857&lt;&gt;"",Master_Data!R858&lt;&gt;"",Master_Data!S858&lt;&gt;""),1,0.5))</f>
        <v/>
      </c>
      <c r="P857" s="19">
        <f>IF(G857="","",IF(N857="Conflicts","SW_CONFLICT",IF(OR(F857="GOC",F857="OWC",F857="GWC"),"DIRECT_FLUID_TRANSITION","TRANSITION_INTERVAL")))</f>
        <v/>
      </c>
      <c r="Q857" s="19">
        <f>IF(G857="","",IF(N857="Conflicts","Investigate contact interpretation / saturation behaviour",IF(OR(F857="OWC",F857="GOC",F857="GWC"),"Candidate contact — validate with logs, pressure and dynamic evidence","Transition zone — do not force to a sharp contact")))</f>
        <v/>
      </c>
    </row>
    <row r="858">
      <c r="A858" s="19">
        <f>IF(AND(Master_Data!A858&lt;&gt;"",Master_Data!A858=Master_Data!A859),Master_Data!A858,"")</f>
        <v/>
      </c>
      <c r="B858" s="19">
        <f>IF($A858="","",Master_Data!B858)</f>
        <v/>
      </c>
      <c r="C858" s="19">
        <f>IF($A858="","",Master_Data!B859)</f>
        <v/>
      </c>
      <c r="D858" s="19">
        <f>IF($A858="","",Master_Data!Q858)</f>
        <v/>
      </c>
      <c r="E858" s="19">
        <f>IF($A858="","",Master_Data!Q859)</f>
        <v/>
      </c>
      <c r="F858" s="19">
        <f>IF($A858="","",IF(AND(D858="GAS",E858="OIL"),"GOC",IF(AND(D858="OIL",E858="WATER"),"OWC",IF(AND(D858="GAS",E858="WATER"),"GWC",IF(AND(D858="OIL",E858="OIL_WATER"),"OWC_TRANSITION",IF(AND(D858="OIL_WATER",E858="WATER"),"OWC_TRANSITION",IF(AND(D858="GAS",E858="GAS_WATER"),"GOC_TRANSITION",IF(AND(D858="GAS_WATER",E858="OIL"),"GOC_TRANSITION",IF(OR(D858="OIL_WATER",D858="GAS_WATER"),"TRANSITION_INTERVAL","")))))))))</f>
        <v/>
      </c>
      <c r="G858" s="20">
        <f>IF(OR(F858="",Master_Data!R858="",Master_Data!S858=""),"",IF(RIGHT(F858,10)="TRANSITION",AVERAGE(Master_Data!R858:Master_Data!S858),AVERAGE(Master_Data!S858,Master_Data!R859)))</f>
        <v/>
      </c>
      <c r="H858" s="20">
        <f>IF(G858="","",MAX(Settings!$B$4,Settings!$B$5*AVERAGE(IF(Master_Data!O858&lt;&gt;"",Master_Data!O858,Master_Data!H858),IF(Master_Data!O859&lt;&gt;"",Master_Data!O859,Master_Data!H859))))</f>
        <v/>
      </c>
      <c r="I858" s="20">
        <f>IF(G858="","",G858-H858)</f>
        <v/>
      </c>
      <c r="J858" s="20">
        <f>IF(G858="","",G858+H858)</f>
        <v/>
      </c>
      <c r="K858" s="20">
        <f>IF($A858="","",Master_Data!G858)</f>
        <v/>
      </c>
      <c r="L858" s="20">
        <f>IF($A858="","",Master_Data!G859)</f>
        <v/>
      </c>
      <c r="M858" s="20">
        <f>IF(AND(ISNUMBER(K858),ISNUMBER(L858)),L858-K858,"")</f>
        <v/>
      </c>
      <c r="N858" s="19">
        <f>IF(G858="","",IF(AND(ISNUMBER(K858),ISNUMBER(L858)),IF(OR(F858="GOC",F858="OWC",F858="GWC",F858="OWC_TRANSITION",F858="GOC_TRANSITION"),IF(L858&gt;=K858,"Supports","Conflicts"),"N/A"),"No Sw"))</f>
        <v/>
      </c>
      <c r="O858" s="20">
        <f>IF(G858="","",Settings!$B$6*IF(OR(F858="GOC",F858="OWC",F858="GWC"),1,0.7)+Settings!$B$7*IF(N858="Supports",1,IF(N858="Conflicts",0,0.5))+Settings!$B$8*IF(AND(Master_Data!R858&lt;&gt;"",Master_Data!S858&lt;&gt;"",Master_Data!R859&lt;&gt;"",Master_Data!S859&lt;&gt;""),1,0.5))</f>
        <v/>
      </c>
      <c r="P858" s="19">
        <f>IF(G858="","",IF(N858="Conflicts","SW_CONFLICT",IF(OR(F858="GOC",F858="OWC",F858="GWC"),"DIRECT_FLUID_TRANSITION","TRANSITION_INTERVAL")))</f>
        <v/>
      </c>
      <c r="Q858" s="19">
        <f>IF(G858="","",IF(N858="Conflicts","Investigate contact interpretation / saturation behaviour",IF(OR(F858="OWC",F858="GOC",F858="GWC"),"Candidate contact — validate with logs, pressure and dynamic evidence","Transition zone — do not force to a sharp contact")))</f>
        <v/>
      </c>
    </row>
    <row r="859">
      <c r="A859" s="19">
        <f>IF(AND(Master_Data!A859&lt;&gt;"",Master_Data!A859=Master_Data!A860),Master_Data!A859,"")</f>
        <v/>
      </c>
      <c r="B859" s="19">
        <f>IF($A859="","",Master_Data!B859)</f>
        <v/>
      </c>
      <c r="C859" s="19">
        <f>IF($A859="","",Master_Data!B860)</f>
        <v/>
      </c>
      <c r="D859" s="19">
        <f>IF($A859="","",Master_Data!Q859)</f>
        <v/>
      </c>
      <c r="E859" s="19">
        <f>IF($A859="","",Master_Data!Q860)</f>
        <v/>
      </c>
      <c r="F859" s="19">
        <f>IF($A859="","",IF(AND(D859="GAS",E859="OIL"),"GOC",IF(AND(D859="OIL",E859="WATER"),"OWC",IF(AND(D859="GAS",E859="WATER"),"GWC",IF(AND(D859="OIL",E859="OIL_WATER"),"OWC_TRANSITION",IF(AND(D859="OIL_WATER",E859="WATER"),"OWC_TRANSITION",IF(AND(D859="GAS",E859="GAS_WATER"),"GOC_TRANSITION",IF(AND(D859="GAS_WATER",E859="OIL"),"GOC_TRANSITION",IF(OR(D859="OIL_WATER",D859="GAS_WATER"),"TRANSITION_INTERVAL","")))))))))</f>
        <v/>
      </c>
      <c r="G859" s="20">
        <f>IF(OR(F859="",Master_Data!R859="",Master_Data!S859=""),"",IF(RIGHT(F859,10)="TRANSITION",AVERAGE(Master_Data!R859:Master_Data!S859),AVERAGE(Master_Data!S859,Master_Data!R860)))</f>
        <v/>
      </c>
      <c r="H859" s="20">
        <f>IF(G859="","",MAX(Settings!$B$4,Settings!$B$5*AVERAGE(IF(Master_Data!O859&lt;&gt;"",Master_Data!O859,Master_Data!H859),IF(Master_Data!O860&lt;&gt;"",Master_Data!O860,Master_Data!H860))))</f>
        <v/>
      </c>
      <c r="I859" s="20">
        <f>IF(G859="","",G859-H859)</f>
        <v/>
      </c>
      <c r="J859" s="20">
        <f>IF(G859="","",G859+H859)</f>
        <v/>
      </c>
      <c r="K859" s="20">
        <f>IF($A859="","",Master_Data!G859)</f>
        <v/>
      </c>
      <c r="L859" s="20">
        <f>IF($A859="","",Master_Data!G860)</f>
        <v/>
      </c>
      <c r="M859" s="20">
        <f>IF(AND(ISNUMBER(K859),ISNUMBER(L859)),L859-K859,"")</f>
        <v/>
      </c>
      <c r="N859" s="19">
        <f>IF(G859="","",IF(AND(ISNUMBER(K859),ISNUMBER(L859)),IF(OR(F859="GOC",F859="OWC",F859="GWC",F859="OWC_TRANSITION",F859="GOC_TRANSITION"),IF(L859&gt;=K859,"Supports","Conflicts"),"N/A"),"No Sw"))</f>
        <v/>
      </c>
      <c r="O859" s="20">
        <f>IF(G859="","",Settings!$B$6*IF(OR(F859="GOC",F859="OWC",F859="GWC"),1,0.7)+Settings!$B$7*IF(N859="Supports",1,IF(N859="Conflicts",0,0.5))+Settings!$B$8*IF(AND(Master_Data!R859&lt;&gt;"",Master_Data!S859&lt;&gt;"",Master_Data!R860&lt;&gt;"",Master_Data!S860&lt;&gt;""),1,0.5))</f>
        <v/>
      </c>
      <c r="P859" s="19">
        <f>IF(G859="","",IF(N859="Conflicts","SW_CONFLICT",IF(OR(F859="GOC",F859="OWC",F859="GWC"),"DIRECT_FLUID_TRANSITION","TRANSITION_INTERVAL")))</f>
        <v/>
      </c>
      <c r="Q859" s="19">
        <f>IF(G859="","",IF(N859="Conflicts","Investigate contact interpretation / saturation behaviour",IF(OR(F859="OWC",F859="GOC",F859="GWC"),"Candidate contact — validate with logs, pressure and dynamic evidence","Transition zone — do not force to a sharp contact")))</f>
        <v/>
      </c>
    </row>
    <row r="860">
      <c r="A860" s="19">
        <f>IF(AND(Master_Data!A860&lt;&gt;"",Master_Data!A860=Master_Data!A861),Master_Data!A860,"")</f>
        <v/>
      </c>
      <c r="B860" s="19">
        <f>IF($A860="","",Master_Data!B860)</f>
        <v/>
      </c>
      <c r="C860" s="19">
        <f>IF($A860="","",Master_Data!B861)</f>
        <v/>
      </c>
      <c r="D860" s="19">
        <f>IF($A860="","",Master_Data!Q860)</f>
        <v/>
      </c>
      <c r="E860" s="19">
        <f>IF($A860="","",Master_Data!Q861)</f>
        <v/>
      </c>
      <c r="F860" s="19">
        <f>IF($A860="","",IF(AND(D860="GAS",E860="OIL"),"GOC",IF(AND(D860="OIL",E860="WATER"),"OWC",IF(AND(D860="GAS",E860="WATER"),"GWC",IF(AND(D860="OIL",E860="OIL_WATER"),"OWC_TRANSITION",IF(AND(D860="OIL_WATER",E860="WATER"),"OWC_TRANSITION",IF(AND(D860="GAS",E860="GAS_WATER"),"GOC_TRANSITION",IF(AND(D860="GAS_WATER",E860="OIL"),"GOC_TRANSITION",IF(OR(D860="OIL_WATER",D860="GAS_WATER"),"TRANSITION_INTERVAL","")))))))))</f>
        <v/>
      </c>
      <c r="G860" s="20">
        <f>IF(OR(F860="",Master_Data!R860="",Master_Data!S860=""),"",IF(RIGHT(F860,10)="TRANSITION",AVERAGE(Master_Data!R860:Master_Data!S860),AVERAGE(Master_Data!S860,Master_Data!R861)))</f>
        <v/>
      </c>
      <c r="H860" s="20">
        <f>IF(G860="","",MAX(Settings!$B$4,Settings!$B$5*AVERAGE(IF(Master_Data!O860&lt;&gt;"",Master_Data!O860,Master_Data!H860),IF(Master_Data!O861&lt;&gt;"",Master_Data!O861,Master_Data!H861))))</f>
        <v/>
      </c>
      <c r="I860" s="20">
        <f>IF(G860="","",G860-H860)</f>
        <v/>
      </c>
      <c r="J860" s="20">
        <f>IF(G860="","",G860+H860)</f>
        <v/>
      </c>
      <c r="K860" s="20">
        <f>IF($A860="","",Master_Data!G860)</f>
        <v/>
      </c>
      <c r="L860" s="20">
        <f>IF($A860="","",Master_Data!G861)</f>
        <v/>
      </c>
      <c r="M860" s="20">
        <f>IF(AND(ISNUMBER(K860),ISNUMBER(L860)),L860-K860,"")</f>
        <v/>
      </c>
      <c r="N860" s="19">
        <f>IF(G860="","",IF(AND(ISNUMBER(K860),ISNUMBER(L860)),IF(OR(F860="GOC",F860="OWC",F860="GWC",F860="OWC_TRANSITION",F860="GOC_TRANSITION"),IF(L860&gt;=K860,"Supports","Conflicts"),"N/A"),"No Sw"))</f>
        <v/>
      </c>
      <c r="O860" s="20">
        <f>IF(G860="","",Settings!$B$6*IF(OR(F860="GOC",F860="OWC",F860="GWC"),1,0.7)+Settings!$B$7*IF(N860="Supports",1,IF(N860="Conflicts",0,0.5))+Settings!$B$8*IF(AND(Master_Data!R860&lt;&gt;"",Master_Data!S860&lt;&gt;"",Master_Data!R861&lt;&gt;"",Master_Data!S861&lt;&gt;""),1,0.5))</f>
        <v/>
      </c>
      <c r="P860" s="19">
        <f>IF(G860="","",IF(N860="Conflicts","SW_CONFLICT",IF(OR(F860="GOC",F860="OWC",F860="GWC"),"DIRECT_FLUID_TRANSITION","TRANSITION_INTERVAL")))</f>
        <v/>
      </c>
      <c r="Q860" s="19">
        <f>IF(G860="","",IF(N860="Conflicts","Investigate contact interpretation / saturation behaviour",IF(OR(F860="OWC",F860="GOC",F860="GWC"),"Candidate contact — validate with logs, pressure and dynamic evidence","Transition zone — do not force to a sharp contact")))</f>
        <v/>
      </c>
    </row>
    <row r="861">
      <c r="A861" s="19">
        <f>IF(AND(Master_Data!A861&lt;&gt;"",Master_Data!A861=Master_Data!A862),Master_Data!A861,"")</f>
        <v/>
      </c>
      <c r="B861" s="19">
        <f>IF($A861="","",Master_Data!B861)</f>
        <v/>
      </c>
      <c r="C861" s="19">
        <f>IF($A861="","",Master_Data!B862)</f>
        <v/>
      </c>
      <c r="D861" s="19">
        <f>IF($A861="","",Master_Data!Q861)</f>
        <v/>
      </c>
      <c r="E861" s="19">
        <f>IF($A861="","",Master_Data!Q862)</f>
        <v/>
      </c>
      <c r="F861" s="19">
        <f>IF($A861="","",IF(AND(D861="GAS",E861="OIL"),"GOC",IF(AND(D861="OIL",E861="WATER"),"OWC",IF(AND(D861="GAS",E861="WATER"),"GWC",IF(AND(D861="OIL",E861="OIL_WATER"),"OWC_TRANSITION",IF(AND(D861="OIL_WATER",E861="WATER"),"OWC_TRANSITION",IF(AND(D861="GAS",E861="GAS_WATER"),"GOC_TRANSITION",IF(AND(D861="GAS_WATER",E861="OIL"),"GOC_TRANSITION",IF(OR(D861="OIL_WATER",D861="GAS_WATER"),"TRANSITION_INTERVAL","")))))))))</f>
        <v/>
      </c>
      <c r="G861" s="20">
        <f>IF(OR(F861="",Master_Data!R861="",Master_Data!S861=""),"",IF(RIGHT(F861,10)="TRANSITION",AVERAGE(Master_Data!R861:Master_Data!S861),AVERAGE(Master_Data!S861,Master_Data!R862)))</f>
        <v/>
      </c>
      <c r="H861" s="20">
        <f>IF(G861="","",MAX(Settings!$B$4,Settings!$B$5*AVERAGE(IF(Master_Data!O861&lt;&gt;"",Master_Data!O861,Master_Data!H861),IF(Master_Data!O862&lt;&gt;"",Master_Data!O862,Master_Data!H862))))</f>
        <v/>
      </c>
      <c r="I861" s="20">
        <f>IF(G861="","",G861-H861)</f>
        <v/>
      </c>
      <c r="J861" s="20">
        <f>IF(G861="","",G861+H861)</f>
        <v/>
      </c>
      <c r="K861" s="20">
        <f>IF($A861="","",Master_Data!G861)</f>
        <v/>
      </c>
      <c r="L861" s="20">
        <f>IF($A861="","",Master_Data!G862)</f>
        <v/>
      </c>
      <c r="M861" s="20">
        <f>IF(AND(ISNUMBER(K861),ISNUMBER(L861)),L861-K861,"")</f>
        <v/>
      </c>
      <c r="N861" s="19">
        <f>IF(G861="","",IF(AND(ISNUMBER(K861),ISNUMBER(L861)),IF(OR(F861="GOC",F861="OWC",F861="GWC",F861="OWC_TRANSITION",F861="GOC_TRANSITION"),IF(L861&gt;=K861,"Supports","Conflicts"),"N/A"),"No Sw"))</f>
        <v/>
      </c>
      <c r="O861" s="20">
        <f>IF(G861="","",Settings!$B$6*IF(OR(F861="GOC",F861="OWC",F861="GWC"),1,0.7)+Settings!$B$7*IF(N861="Supports",1,IF(N861="Conflicts",0,0.5))+Settings!$B$8*IF(AND(Master_Data!R861&lt;&gt;"",Master_Data!S861&lt;&gt;"",Master_Data!R862&lt;&gt;"",Master_Data!S862&lt;&gt;""),1,0.5))</f>
        <v/>
      </c>
      <c r="P861" s="19">
        <f>IF(G861="","",IF(N861="Conflicts","SW_CONFLICT",IF(OR(F861="GOC",F861="OWC",F861="GWC"),"DIRECT_FLUID_TRANSITION","TRANSITION_INTERVAL")))</f>
        <v/>
      </c>
      <c r="Q861" s="19">
        <f>IF(G861="","",IF(N861="Conflicts","Investigate contact interpretation / saturation behaviour",IF(OR(F861="OWC",F861="GOC",F861="GWC"),"Candidate contact — validate with logs, pressure and dynamic evidence","Transition zone — do not force to a sharp contact")))</f>
        <v/>
      </c>
    </row>
    <row r="862">
      <c r="A862" s="19">
        <f>IF(AND(Master_Data!A862&lt;&gt;"",Master_Data!A862=Master_Data!A863),Master_Data!A862,"")</f>
        <v/>
      </c>
      <c r="B862" s="19">
        <f>IF($A862="","",Master_Data!B862)</f>
        <v/>
      </c>
      <c r="C862" s="19">
        <f>IF($A862="","",Master_Data!B863)</f>
        <v/>
      </c>
      <c r="D862" s="19">
        <f>IF($A862="","",Master_Data!Q862)</f>
        <v/>
      </c>
      <c r="E862" s="19">
        <f>IF($A862="","",Master_Data!Q863)</f>
        <v/>
      </c>
      <c r="F862" s="19">
        <f>IF($A862="","",IF(AND(D862="GAS",E862="OIL"),"GOC",IF(AND(D862="OIL",E862="WATER"),"OWC",IF(AND(D862="GAS",E862="WATER"),"GWC",IF(AND(D862="OIL",E862="OIL_WATER"),"OWC_TRANSITION",IF(AND(D862="OIL_WATER",E862="WATER"),"OWC_TRANSITION",IF(AND(D862="GAS",E862="GAS_WATER"),"GOC_TRANSITION",IF(AND(D862="GAS_WATER",E862="OIL"),"GOC_TRANSITION",IF(OR(D862="OIL_WATER",D862="GAS_WATER"),"TRANSITION_INTERVAL","")))))))))</f>
        <v/>
      </c>
      <c r="G862" s="20">
        <f>IF(OR(F862="",Master_Data!R862="",Master_Data!S862=""),"",IF(RIGHT(F862,10)="TRANSITION",AVERAGE(Master_Data!R862:Master_Data!S862),AVERAGE(Master_Data!S862,Master_Data!R863)))</f>
        <v/>
      </c>
      <c r="H862" s="20">
        <f>IF(G862="","",MAX(Settings!$B$4,Settings!$B$5*AVERAGE(IF(Master_Data!O862&lt;&gt;"",Master_Data!O862,Master_Data!H862),IF(Master_Data!O863&lt;&gt;"",Master_Data!O863,Master_Data!H863))))</f>
        <v/>
      </c>
      <c r="I862" s="20">
        <f>IF(G862="","",G862-H862)</f>
        <v/>
      </c>
      <c r="J862" s="20">
        <f>IF(G862="","",G862+H862)</f>
        <v/>
      </c>
      <c r="K862" s="20">
        <f>IF($A862="","",Master_Data!G862)</f>
        <v/>
      </c>
      <c r="L862" s="20">
        <f>IF($A862="","",Master_Data!G863)</f>
        <v/>
      </c>
      <c r="M862" s="20">
        <f>IF(AND(ISNUMBER(K862),ISNUMBER(L862)),L862-K862,"")</f>
        <v/>
      </c>
      <c r="N862" s="19">
        <f>IF(G862="","",IF(AND(ISNUMBER(K862),ISNUMBER(L862)),IF(OR(F862="GOC",F862="OWC",F862="GWC",F862="OWC_TRANSITION",F862="GOC_TRANSITION"),IF(L862&gt;=K862,"Supports","Conflicts"),"N/A"),"No Sw"))</f>
        <v/>
      </c>
      <c r="O862" s="20">
        <f>IF(G862="","",Settings!$B$6*IF(OR(F862="GOC",F862="OWC",F862="GWC"),1,0.7)+Settings!$B$7*IF(N862="Supports",1,IF(N862="Conflicts",0,0.5))+Settings!$B$8*IF(AND(Master_Data!R862&lt;&gt;"",Master_Data!S862&lt;&gt;"",Master_Data!R863&lt;&gt;"",Master_Data!S863&lt;&gt;""),1,0.5))</f>
        <v/>
      </c>
      <c r="P862" s="19">
        <f>IF(G862="","",IF(N862="Conflicts","SW_CONFLICT",IF(OR(F862="GOC",F862="OWC",F862="GWC"),"DIRECT_FLUID_TRANSITION","TRANSITION_INTERVAL")))</f>
        <v/>
      </c>
      <c r="Q862" s="19">
        <f>IF(G862="","",IF(N862="Conflicts","Investigate contact interpretation / saturation behaviour",IF(OR(F862="OWC",F862="GOC",F862="GWC"),"Candidate contact — validate with logs, pressure and dynamic evidence","Transition zone — do not force to a sharp contact")))</f>
        <v/>
      </c>
    </row>
    <row r="863">
      <c r="A863" s="19">
        <f>IF(AND(Master_Data!A863&lt;&gt;"",Master_Data!A863=Master_Data!A864),Master_Data!A863,"")</f>
        <v/>
      </c>
      <c r="B863" s="19">
        <f>IF($A863="","",Master_Data!B863)</f>
        <v/>
      </c>
      <c r="C863" s="19">
        <f>IF($A863="","",Master_Data!B864)</f>
        <v/>
      </c>
      <c r="D863" s="19">
        <f>IF($A863="","",Master_Data!Q863)</f>
        <v/>
      </c>
      <c r="E863" s="19">
        <f>IF($A863="","",Master_Data!Q864)</f>
        <v/>
      </c>
      <c r="F863" s="19">
        <f>IF($A863="","",IF(AND(D863="GAS",E863="OIL"),"GOC",IF(AND(D863="OIL",E863="WATER"),"OWC",IF(AND(D863="GAS",E863="WATER"),"GWC",IF(AND(D863="OIL",E863="OIL_WATER"),"OWC_TRANSITION",IF(AND(D863="OIL_WATER",E863="WATER"),"OWC_TRANSITION",IF(AND(D863="GAS",E863="GAS_WATER"),"GOC_TRANSITION",IF(AND(D863="GAS_WATER",E863="OIL"),"GOC_TRANSITION",IF(OR(D863="OIL_WATER",D863="GAS_WATER"),"TRANSITION_INTERVAL","")))))))))</f>
        <v/>
      </c>
      <c r="G863" s="20">
        <f>IF(OR(F863="",Master_Data!R863="",Master_Data!S863=""),"",IF(RIGHT(F863,10)="TRANSITION",AVERAGE(Master_Data!R863:Master_Data!S863),AVERAGE(Master_Data!S863,Master_Data!R864)))</f>
        <v/>
      </c>
      <c r="H863" s="20">
        <f>IF(G863="","",MAX(Settings!$B$4,Settings!$B$5*AVERAGE(IF(Master_Data!O863&lt;&gt;"",Master_Data!O863,Master_Data!H863),IF(Master_Data!O864&lt;&gt;"",Master_Data!O864,Master_Data!H864))))</f>
        <v/>
      </c>
      <c r="I863" s="20">
        <f>IF(G863="","",G863-H863)</f>
        <v/>
      </c>
      <c r="J863" s="20">
        <f>IF(G863="","",G863+H863)</f>
        <v/>
      </c>
      <c r="K863" s="20">
        <f>IF($A863="","",Master_Data!G863)</f>
        <v/>
      </c>
      <c r="L863" s="20">
        <f>IF($A863="","",Master_Data!G864)</f>
        <v/>
      </c>
      <c r="M863" s="20">
        <f>IF(AND(ISNUMBER(K863),ISNUMBER(L863)),L863-K863,"")</f>
        <v/>
      </c>
      <c r="N863" s="19">
        <f>IF(G863="","",IF(AND(ISNUMBER(K863),ISNUMBER(L863)),IF(OR(F863="GOC",F863="OWC",F863="GWC",F863="OWC_TRANSITION",F863="GOC_TRANSITION"),IF(L863&gt;=K863,"Supports","Conflicts"),"N/A"),"No Sw"))</f>
        <v/>
      </c>
      <c r="O863" s="20">
        <f>IF(G863="","",Settings!$B$6*IF(OR(F863="GOC",F863="OWC",F863="GWC"),1,0.7)+Settings!$B$7*IF(N863="Supports",1,IF(N863="Conflicts",0,0.5))+Settings!$B$8*IF(AND(Master_Data!R863&lt;&gt;"",Master_Data!S863&lt;&gt;"",Master_Data!R864&lt;&gt;"",Master_Data!S864&lt;&gt;""),1,0.5))</f>
        <v/>
      </c>
      <c r="P863" s="19">
        <f>IF(G863="","",IF(N863="Conflicts","SW_CONFLICT",IF(OR(F863="GOC",F863="OWC",F863="GWC"),"DIRECT_FLUID_TRANSITION","TRANSITION_INTERVAL")))</f>
        <v/>
      </c>
      <c r="Q863" s="19">
        <f>IF(G863="","",IF(N863="Conflicts","Investigate contact interpretation / saturation behaviour",IF(OR(F863="OWC",F863="GOC",F863="GWC"),"Candidate contact — validate with logs, pressure and dynamic evidence","Transition zone — do not force to a sharp contact")))</f>
        <v/>
      </c>
    </row>
    <row r="864">
      <c r="A864" s="19">
        <f>IF(AND(Master_Data!A864&lt;&gt;"",Master_Data!A864=Master_Data!A865),Master_Data!A864,"")</f>
        <v/>
      </c>
      <c r="B864" s="19">
        <f>IF($A864="","",Master_Data!B864)</f>
        <v/>
      </c>
      <c r="C864" s="19">
        <f>IF($A864="","",Master_Data!B865)</f>
        <v/>
      </c>
      <c r="D864" s="19">
        <f>IF($A864="","",Master_Data!Q864)</f>
        <v/>
      </c>
      <c r="E864" s="19">
        <f>IF($A864="","",Master_Data!Q865)</f>
        <v/>
      </c>
      <c r="F864" s="19">
        <f>IF($A864="","",IF(AND(D864="GAS",E864="OIL"),"GOC",IF(AND(D864="OIL",E864="WATER"),"OWC",IF(AND(D864="GAS",E864="WATER"),"GWC",IF(AND(D864="OIL",E864="OIL_WATER"),"OWC_TRANSITION",IF(AND(D864="OIL_WATER",E864="WATER"),"OWC_TRANSITION",IF(AND(D864="GAS",E864="GAS_WATER"),"GOC_TRANSITION",IF(AND(D864="GAS_WATER",E864="OIL"),"GOC_TRANSITION",IF(OR(D864="OIL_WATER",D864="GAS_WATER"),"TRANSITION_INTERVAL","")))))))))</f>
        <v/>
      </c>
      <c r="G864" s="20">
        <f>IF(OR(F864="",Master_Data!R864="",Master_Data!S864=""),"",IF(RIGHT(F864,10)="TRANSITION",AVERAGE(Master_Data!R864:Master_Data!S864),AVERAGE(Master_Data!S864,Master_Data!R865)))</f>
        <v/>
      </c>
      <c r="H864" s="20">
        <f>IF(G864="","",MAX(Settings!$B$4,Settings!$B$5*AVERAGE(IF(Master_Data!O864&lt;&gt;"",Master_Data!O864,Master_Data!H864),IF(Master_Data!O865&lt;&gt;"",Master_Data!O865,Master_Data!H865))))</f>
        <v/>
      </c>
      <c r="I864" s="20">
        <f>IF(G864="","",G864-H864)</f>
        <v/>
      </c>
      <c r="J864" s="20">
        <f>IF(G864="","",G864+H864)</f>
        <v/>
      </c>
      <c r="K864" s="20">
        <f>IF($A864="","",Master_Data!G864)</f>
        <v/>
      </c>
      <c r="L864" s="20">
        <f>IF($A864="","",Master_Data!G865)</f>
        <v/>
      </c>
      <c r="M864" s="20">
        <f>IF(AND(ISNUMBER(K864),ISNUMBER(L864)),L864-K864,"")</f>
        <v/>
      </c>
      <c r="N864" s="19">
        <f>IF(G864="","",IF(AND(ISNUMBER(K864),ISNUMBER(L864)),IF(OR(F864="GOC",F864="OWC",F864="GWC",F864="OWC_TRANSITION",F864="GOC_TRANSITION"),IF(L864&gt;=K864,"Supports","Conflicts"),"N/A"),"No Sw"))</f>
        <v/>
      </c>
      <c r="O864" s="20">
        <f>IF(G864="","",Settings!$B$6*IF(OR(F864="GOC",F864="OWC",F864="GWC"),1,0.7)+Settings!$B$7*IF(N864="Supports",1,IF(N864="Conflicts",0,0.5))+Settings!$B$8*IF(AND(Master_Data!R864&lt;&gt;"",Master_Data!S864&lt;&gt;"",Master_Data!R865&lt;&gt;"",Master_Data!S865&lt;&gt;""),1,0.5))</f>
        <v/>
      </c>
      <c r="P864" s="19">
        <f>IF(G864="","",IF(N864="Conflicts","SW_CONFLICT",IF(OR(F864="GOC",F864="OWC",F864="GWC"),"DIRECT_FLUID_TRANSITION","TRANSITION_INTERVAL")))</f>
        <v/>
      </c>
      <c r="Q864" s="19">
        <f>IF(G864="","",IF(N864="Conflicts","Investigate contact interpretation / saturation behaviour",IF(OR(F864="OWC",F864="GOC",F864="GWC"),"Candidate contact — validate with logs, pressure and dynamic evidence","Transition zone — do not force to a sharp contact")))</f>
        <v/>
      </c>
    </row>
    <row r="865">
      <c r="A865" s="19">
        <f>IF(AND(Master_Data!A865&lt;&gt;"",Master_Data!A865=Master_Data!A866),Master_Data!A865,"")</f>
        <v/>
      </c>
      <c r="B865" s="19">
        <f>IF($A865="","",Master_Data!B865)</f>
        <v/>
      </c>
      <c r="C865" s="19">
        <f>IF($A865="","",Master_Data!B866)</f>
        <v/>
      </c>
      <c r="D865" s="19">
        <f>IF($A865="","",Master_Data!Q865)</f>
        <v/>
      </c>
      <c r="E865" s="19">
        <f>IF($A865="","",Master_Data!Q866)</f>
        <v/>
      </c>
      <c r="F865" s="19">
        <f>IF($A865="","",IF(AND(D865="GAS",E865="OIL"),"GOC",IF(AND(D865="OIL",E865="WATER"),"OWC",IF(AND(D865="GAS",E865="WATER"),"GWC",IF(AND(D865="OIL",E865="OIL_WATER"),"OWC_TRANSITION",IF(AND(D865="OIL_WATER",E865="WATER"),"OWC_TRANSITION",IF(AND(D865="GAS",E865="GAS_WATER"),"GOC_TRANSITION",IF(AND(D865="GAS_WATER",E865="OIL"),"GOC_TRANSITION",IF(OR(D865="OIL_WATER",D865="GAS_WATER"),"TRANSITION_INTERVAL","")))))))))</f>
        <v/>
      </c>
      <c r="G865" s="20">
        <f>IF(OR(F865="",Master_Data!R865="",Master_Data!S865=""),"",IF(RIGHT(F865,10)="TRANSITION",AVERAGE(Master_Data!R865:Master_Data!S865),AVERAGE(Master_Data!S865,Master_Data!R866)))</f>
        <v/>
      </c>
      <c r="H865" s="20">
        <f>IF(G865="","",MAX(Settings!$B$4,Settings!$B$5*AVERAGE(IF(Master_Data!O865&lt;&gt;"",Master_Data!O865,Master_Data!H865),IF(Master_Data!O866&lt;&gt;"",Master_Data!O866,Master_Data!H866))))</f>
        <v/>
      </c>
      <c r="I865" s="20">
        <f>IF(G865="","",G865-H865)</f>
        <v/>
      </c>
      <c r="J865" s="20">
        <f>IF(G865="","",G865+H865)</f>
        <v/>
      </c>
      <c r="K865" s="20">
        <f>IF($A865="","",Master_Data!G865)</f>
        <v/>
      </c>
      <c r="L865" s="20">
        <f>IF($A865="","",Master_Data!G866)</f>
        <v/>
      </c>
      <c r="M865" s="20">
        <f>IF(AND(ISNUMBER(K865),ISNUMBER(L865)),L865-K865,"")</f>
        <v/>
      </c>
      <c r="N865" s="19">
        <f>IF(G865="","",IF(AND(ISNUMBER(K865),ISNUMBER(L865)),IF(OR(F865="GOC",F865="OWC",F865="GWC",F865="OWC_TRANSITION",F865="GOC_TRANSITION"),IF(L865&gt;=K865,"Supports","Conflicts"),"N/A"),"No Sw"))</f>
        <v/>
      </c>
      <c r="O865" s="20">
        <f>IF(G865="","",Settings!$B$6*IF(OR(F865="GOC",F865="OWC",F865="GWC"),1,0.7)+Settings!$B$7*IF(N865="Supports",1,IF(N865="Conflicts",0,0.5))+Settings!$B$8*IF(AND(Master_Data!R865&lt;&gt;"",Master_Data!S865&lt;&gt;"",Master_Data!R866&lt;&gt;"",Master_Data!S866&lt;&gt;""),1,0.5))</f>
        <v/>
      </c>
      <c r="P865" s="19">
        <f>IF(G865="","",IF(N865="Conflicts","SW_CONFLICT",IF(OR(F865="GOC",F865="OWC",F865="GWC"),"DIRECT_FLUID_TRANSITION","TRANSITION_INTERVAL")))</f>
        <v/>
      </c>
      <c r="Q865" s="19">
        <f>IF(G865="","",IF(N865="Conflicts","Investigate contact interpretation / saturation behaviour",IF(OR(F865="OWC",F865="GOC",F865="GWC"),"Candidate contact — validate with logs, pressure and dynamic evidence","Transition zone — do not force to a sharp contact")))</f>
        <v/>
      </c>
    </row>
    <row r="866">
      <c r="A866" s="19">
        <f>IF(AND(Master_Data!A866&lt;&gt;"",Master_Data!A866=Master_Data!A867),Master_Data!A866,"")</f>
        <v/>
      </c>
      <c r="B866" s="19">
        <f>IF($A866="","",Master_Data!B866)</f>
        <v/>
      </c>
      <c r="C866" s="19">
        <f>IF($A866="","",Master_Data!B867)</f>
        <v/>
      </c>
      <c r="D866" s="19">
        <f>IF($A866="","",Master_Data!Q866)</f>
        <v/>
      </c>
      <c r="E866" s="19">
        <f>IF($A866="","",Master_Data!Q867)</f>
        <v/>
      </c>
      <c r="F866" s="19">
        <f>IF($A866="","",IF(AND(D866="GAS",E866="OIL"),"GOC",IF(AND(D866="OIL",E866="WATER"),"OWC",IF(AND(D866="GAS",E866="WATER"),"GWC",IF(AND(D866="OIL",E866="OIL_WATER"),"OWC_TRANSITION",IF(AND(D866="OIL_WATER",E866="WATER"),"OWC_TRANSITION",IF(AND(D866="GAS",E866="GAS_WATER"),"GOC_TRANSITION",IF(AND(D866="GAS_WATER",E866="OIL"),"GOC_TRANSITION",IF(OR(D866="OIL_WATER",D866="GAS_WATER"),"TRANSITION_INTERVAL","")))))))))</f>
        <v/>
      </c>
      <c r="G866" s="20">
        <f>IF(OR(F866="",Master_Data!R866="",Master_Data!S866=""),"",IF(RIGHT(F866,10)="TRANSITION",AVERAGE(Master_Data!R866:Master_Data!S866),AVERAGE(Master_Data!S866,Master_Data!R867)))</f>
        <v/>
      </c>
      <c r="H866" s="20">
        <f>IF(G866="","",MAX(Settings!$B$4,Settings!$B$5*AVERAGE(IF(Master_Data!O866&lt;&gt;"",Master_Data!O866,Master_Data!H866),IF(Master_Data!O867&lt;&gt;"",Master_Data!O867,Master_Data!H867))))</f>
        <v/>
      </c>
      <c r="I866" s="20">
        <f>IF(G866="","",G866-H866)</f>
        <v/>
      </c>
      <c r="J866" s="20">
        <f>IF(G866="","",G866+H866)</f>
        <v/>
      </c>
      <c r="K866" s="20">
        <f>IF($A866="","",Master_Data!G866)</f>
        <v/>
      </c>
      <c r="L866" s="20">
        <f>IF($A866="","",Master_Data!G867)</f>
        <v/>
      </c>
      <c r="M866" s="20">
        <f>IF(AND(ISNUMBER(K866),ISNUMBER(L866)),L866-K866,"")</f>
        <v/>
      </c>
      <c r="N866" s="19">
        <f>IF(G866="","",IF(AND(ISNUMBER(K866),ISNUMBER(L866)),IF(OR(F866="GOC",F866="OWC",F866="GWC",F866="OWC_TRANSITION",F866="GOC_TRANSITION"),IF(L866&gt;=K866,"Supports","Conflicts"),"N/A"),"No Sw"))</f>
        <v/>
      </c>
      <c r="O866" s="20">
        <f>IF(G866="","",Settings!$B$6*IF(OR(F866="GOC",F866="OWC",F866="GWC"),1,0.7)+Settings!$B$7*IF(N866="Supports",1,IF(N866="Conflicts",0,0.5))+Settings!$B$8*IF(AND(Master_Data!R866&lt;&gt;"",Master_Data!S866&lt;&gt;"",Master_Data!R867&lt;&gt;"",Master_Data!S867&lt;&gt;""),1,0.5))</f>
        <v/>
      </c>
      <c r="P866" s="19">
        <f>IF(G866="","",IF(N866="Conflicts","SW_CONFLICT",IF(OR(F866="GOC",F866="OWC",F866="GWC"),"DIRECT_FLUID_TRANSITION","TRANSITION_INTERVAL")))</f>
        <v/>
      </c>
      <c r="Q866" s="19">
        <f>IF(G866="","",IF(N866="Conflicts","Investigate contact interpretation / saturation behaviour",IF(OR(F866="OWC",F866="GOC",F866="GWC"),"Candidate contact — validate with logs, pressure and dynamic evidence","Transition zone — do not force to a sharp contact")))</f>
        <v/>
      </c>
    </row>
    <row r="867">
      <c r="A867" s="19">
        <f>IF(AND(Master_Data!A867&lt;&gt;"",Master_Data!A867=Master_Data!A868),Master_Data!A867,"")</f>
        <v/>
      </c>
      <c r="B867" s="19">
        <f>IF($A867="","",Master_Data!B867)</f>
        <v/>
      </c>
      <c r="C867" s="19">
        <f>IF($A867="","",Master_Data!B868)</f>
        <v/>
      </c>
      <c r="D867" s="19">
        <f>IF($A867="","",Master_Data!Q867)</f>
        <v/>
      </c>
      <c r="E867" s="19">
        <f>IF($A867="","",Master_Data!Q868)</f>
        <v/>
      </c>
      <c r="F867" s="19">
        <f>IF($A867="","",IF(AND(D867="GAS",E867="OIL"),"GOC",IF(AND(D867="OIL",E867="WATER"),"OWC",IF(AND(D867="GAS",E867="WATER"),"GWC",IF(AND(D867="OIL",E867="OIL_WATER"),"OWC_TRANSITION",IF(AND(D867="OIL_WATER",E867="WATER"),"OWC_TRANSITION",IF(AND(D867="GAS",E867="GAS_WATER"),"GOC_TRANSITION",IF(AND(D867="GAS_WATER",E867="OIL"),"GOC_TRANSITION",IF(OR(D867="OIL_WATER",D867="GAS_WATER"),"TRANSITION_INTERVAL","")))))))))</f>
        <v/>
      </c>
      <c r="G867" s="20">
        <f>IF(OR(F867="",Master_Data!R867="",Master_Data!S867=""),"",IF(RIGHT(F867,10)="TRANSITION",AVERAGE(Master_Data!R867:Master_Data!S867),AVERAGE(Master_Data!S867,Master_Data!R868)))</f>
        <v/>
      </c>
      <c r="H867" s="20">
        <f>IF(G867="","",MAX(Settings!$B$4,Settings!$B$5*AVERAGE(IF(Master_Data!O867&lt;&gt;"",Master_Data!O867,Master_Data!H867),IF(Master_Data!O868&lt;&gt;"",Master_Data!O868,Master_Data!H868))))</f>
        <v/>
      </c>
      <c r="I867" s="20">
        <f>IF(G867="","",G867-H867)</f>
        <v/>
      </c>
      <c r="J867" s="20">
        <f>IF(G867="","",G867+H867)</f>
        <v/>
      </c>
      <c r="K867" s="20">
        <f>IF($A867="","",Master_Data!G867)</f>
        <v/>
      </c>
      <c r="L867" s="20">
        <f>IF($A867="","",Master_Data!G868)</f>
        <v/>
      </c>
      <c r="M867" s="20">
        <f>IF(AND(ISNUMBER(K867),ISNUMBER(L867)),L867-K867,"")</f>
        <v/>
      </c>
      <c r="N867" s="19">
        <f>IF(G867="","",IF(AND(ISNUMBER(K867),ISNUMBER(L867)),IF(OR(F867="GOC",F867="OWC",F867="GWC",F867="OWC_TRANSITION",F867="GOC_TRANSITION"),IF(L867&gt;=K867,"Supports","Conflicts"),"N/A"),"No Sw"))</f>
        <v/>
      </c>
      <c r="O867" s="20">
        <f>IF(G867="","",Settings!$B$6*IF(OR(F867="GOC",F867="OWC",F867="GWC"),1,0.7)+Settings!$B$7*IF(N867="Supports",1,IF(N867="Conflicts",0,0.5))+Settings!$B$8*IF(AND(Master_Data!R867&lt;&gt;"",Master_Data!S867&lt;&gt;"",Master_Data!R868&lt;&gt;"",Master_Data!S868&lt;&gt;""),1,0.5))</f>
        <v/>
      </c>
      <c r="P867" s="19">
        <f>IF(G867="","",IF(N867="Conflicts","SW_CONFLICT",IF(OR(F867="GOC",F867="OWC",F867="GWC"),"DIRECT_FLUID_TRANSITION","TRANSITION_INTERVAL")))</f>
        <v/>
      </c>
      <c r="Q867" s="19">
        <f>IF(G867="","",IF(N867="Conflicts","Investigate contact interpretation / saturation behaviour",IF(OR(F867="OWC",F867="GOC",F867="GWC"),"Candidate contact — validate with logs, pressure and dynamic evidence","Transition zone — do not force to a sharp contact")))</f>
        <v/>
      </c>
    </row>
    <row r="868">
      <c r="A868" s="19">
        <f>IF(AND(Master_Data!A868&lt;&gt;"",Master_Data!A868=Master_Data!A869),Master_Data!A868,"")</f>
        <v/>
      </c>
      <c r="B868" s="19">
        <f>IF($A868="","",Master_Data!B868)</f>
        <v/>
      </c>
      <c r="C868" s="19">
        <f>IF($A868="","",Master_Data!B869)</f>
        <v/>
      </c>
      <c r="D868" s="19">
        <f>IF($A868="","",Master_Data!Q868)</f>
        <v/>
      </c>
      <c r="E868" s="19">
        <f>IF($A868="","",Master_Data!Q869)</f>
        <v/>
      </c>
      <c r="F868" s="19">
        <f>IF($A868="","",IF(AND(D868="GAS",E868="OIL"),"GOC",IF(AND(D868="OIL",E868="WATER"),"OWC",IF(AND(D868="GAS",E868="WATER"),"GWC",IF(AND(D868="OIL",E868="OIL_WATER"),"OWC_TRANSITION",IF(AND(D868="OIL_WATER",E868="WATER"),"OWC_TRANSITION",IF(AND(D868="GAS",E868="GAS_WATER"),"GOC_TRANSITION",IF(AND(D868="GAS_WATER",E868="OIL"),"GOC_TRANSITION",IF(OR(D868="OIL_WATER",D868="GAS_WATER"),"TRANSITION_INTERVAL","")))))))))</f>
        <v/>
      </c>
      <c r="G868" s="20">
        <f>IF(OR(F868="",Master_Data!R868="",Master_Data!S868=""),"",IF(RIGHT(F868,10)="TRANSITION",AVERAGE(Master_Data!R868:Master_Data!S868),AVERAGE(Master_Data!S868,Master_Data!R869)))</f>
        <v/>
      </c>
      <c r="H868" s="20">
        <f>IF(G868="","",MAX(Settings!$B$4,Settings!$B$5*AVERAGE(IF(Master_Data!O868&lt;&gt;"",Master_Data!O868,Master_Data!H868),IF(Master_Data!O869&lt;&gt;"",Master_Data!O869,Master_Data!H869))))</f>
        <v/>
      </c>
      <c r="I868" s="20">
        <f>IF(G868="","",G868-H868)</f>
        <v/>
      </c>
      <c r="J868" s="20">
        <f>IF(G868="","",G868+H868)</f>
        <v/>
      </c>
      <c r="K868" s="20">
        <f>IF($A868="","",Master_Data!G868)</f>
        <v/>
      </c>
      <c r="L868" s="20">
        <f>IF($A868="","",Master_Data!G869)</f>
        <v/>
      </c>
      <c r="M868" s="20">
        <f>IF(AND(ISNUMBER(K868),ISNUMBER(L868)),L868-K868,"")</f>
        <v/>
      </c>
      <c r="N868" s="19">
        <f>IF(G868="","",IF(AND(ISNUMBER(K868),ISNUMBER(L868)),IF(OR(F868="GOC",F868="OWC",F868="GWC",F868="OWC_TRANSITION",F868="GOC_TRANSITION"),IF(L868&gt;=K868,"Supports","Conflicts"),"N/A"),"No Sw"))</f>
        <v/>
      </c>
      <c r="O868" s="20">
        <f>IF(G868="","",Settings!$B$6*IF(OR(F868="GOC",F868="OWC",F868="GWC"),1,0.7)+Settings!$B$7*IF(N868="Supports",1,IF(N868="Conflicts",0,0.5))+Settings!$B$8*IF(AND(Master_Data!R868&lt;&gt;"",Master_Data!S868&lt;&gt;"",Master_Data!R869&lt;&gt;"",Master_Data!S869&lt;&gt;""),1,0.5))</f>
        <v/>
      </c>
      <c r="P868" s="19">
        <f>IF(G868="","",IF(N868="Conflicts","SW_CONFLICT",IF(OR(F868="GOC",F868="OWC",F868="GWC"),"DIRECT_FLUID_TRANSITION","TRANSITION_INTERVAL")))</f>
        <v/>
      </c>
      <c r="Q868" s="19">
        <f>IF(G868="","",IF(N868="Conflicts","Investigate contact interpretation / saturation behaviour",IF(OR(F868="OWC",F868="GOC",F868="GWC"),"Candidate contact — validate with logs, pressure and dynamic evidence","Transition zone — do not force to a sharp contact")))</f>
        <v/>
      </c>
    </row>
    <row r="869">
      <c r="A869" s="19">
        <f>IF(AND(Master_Data!A869&lt;&gt;"",Master_Data!A869=Master_Data!A870),Master_Data!A869,"")</f>
        <v/>
      </c>
      <c r="B869" s="19">
        <f>IF($A869="","",Master_Data!B869)</f>
        <v/>
      </c>
      <c r="C869" s="19">
        <f>IF($A869="","",Master_Data!B870)</f>
        <v/>
      </c>
      <c r="D869" s="19">
        <f>IF($A869="","",Master_Data!Q869)</f>
        <v/>
      </c>
      <c r="E869" s="19">
        <f>IF($A869="","",Master_Data!Q870)</f>
        <v/>
      </c>
      <c r="F869" s="19">
        <f>IF($A869="","",IF(AND(D869="GAS",E869="OIL"),"GOC",IF(AND(D869="OIL",E869="WATER"),"OWC",IF(AND(D869="GAS",E869="WATER"),"GWC",IF(AND(D869="OIL",E869="OIL_WATER"),"OWC_TRANSITION",IF(AND(D869="OIL_WATER",E869="WATER"),"OWC_TRANSITION",IF(AND(D869="GAS",E869="GAS_WATER"),"GOC_TRANSITION",IF(AND(D869="GAS_WATER",E869="OIL"),"GOC_TRANSITION",IF(OR(D869="OIL_WATER",D869="GAS_WATER"),"TRANSITION_INTERVAL","")))))))))</f>
        <v/>
      </c>
      <c r="G869" s="20">
        <f>IF(OR(F869="",Master_Data!R869="",Master_Data!S869=""),"",IF(RIGHT(F869,10)="TRANSITION",AVERAGE(Master_Data!R869:Master_Data!S869),AVERAGE(Master_Data!S869,Master_Data!R870)))</f>
        <v/>
      </c>
      <c r="H869" s="20">
        <f>IF(G869="","",MAX(Settings!$B$4,Settings!$B$5*AVERAGE(IF(Master_Data!O869&lt;&gt;"",Master_Data!O869,Master_Data!H869),IF(Master_Data!O870&lt;&gt;"",Master_Data!O870,Master_Data!H870))))</f>
        <v/>
      </c>
      <c r="I869" s="20">
        <f>IF(G869="","",G869-H869)</f>
        <v/>
      </c>
      <c r="J869" s="20">
        <f>IF(G869="","",G869+H869)</f>
        <v/>
      </c>
      <c r="K869" s="20">
        <f>IF($A869="","",Master_Data!G869)</f>
        <v/>
      </c>
      <c r="L869" s="20">
        <f>IF($A869="","",Master_Data!G870)</f>
        <v/>
      </c>
      <c r="M869" s="20">
        <f>IF(AND(ISNUMBER(K869),ISNUMBER(L869)),L869-K869,"")</f>
        <v/>
      </c>
      <c r="N869" s="19">
        <f>IF(G869="","",IF(AND(ISNUMBER(K869),ISNUMBER(L869)),IF(OR(F869="GOC",F869="OWC",F869="GWC",F869="OWC_TRANSITION",F869="GOC_TRANSITION"),IF(L869&gt;=K869,"Supports","Conflicts"),"N/A"),"No Sw"))</f>
        <v/>
      </c>
      <c r="O869" s="20">
        <f>IF(G869="","",Settings!$B$6*IF(OR(F869="GOC",F869="OWC",F869="GWC"),1,0.7)+Settings!$B$7*IF(N869="Supports",1,IF(N869="Conflicts",0,0.5))+Settings!$B$8*IF(AND(Master_Data!R869&lt;&gt;"",Master_Data!S869&lt;&gt;"",Master_Data!R870&lt;&gt;"",Master_Data!S870&lt;&gt;""),1,0.5))</f>
        <v/>
      </c>
      <c r="P869" s="19">
        <f>IF(G869="","",IF(N869="Conflicts","SW_CONFLICT",IF(OR(F869="GOC",F869="OWC",F869="GWC"),"DIRECT_FLUID_TRANSITION","TRANSITION_INTERVAL")))</f>
        <v/>
      </c>
      <c r="Q869" s="19">
        <f>IF(G869="","",IF(N869="Conflicts","Investigate contact interpretation / saturation behaviour",IF(OR(F869="OWC",F869="GOC",F869="GWC"),"Candidate contact — validate with logs, pressure and dynamic evidence","Transition zone — do not force to a sharp contact")))</f>
        <v/>
      </c>
    </row>
    <row r="870">
      <c r="A870" s="19">
        <f>IF(AND(Master_Data!A870&lt;&gt;"",Master_Data!A870=Master_Data!A871),Master_Data!A870,"")</f>
        <v/>
      </c>
      <c r="B870" s="19">
        <f>IF($A870="","",Master_Data!B870)</f>
        <v/>
      </c>
      <c r="C870" s="19">
        <f>IF($A870="","",Master_Data!B871)</f>
        <v/>
      </c>
      <c r="D870" s="19">
        <f>IF($A870="","",Master_Data!Q870)</f>
        <v/>
      </c>
      <c r="E870" s="19">
        <f>IF($A870="","",Master_Data!Q871)</f>
        <v/>
      </c>
      <c r="F870" s="19">
        <f>IF($A870="","",IF(AND(D870="GAS",E870="OIL"),"GOC",IF(AND(D870="OIL",E870="WATER"),"OWC",IF(AND(D870="GAS",E870="WATER"),"GWC",IF(AND(D870="OIL",E870="OIL_WATER"),"OWC_TRANSITION",IF(AND(D870="OIL_WATER",E870="WATER"),"OWC_TRANSITION",IF(AND(D870="GAS",E870="GAS_WATER"),"GOC_TRANSITION",IF(AND(D870="GAS_WATER",E870="OIL"),"GOC_TRANSITION",IF(OR(D870="OIL_WATER",D870="GAS_WATER"),"TRANSITION_INTERVAL","")))))))))</f>
        <v/>
      </c>
      <c r="G870" s="20">
        <f>IF(OR(F870="",Master_Data!R870="",Master_Data!S870=""),"",IF(RIGHT(F870,10)="TRANSITION",AVERAGE(Master_Data!R870:Master_Data!S870),AVERAGE(Master_Data!S870,Master_Data!R871)))</f>
        <v/>
      </c>
      <c r="H870" s="20">
        <f>IF(G870="","",MAX(Settings!$B$4,Settings!$B$5*AVERAGE(IF(Master_Data!O870&lt;&gt;"",Master_Data!O870,Master_Data!H870),IF(Master_Data!O871&lt;&gt;"",Master_Data!O871,Master_Data!H871))))</f>
        <v/>
      </c>
      <c r="I870" s="20">
        <f>IF(G870="","",G870-H870)</f>
        <v/>
      </c>
      <c r="J870" s="20">
        <f>IF(G870="","",G870+H870)</f>
        <v/>
      </c>
      <c r="K870" s="20">
        <f>IF($A870="","",Master_Data!G870)</f>
        <v/>
      </c>
      <c r="L870" s="20">
        <f>IF($A870="","",Master_Data!G871)</f>
        <v/>
      </c>
      <c r="M870" s="20">
        <f>IF(AND(ISNUMBER(K870),ISNUMBER(L870)),L870-K870,"")</f>
        <v/>
      </c>
      <c r="N870" s="19">
        <f>IF(G870="","",IF(AND(ISNUMBER(K870),ISNUMBER(L870)),IF(OR(F870="GOC",F870="OWC",F870="GWC",F870="OWC_TRANSITION",F870="GOC_TRANSITION"),IF(L870&gt;=K870,"Supports","Conflicts"),"N/A"),"No Sw"))</f>
        <v/>
      </c>
      <c r="O870" s="20">
        <f>IF(G870="","",Settings!$B$6*IF(OR(F870="GOC",F870="OWC",F870="GWC"),1,0.7)+Settings!$B$7*IF(N870="Supports",1,IF(N870="Conflicts",0,0.5))+Settings!$B$8*IF(AND(Master_Data!R870&lt;&gt;"",Master_Data!S870&lt;&gt;"",Master_Data!R871&lt;&gt;"",Master_Data!S871&lt;&gt;""),1,0.5))</f>
        <v/>
      </c>
      <c r="P870" s="19">
        <f>IF(G870="","",IF(N870="Conflicts","SW_CONFLICT",IF(OR(F870="GOC",F870="OWC",F870="GWC"),"DIRECT_FLUID_TRANSITION","TRANSITION_INTERVAL")))</f>
        <v/>
      </c>
      <c r="Q870" s="19">
        <f>IF(G870="","",IF(N870="Conflicts","Investigate contact interpretation / saturation behaviour",IF(OR(F870="OWC",F870="GOC",F870="GWC"),"Candidate contact — validate with logs, pressure and dynamic evidence","Transition zone — do not force to a sharp contact")))</f>
        <v/>
      </c>
    </row>
    <row r="871">
      <c r="A871" s="19">
        <f>IF(AND(Master_Data!A871&lt;&gt;"",Master_Data!A871=Master_Data!A872),Master_Data!A871,"")</f>
        <v/>
      </c>
      <c r="B871" s="19">
        <f>IF($A871="","",Master_Data!B871)</f>
        <v/>
      </c>
      <c r="C871" s="19">
        <f>IF($A871="","",Master_Data!B872)</f>
        <v/>
      </c>
      <c r="D871" s="19">
        <f>IF($A871="","",Master_Data!Q871)</f>
        <v/>
      </c>
      <c r="E871" s="19">
        <f>IF($A871="","",Master_Data!Q872)</f>
        <v/>
      </c>
      <c r="F871" s="19">
        <f>IF($A871="","",IF(AND(D871="GAS",E871="OIL"),"GOC",IF(AND(D871="OIL",E871="WATER"),"OWC",IF(AND(D871="GAS",E871="WATER"),"GWC",IF(AND(D871="OIL",E871="OIL_WATER"),"OWC_TRANSITION",IF(AND(D871="OIL_WATER",E871="WATER"),"OWC_TRANSITION",IF(AND(D871="GAS",E871="GAS_WATER"),"GOC_TRANSITION",IF(AND(D871="GAS_WATER",E871="OIL"),"GOC_TRANSITION",IF(OR(D871="OIL_WATER",D871="GAS_WATER"),"TRANSITION_INTERVAL","")))))))))</f>
        <v/>
      </c>
      <c r="G871" s="20">
        <f>IF(OR(F871="",Master_Data!R871="",Master_Data!S871=""),"",IF(RIGHT(F871,10)="TRANSITION",AVERAGE(Master_Data!R871:Master_Data!S871),AVERAGE(Master_Data!S871,Master_Data!R872)))</f>
        <v/>
      </c>
      <c r="H871" s="20">
        <f>IF(G871="","",MAX(Settings!$B$4,Settings!$B$5*AVERAGE(IF(Master_Data!O871&lt;&gt;"",Master_Data!O871,Master_Data!H871),IF(Master_Data!O872&lt;&gt;"",Master_Data!O872,Master_Data!H872))))</f>
        <v/>
      </c>
      <c r="I871" s="20">
        <f>IF(G871="","",G871-H871)</f>
        <v/>
      </c>
      <c r="J871" s="20">
        <f>IF(G871="","",G871+H871)</f>
        <v/>
      </c>
      <c r="K871" s="20">
        <f>IF($A871="","",Master_Data!G871)</f>
        <v/>
      </c>
      <c r="L871" s="20">
        <f>IF($A871="","",Master_Data!G872)</f>
        <v/>
      </c>
      <c r="M871" s="20">
        <f>IF(AND(ISNUMBER(K871),ISNUMBER(L871)),L871-K871,"")</f>
        <v/>
      </c>
      <c r="N871" s="19">
        <f>IF(G871="","",IF(AND(ISNUMBER(K871),ISNUMBER(L871)),IF(OR(F871="GOC",F871="OWC",F871="GWC",F871="OWC_TRANSITION",F871="GOC_TRANSITION"),IF(L871&gt;=K871,"Supports","Conflicts"),"N/A"),"No Sw"))</f>
        <v/>
      </c>
      <c r="O871" s="20">
        <f>IF(G871="","",Settings!$B$6*IF(OR(F871="GOC",F871="OWC",F871="GWC"),1,0.7)+Settings!$B$7*IF(N871="Supports",1,IF(N871="Conflicts",0,0.5))+Settings!$B$8*IF(AND(Master_Data!R871&lt;&gt;"",Master_Data!S871&lt;&gt;"",Master_Data!R872&lt;&gt;"",Master_Data!S872&lt;&gt;""),1,0.5))</f>
        <v/>
      </c>
      <c r="P871" s="19">
        <f>IF(G871="","",IF(N871="Conflicts","SW_CONFLICT",IF(OR(F871="GOC",F871="OWC",F871="GWC"),"DIRECT_FLUID_TRANSITION","TRANSITION_INTERVAL")))</f>
        <v/>
      </c>
      <c r="Q871" s="19">
        <f>IF(G871="","",IF(N871="Conflicts","Investigate contact interpretation / saturation behaviour",IF(OR(F871="OWC",F871="GOC",F871="GWC"),"Candidate contact — validate with logs, pressure and dynamic evidence","Transition zone — do not force to a sharp contact")))</f>
        <v/>
      </c>
    </row>
    <row r="872">
      <c r="A872" s="19">
        <f>IF(AND(Master_Data!A872&lt;&gt;"",Master_Data!A872=Master_Data!A873),Master_Data!A872,"")</f>
        <v/>
      </c>
      <c r="B872" s="19">
        <f>IF($A872="","",Master_Data!B872)</f>
        <v/>
      </c>
      <c r="C872" s="19">
        <f>IF($A872="","",Master_Data!B873)</f>
        <v/>
      </c>
      <c r="D872" s="19">
        <f>IF($A872="","",Master_Data!Q872)</f>
        <v/>
      </c>
      <c r="E872" s="19">
        <f>IF($A872="","",Master_Data!Q873)</f>
        <v/>
      </c>
      <c r="F872" s="19">
        <f>IF($A872="","",IF(AND(D872="GAS",E872="OIL"),"GOC",IF(AND(D872="OIL",E872="WATER"),"OWC",IF(AND(D872="GAS",E872="WATER"),"GWC",IF(AND(D872="OIL",E872="OIL_WATER"),"OWC_TRANSITION",IF(AND(D872="OIL_WATER",E872="WATER"),"OWC_TRANSITION",IF(AND(D872="GAS",E872="GAS_WATER"),"GOC_TRANSITION",IF(AND(D872="GAS_WATER",E872="OIL"),"GOC_TRANSITION",IF(OR(D872="OIL_WATER",D872="GAS_WATER"),"TRANSITION_INTERVAL","")))))))))</f>
        <v/>
      </c>
      <c r="G872" s="20">
        <f>IF(OR(F872="",Master_Data!R872="",Master_Data!S872=""),"",IF(RIGHT(F872,10)="TRANSITION",AVERAGE(Master_Data!R872:Master_Data!S872),AVERAGE(Master_Data!S872,Master_Data!R873)))</f>
        <v/>
      </c>
      <c r="H872" s="20">
        <f>IF(G872="","",MAX(Settings!$B$4,Settings!$B$5*AVERAGE(IF(Master_Data!O872&lt;&gt;"",Master_Data!O872,Master_Data!H872),IF(Master_Data!O873&lt;&gt;"",Master_Data!O873,Master_Data!H873))))</f>
        <v/>
      </c>
      <c r="I872" s="20">
        <f>IF(G872="","",G872-H872)</f>
        <v/>
      </c>
      <c r="J872" s="20">
        <f>IF(G872="","",G872+H872)</f>
        <v/>
      </c>
      <c r="K872" s="20">
        <f>IF($A872="","",Master_Data!G872)</f>
        <v/>
      </c>
      <c r="L872" s="20">
        <f>IF($A872="","",Master_Data!G873)</f>
        <v/>
      </c>
      <c r="M872" s="20">
        <f>IF(AND(ISNUMBER(K872),ISNUMBER(L872)),L872-K872,"")</f>
        <v/>
      </c>
      <c r="N872" s="19">
        <f>IF(G872="","",IF(AND(ISNUMBER(K872),ISNUMBER(L872)),IF(OR(F872="GOC",F872="OWC",F872="GWC",F872="OWC_TRANSITION",F872="GOC_TRANSITION"),IF(L872&gt;=K872,"Supports","Conflicts"),"N/A"),"No Sw"))</f>
        <v/>
      </c>
      <c r="O872" s="20">
        <f>IF(G872="","",Settings!$B$6*IF(OR(F872="GOC",F872="OWC",F872="GWC"),1,0.7)+Settings!$B$7*IF(N872="Supports",1,IF(N872="Conflicts",0,0.5))+Settings!$B$8*IF(AND(Master_Data!R872&lt;&gt;"",Master_Data!S872&lt;&gt;"",Master_Data!R873&lt;&gt;"",Master_Data!S873&lt;&gt;""),1,0.5))</f>
        <v/>
      </c>
      <c r="P872" s="19">
        <f>IF(G872="","",IF(N872="Conflicts","SW_CONFLICT",IF(OR(F872="GOC",F872="OWC",F872="GWC"),"DIRECT_FLUID_TRANSITION","TRANSITION_INTERVAL")))</f>
        <v/>
      </c>
      <c r="Q872" s="19">
        <f>IF(G872="","",IF(N872="Conflicts","Investigate contact interpretation / saturation behaviour",IF(OR(F872="OWC",F872="GOC",F872="GWC"),"Candidate contact — validate with logs, pressure and dynamic evidence","Transition zone — do not force to a sharp contact")))</f>
        <v/>
      </c>
    </row>
    <row r="873">
      <c r="A873" s="19">
        <f>IF(AND(Master_Data!A873&lt;&gt;"",Master_Data!A873=Master_Data!A874),Master_Data!A873,"")</f>
        <v/>
      </c>
      <c r="B873" s="19">
        <f>IF($A873="","",Master_Data!B873)</f>
        <v/>
      </c>
      <c r="C873" s="19">
        <f>IF($A873="","",Master_Data!B874)</f>
        <v/>
      </c>
      <c r="D873" s="19">
        <f>IF($A873="","",Master_Data!Q873)</f>
        <v/>
      </c>
      <c r="E873" s="19">
        <f>IF($A873="","",Master_Data!Q874)</f>
        <v/>
      </c>
      <c r="F873" s="19">
        <f>IF($A873="","",IF(AND(D873="GAS",E873="OIL"),"GOC",IF(AND(D873="OIL",E873="WATER"),"OWC",IF(AND(D873="GAS",E873="WATER"),"GWC",IF(AND(D873="OIL",E873="OIL_WATER"),"OWC_TRANSITION",IF(AND(D873="OIL_WATER",E873="WATER"),"OWC_TRANSITION",IF(AND(D873="GAS",E873="GAS_WATER"),"GOC_TRANSITION",IF(AND(D873="GAS_WATER",E873="OIL"),"GOC_TRANSITION",IF(OR(D873="OIL_WATER",D873="GAS_WATER"),"TRANSITION_INTERVAL","")))))))))</f>
        <v/>
      </c>
      <c r="G873" s="20">
        <f>IF(OR(F873="",Master_Data!R873="",Master_Data!S873=""),"",IF(RIGHT(F873,10)="TRANSITION",AVERAGE(Master_Data!R873:Master_Data!S873),AVERAGE(Master_Data!S873,Master_Data!R874)))</f>
        <v/>
      </c>
      <c r="H873" s="20">
        <f>IF(G873="","",MAX(Settings!$B$4,Settings!$B$5*AVERAGE(IF(Master_Data!O873&lt;&gt;"",Master_Data!O873,Master_Data!H873),IF(Master_Data!O874&lt;&gt;"",Master_Data!O874,Master_Data!H874))))</f>
        <v/>
      </c>
      <c r="I873" s="20">
        <f>IF(G873="","",G873-H873)</f>
        <v/>
      </c>
      <c r="J873" s="20">
        <f>IF(G873="","",G873+H873)</f>
        <v/>
      </c>
      <c r="K873" s="20">
        <f>IF($A873="","",Master_Data!G873)</f>
        <v/>
      </c>
      <c r="L873" s="20">
        <f>IF($A873="","",Master_Data!G874)</f>
        <v/>
      </c>
      <c r="M873" s="20">
        <f>IF(AND(ISNUMBER(K873),ISNUMBER(L873)),L873-K873,"")</f>
        <v/>
      </c>
      <c r="N873" s="19">
        <f>IF(G873="","",IF(AND(ISNUMBER(K873),ISNUMBER(L873)),IF(OR(F873="GOC",F873="OWC",F873="GWC",F873="OWC_TRANSITION",F873="GOC_TRANSITION"),IF(L873&gt;=K873,"Supports","Conflicts"),"N/A"),"No Sw"))</f>
        <v/>
      </c>
      <c r="O873" s="20">
        <f>IF(G873="","",Settings!$B$6*IF(OR(F873="GOC",F873="OWC",F873="GWC"),1,0.7)+Settings!$B$7*IF(N873="Supports",1,IF(N873="Conflicts",0,0.5))+Settings!$B$8*IF(AND(Master_Data!R873&lt;&gt;"",Master_Data!S873&lt;&gt;"",Master_Data!R874&lt;&gt;"",Master_Data!S874&lt;&gt;""),1,0.5))</f>
        <v/>
      </c>
      <c r="P873" s="19">
        <f>IF(G873="","",IF(N873="Conflicts","SW_CONFLICT",IF(OR(F873="GOC",F873="OWC",F873="GWC"),"DIRECT_FLUID_TRANSITION","TRANSITION_INTERVAL")))</f>
        <v/>
      </c>
      <c r="Q873" s="19">
        <f>IF(G873="","",IF(N873="Conflicts","Investigate contact interpretation / saturation behaviour",IF(OR(F873="OWC",F873="GOC",F873="GWC"),"Candidate contact — validate with logs, pressure and dynamic evidence","Transition zone — do not force to a sharp contact")))</f>
        <v/>
      </c>
    </row>
    <row r="874">
      <c r="A874" s="19">
        <f>IF(AND(Master_Data!A874&lt;&gt;"",Master_Data!A874=Master_Data!A875),Master_Data!A874,"")</f>
        <v/>
      </c>
      <c r="B874" s="19">
        <f>IF($A874="","",Master_Data!B874)</f>
        <v/>
      </c>
      <c r="C874" s="19">
        <f>IF($A874="","",Master_Data!B875)</f>
        <v/>
      </c>
      <c r="D874" s="19">
        <f>IF($A874="","",Master_Data!Q874)</f>
        <v/>
      </c>
      <c r="E874" s="19">
        <f>IF($A874="","",Master_Data!Q875)</f>
        <v/>
      </c>
      <c r="F874" s="19">
        <f>IF($A874="","",IF(AND(D874="GAS",E874="OIL"),"GOC",IF(AND(D874="OIL",E874="WATER"),"OWC",IF(AND(D874="GAS",E874="WATER"),"GWC",IF(AND(D874="OIL",E874="OIL_WATER"),"OWC_TRANSITION",IF(AND(D874="OIL_WATER",E874="WATER"),"OWC_TRANSITION",IF(AND(D874="GAS",E874="GAS_WATER"),"GOC_TRANSITION",IF(AND(D874="GAS_WATER",E874="OIL"),"GOC_TRANSITION",IF(OR(D874="OIL_WATER",D874="GAS_WATER"),"TRANSITION_INTERVAL","")))))))))</f>
        <v/>
      </c>
      <c r="G874" s="20">
        <f>IF(OR(F874="",Master_Data!R874="",Master_Data!S874=""),"",IF(RIGHT(F874,10)="TRANSITION",AVERAGE(Master_Data!R874:Master_Data!S874),AVERAGE(Master_Data!S874,Master_Data!R875)))</f>
        <v/>
      </c>
      <c r="H874" s="20">
        <f>IF(G874="","",MAX(Settings!$B$4,Settings!$B$5*AVERAGE(IF(Master_Data!O874&lt;&gt;"",Master_Data!O874,Master_Data!H874),IF(Master_Data!O875&lt;&gt;"",Master_Data!O875,Master_Data!H875))))</f>
        <v/>
      </c>
      <c r="I874" s="20">
        <f>IF(G874="","",G874-H874)</f>
        <v/>
      </c>
      <c r="J874" s="20">
        <f>IF(G874="","",G874+H874)</f>
        <v/>
      </c>
      <c r="K874" s="20">
        <f>IF($A874="","",Master_Data!G874)</f>
        <v/>
      </c>
      <c r="L874" s="20">
        <f>IF($A874="","",Master_Data!G875)</f>
        <v/>
      </c>
      <c r="M874" s="20">
        <f>IF(AND(ISNUMBER(K874),ISNUMBER(L874)),L874-K874,"")</f>
        <v/>
      </c>
      <c r="N874" s="19">
        <f>IF(G874="","",IF(AND(ISNUMBER(K874),ISNUMBER(L874)),IF(OR(F874="GOC",F874="OWC",F874="GWC",F874="OWC_TRANSITION",F874="GOC_TRANSITION"),IF(L874&gt;=K874,"Supports","Conflicts"),"N/A"),"No Sw"))</f>
        <v/>
      </c>
      <c r="O874" s="20">
        <f>IF(G874="","",Settings!$B$6*IF(OR(F874="GOC",F874="OWC",F874="GWC"),1,0.7)+Settings!$B$7*IF(N874="Supports",1,IF(N874="Conflicts",0,0.5))+Settings!$B$8*IF(AND(Master_Data!R874&lt;&gt;"",Master_Data!S874&lt;&gt;"",Master_Data!R875&lt;&gt;"",Master_Data!S875&lt;&gt;""),1,0.5))</f>
        <v/>
      </c>
      <c r="P874" s="19">
        <f>IF(G874="","",IF(N874="Conflicts","SW_CONFLICT",IF(OR(F874="GOC",F874="OWC",F874="GWC"),"DIRECT_FLUID_TRANSITION","TRANSITION_INTERVAL")))</f>
        <v/>
      </c>
      <c r="Q874" s="19">
        <f>IF(G874="","",IF(N874="Conflicts","Investigate contact interpretation / saturation behaviour",IF(OR(F874="OWC",F874="GOC",F874="GWC"),"Candidate contact — validate with logs, pressure and dynamic evidence","Transition zone — do not force to a sharp contact")))</f>
        <v/>
      </c>
    </row>
    <row r="875">
      <c r="A875" s="19">
        <f>IF(AND(Master_Data!A875&lt;&gt;"",Master_Data!A875=Master_Data!A876),Master_Data!A875,"")</f>
        <v/>
      </c>
      <c r="B875" s="19">
        <f>IF($A875="","",Master_Data!B875)</f>
        <v/>
      </c>
      <c r="C875" s="19">
        <f>IF($A875="","",Master_Data!B876)</f>
        <v/>
      </c>
      <c r="D875" s="19">
        <f>IF($A875="","",Master_Data!Q875)</f>
        <v/>
      </c>
      <c r="E875" s="19">
        <f>IF($A875="","",Master_Data!Q876)</f>
        <v/>
      </c>
      <c r="F875" s="19">
        <f>IF($A875="","",IF(AND(D875="GAS",E875="OIL"),"GOC",IF(AND(D875="OIL",E875="WATER"),"OWC",IF(AND(D875="GAS",E875="WATER"),"GWC",IF(AND(D875="OIL",E875="OIL_WATER"),"OWC_TRANSITION",IF(AND(D875="OIL_WATER",E875="WATER"),"OWC_TRANSITION",IF(AND(D875="GAS",E875="GAS_WATER"),"GOC_TRANSITION",IF(AND(D875="GAS_WATER",E875="OIL"),"GOC_TRANSITION",IF(OR(D875="OIL_WATER",D875="GAS_WATER"),"TRANSITION_INTERVAL","")))))))))</f>
        <v/>
      </c>
      <c r="G875" s="20">
        <f>IF(OR(F875="",Master_Data!R875="",Master_Data!S875=""),"",IF(RIGHT(F875,10)="TRANSITION",AVERAGE(Master_Data!R875:Master_Data!S875),AVERAGE(Master_Data!S875,Master_Data!R876)))</f>
        <v/>
      </c>
      <c r="H875" s="20">
        <f>IF(G875="","",MAX(Settings!$B$4,Settings!$B$5*AVERAGE(IF(Master_Data!O875&lt;&gt;"",Master_Data!O875,Master_Data!H875),IF(Master_Data!O876&lt;&gt;"",Master_Data!O876,Master_Data!H876))))</f>
        <v/>
      </c>
      <c r="I875" s="20">
        <f>IF(G875="","",G875-H875)</f>
        <v/>
      </c>
      <c r="J875" s="20">
        <f>IF(G875="","",G875+H875)</f>
        <v/>
      </c>
      <c r="K875" s="20">
        <f>IF($A875="","",Master_Data!G875)</f>
        <v/>
      </c>
      <c r="L875" s="20">
        <f>IF($A875="","",Master_Data!G876)</f>
        <v/>
      </c>
      <c r="M875" s="20">
        <f>IF(AND(ISNUMBER(K875),ISNUMBER(L875)),L875-K875,"")</f>
        <v/>
      </c>
      <c r="N875" s="19">
        <f>IF(G875="","",IF(AND(ISNUMBER(K875),ISNUMBER(L875)),IF(OR(F875="GOC",F875="OWC",F875="GWC",F875="OWC_TRANSITION",F875="GOC_TRANSITION"),IF(L875&gt;=K875,"Supports","Conflicts"),"N/A"),"No Sw"))</f>
        <v/>
      </c>
      <c r="O875" s="20">
        <f>IF(G875="","",Settings!$B$6*IF(OR(F875="GOC",F875="OWC",F875="GWC"),1,0.7)+Settings!$B$7*IF(N875="Supports",1,IF(N875="Conflicts",0,0.5))+Settings!$B$8*IF(AND(Master_Data!R875&lt;&gt;"",Master_Data!S875&lt;&gt;"",Master_Data!R876&lt;&gt;"",Master_Data!S876&lt;&gt;""),1,0.5))</f>
        <v/>
      </c>
      <c r="P875" s="19">
        <f>IF(G875="","",IF(N875="Conflicts","SW_CONFLICT",IF(OR(F875="GOC",F875="OWC",F875="GWC"),"DIRECT_FLUID_TRANSITION","TRANSITION_INTERVAL")))</f>
        <v/>
      </c>
      <c r="Q875" s="19">
        <f>IF(G875="","",IF(N875="Conflicts","Investigate contact interpretation / saturation behaviour",IF(OR(F875="OWC",F875="GOC",F875="GWC"),"Candidate contact — validate with logs, pressure and dynamic evidence","Transition zone — do not force to a sharp contact")))</f>
        <v/>
      </c>
    </row>
    <row r="876">
      <c r="A876" s="19">
        <f>IF(AND(Master_Data!A876&lt;&gt;"",Master_Data!A876=Master_Data!A877),Master_Data!A876,"")</f>
        <v/>
      </c>
      <c r="B876" s="19">
        <f>IF($A876="","",Master_Data!B876)</f>
        <v/>
      </c>
      <c r="C876" s="19">
        <f>IF($A876="","",Master_Data!B877)</f>
        <v/>
      </c>
      <c r="D876" s="19">
        <f>IF($A876="","",Master_Data!Q876)</f>
        <v/>
      </c>
      <c r="E876" s="19">
        <f>IF($A876="","",Master_Data!Q877)</f>
        <v/>
      </c>
      <c r="F876" s="19">
        <f>IF($A876="","",IF(AND(D876="GAS",E876="OIL"),"GOC",IF(AND(D876="OIL",E876="WATER"),"OWC",IF(AND(D876="GAS",E876="WATER"),"GWC",IF(AND(D876="OIL",E876="OIL_WATER"),"OWC_TRANSITION",IF(AND(D876="OIL_WATER",E876="WATER"),"OWC_TRANSITION",IF(AND(D876="GAS",E876="GAS_WATER"),"GOC_TRANSITION",IF(AND(D876="GAS_WATER",E876="OIL"),"GOC_TRANSITION",IF(OR(D876="OIL_WATER",D876="GAS_WATER"),"TRANSITION_INTERVAL","")))))))))</f>
        <v/>
      </c>
      <c r="G876" s="20">
        <f>IF(OR(F876="",Master_Data!R876="",Master_Data!S876=""),"",IF(RIGHT(F876,10)="TRANSITION",AVERAGE(Master_Data!R876:Master_Data!S876),AVERAGE(Master_Data!S876,Master_Data!R877)))</f>
        <v/>
      </c>
      <c r="H876" s="20">
        <f>IF(G876="","",MAX(Settings!$B$4,Settings!$B$5*AVERAGE(IF(Master_Data!O876&lt;&gt;"",Master_Data!O876,Master_Data!H876),IF(Master_Data!O877&lt;&gt;"",Master_Data!O877,Master_Data!H877))))</f>
        <v/>
      </c>
      <c r="I876" s="20">
        <f>IF(G876="","",G876-H876)</f>
        <v/>
      </c>
      <c r="J876" s="20">
        <f>IF(G876="","",G876+H876)</f>
        <v/>
      </c>
      <c r="K876" s="20">
        <f>IF($A876="","",Master_Data!G876)</f>
        <v/>
      </c>
      <c r="L876" s="20">
        <f>IF($A876="","",Master_Data!G877)</f>
        <v/>
      </c>
      <c r="M876" s="20">
        <f>IF(AND(ISNUMBER(K876),ISNUMBER(L876)),L876-K876,"")</f>
        <v/>
      </c>
      <c r="N876" s="19">
        <f>IF(G876="","",IF(AND(ISNUMBER(K876),ISNUMBER(L876)),IF(OR(F876="GOC",F876="OWC",F876="GWC",F876="OWC_TRANSITION",F876="GOC_TRANSITION"),IF(L876&gt;=K876,"Supports","Conflicts"),"N/A"),"No Sw"))</f>
        <v/>
      </c>
      <c r="O876" s="20">
        <f>IF(G876="","",Settings!$B$6*IF(OR(F876="GOC",F876="OWC",F876="GWC"),1,0.7)+Settings!$B$7*IF(N876="Supports",1,IF(N876="Conflicts",0,0.5))+Settings!$B$8*IF(AND(Master_Data!R876&lt;&gt;"",Master_Data!S876&lt;&gt;"",Master_Data!R877&lt;&gt;"",Master_Data!S877&lt;&gt;""),1,0.5))</f>
        <v/>
      </c>
      <c r="P876" s="19">
        <f>IF(G876="","",IF(N876="Conflicts","SW_CONFLICT",IF(OR(F876="GOC",F876="OWC",F876="GWC"),"DIRECT_FLUID_TRANSITION","TRANSITION_INTERVAL")))</f>
        <v/>
      </c>
      <c r="Q876" s="19">
        <f>IF(G876="","",IF(N876="Conflicts","Investigate contact interpretation / saturation behaviour",IF(OR(F876="OWC",F876="GOC",F876="GWC"),"Candidate contact — validate with logs, pressure and dynamic evidence","Transition zone — do not force to a sharp contact")))</f>
        <v/>
      </c>
    </row>
    <row r="877">
      <c r="A877" s="19">
        <f>IF(AND(Master_Data!A877&lt;&gt;"",Master_Data!A877=Master_Data!A878),Master_Data!A877,"")</f>
        <v/>
      </c>
      <c r="B877" s="19">
        <f>IF($A877="","",Master_Data!B877)</f>
        <v/>
      </c>
      <c r="C877" s="19">
        <f>IF($A877="","",Master_Data!B878)</f>
        <v/>
      </c>
      <c r="D877" s="19">
        <f>IF($A877="","",Master_Data!Q877)</f>
        <v/>
      </c>
      <c r="E877" s="19">
        <f>IF($A877="","",Master_Data!Q878)</f>
        <v/>
      </c>
      <c r="F877" s="19">
        <f>IF($A877="","",IF(AND(D877="GAS",E877="OIL"),"GOC",IF(AND(D877="OIL",E877="WATER"),"OWC",IF(AND(D877="GAS",E877="WATER"),"GWC",IF(AND(D877="OIL",E877="OIL_WATER"),"OWC_TRANSITION",IF(AND(D877="OIL_WATER",E877="WATER"),"OWC_TRANSITION",IF(AND(D877="GAS",E877="GAS_WATER"),"GOC_TRANSITION",IF(AND(D877="GAS_WATER",E877="OIL"),"GOC_TRANSITION",IF(OR(D877="OIL_WATER",D877="GAS_WATER"),"TRANSITION_INTERVAL","")))))))))</f>
        <v/>
      </c>
      <c r="G877" s="20">
        <f>IF(OR(F877="",Master_Data!R877="",Master_Data!S877=""),"",IF(RIGHT(F877,10)="TRANSITION",AVERAGE(Master_Data!R877:Master_Data!S877),AVERAGE(Master_Data!S877,Master_Data!R878)))</f>
        <v/>
      </c>
      <c r="H877" s="20">
        <f>IF(G877="","",MAX(Settings!$B$4,Settings!$B$5*AVERAGE(IF(Master_Data!O877&lt;&gt;"",Master_Data!O877,Master_Data!H877),IF(Master_Data!O878&lt;&gt;"",Master_Data!O878,Master_Data!H878))))</f>
        <v/>
      </c>
      <c r="I877" s="20">
        <f>IF(G877="","",G877-H877)</f>
        <v/>
      </c>
      <c r="J877" s="20">
        <f>IF(G877="","",G877+H877)</f>
        <v/>
      </c>
      <c r="K877" s="20">
        <f>IF($A877="","",Master_Data!G877)</f>
        <v/>
      </c>
      <c r="L877" s="20">
        <f>IF($A877="","",Master_Data!G878)</f>
        <v/>
      </c>
      <c r="M877" s="20">
        <f>IF(AND(ISNUMBER(K877),ISNUMBER(L877)),L877-K877,"")</f>
        <v/>
      </c>
      <c r="N877" s="19">
        <f>IF(G877="","",IF(AND(ISNUMBER(K877),ISNUMBER(L877)),IF(OR(F877="GOC",F877="OWC",F877="GWC",F877="OWC_TRANSITION",F877="GOC_TRANSITION"),IF(L877&gt;=K877,"Supports","Conflicts"),"N/A"),"No Sw"))</f>
        <v/>
      </c>
      <c r="O877" s="20">
        <f>IF(G877="","",Settings!$B$6*IF(OR(F877="GOC",F877="OWC",F877="GWC"),1,0.7)+Settings!$B$7*IF(N877="Supports",1,IF(N877="Conflicts",0,0.5))+Settings!$B$8*IF(AND(Master_Data!R877&lt;&gt;"",Master_Data!S877&lt;&gt;"",Master_Data!R878&lt;&gt;"",Master_Data!S878&lt;&gt;""),1,0.5))</f>
        <v/>
      </c>
      <c r="P877" s="19">
        <f>IF(G877="","",IF(N877="Conflicts","SW_CONFLICT",IF(OR(F877="GOC",F877="OWC",F877="GWC"),"DIRECT_FLUID_TRANSITION","TRANSITION_INTERVAL")))</f>
        <v/>
      </c>
      <c r="Q877" s="19">
        <f>IF(G877="","",IF(N877="Conflicts","Investigate contact interpretation / saturation behaviour",IF(OR(F877="OWC",F877="GOC",F877="GWC"),"Candidate contact — validate with logs, pressure and dynamic evidence","Transition zone — do not force to a sharp contact")))</f>
        <v/>
      </c>
    </row>
    <row r="878">
      <c r="A878" s="19">
        <f>IF(AND(Master_Data!A878&lt;&gt;"",Master_Data!A878=Master_Data!A879),Master_Data!A878,"")</f>
        <v/>
      </c>
      <c r="B878" s="19">
        <f>IF($A878="","",Master_Data!B878)</f>
        <v/>
      </c>
      <c r="C878" s="19">
        <f>IF($A878="","",Master_Data!B879)</f>
        <v/>
      </c>
      <c r="D878" s="19">
        <f>IF($A878="","",Master_Data!Q878)</f>
        <v/>
      </c>
      <c r="E878" s="19">
        <f>IF($A878="","",Master_Data!Q879)</f>
        <v/>
      </c>
      <c r="F878" s="19">
        <f>IF($A878="","",IF(AND(D878="GAS",E878="OIL"),"GOC",IF(AND(D878="OIL",E878="WATER"),"OWC",IF(AND(D878="GAS",E878="WATER"),"GWC",IF(AND(D878="OIL",E878="OIL_WATER"),"OWC_TRANSITION",IF(AND(D878="OIL_WATER",E878="WATER"),"OWC_TRANSITION",IF(AND(D878="GAS",E878="GAS_WATER"),"GOC_TRANSITION",IF(AND(D878="GAS_WATER",E878="OIL"),"GOC_TRANSITION",IF(OR(D878="OIL_WATER",D878="GAS_WATER"),"TRANSITION_INTERVAL","")))))))))</f>
        <v/>
      </c>
      <c r="G878" s="20">
        <f>IF(OR(F878="",Master_Data!R878="",Master_Data!S878=""),"",IF(RIGHT(F878,10)="TRANSITION",AVERAGE(Master_Data!R878:Master_Data!S878),AVERAGE(Master_Data!S878,Master_Data!R879)))</f>
        <v/>
      </c>
      <c r="H878" s="20">
        <f>IF(G878="","",MAX(Settings!$B$4,Settings!$B$5*AVERAGE(IF(Master_Data!O878&lt;&gt;"",Master_Data!O878,Master_Data!H878),IF(Master_Data!O879&lt;&gt;"",Master_Data!O879,Master_Data!H879))))</f>
        <v/>
      </c>
      <c r="I878" s="20">
        <f>IF(G878="","",G878-H878)</f>
        <v/>
      </c>
      <c r="J878" s="20">
        <f>IF(G878="","",G878+H878)</f>
        <v/>
      </c>
      <c r="K878" s="20">
        <f>IF($A878="","",Master_Data!G878)</f>
        <v/>
      </c>
      <c r="L878" s="20">
        <f>IF($A878="","",Master_Data!G879)</f>
        <v/>
      </c>
      <c r="M878" s="20">
        <f>IF(AND(ISNUMBER(K878),ISNUMBER(L878)),L878-K878,"")</f>
        <v/>
      </c>
      <c r="N878" s="19">
        <f>IF(G878="","",IF(AND(ISNUMBER(K878),ISNUMBER(L878)),IF(OR(F878="GOC",F878="OWC",F878="GWC",F878="OWC_TRANSITION",F878="GOC_TRANSITION"),IF(L878&gt;=K878,"Supports","Conflicts"),"N/A"),"No Sw"))</f>
        <v/>
      </c>
      <c r="O878" s="20">
        <f>IF(G878="","",Settings!$B$6*IF(OR(F878="GOC",F878="OWC",F878="GWC"),1,0.7)+Settings!$B$7*IF(N878="Supports",1,IF(N878="Conflicts",0,0.5))+Settings!$B$8*IF(AND(Master_Data!R878&lt;&gt;"",Master_Data!S878&lt;&gt;"",Master_Data!R879&lt;&gt;"",Master_Data!S879&lt;&gt;""),1,0.5))</f>
        <v/>
      </c>
      <c r="P878" s="19">
        <f>IF(G878="","",IF(N878="Conflicts","SW_CONFLICT",IF(OR(F878="GOC",F878="OWC",F878="GWC"),"DIRECT_FLUID_TRANSITION","TRANSITION_INTERVAL")))</f>
        <v/>
      </c>
      <c r="Q878" s="19">
        <f>IF(G878="","",IF(N878="Conflicts","Investigate contact interpretation / saturation behaviour",IF(OR(F878="OWC",F878="GOC",F878="GWC"),"Candidate contact — validate with logs, pressure and dynamic evidence","Transition zone — do not force to a sharp contact")))</f>
        <v/>
      </c>
    </row>
    <row r="879">
      <c r="A879" s="19">
        <f>IF(AND(Master_Data!A879&lt;&gt;"",Master_Data!A879=Master_Data!A880),Master_Data!A879,"")</f>
        <v/>
      </c>
      <c r="B879" s="19">
        <f>IF($A879="","",Master_Data!B879)</f>
        <v/>
      </c>
      <c r="C879" s="19">
        <f>IF($A879="","",Master_Data!B880)</f>
        <v/>
      </c>
      <c r="D879" s="19">
        <f>IF($A879="","",Master_Data!Q879)</f>
        <v/>
      </c>
      <c r="E879" s="19">
        <f>IF($A879="","",Master_Data!Q880)</f>
        <v/>
      </c>
      <c r="F879" s="19">
        <f>IF($A879="","",IF(AND(D879="GAS",E879="OIL"),"GOC",IF(AND(D879="OIL",E879="WATER"),"OWC",IF(AND(D879="GAS",E879="WATER"),"GWC",IF(AND(D879="OIL",E879="OIL_WATER"),"OWC_TRANSITION",IF(AND(D879="OIL_WATER",E879="WATER"),"OWC_TRANSITION",IF(AND(D879="GAS",E879="GAS_WATER"),"GOC_TRANSITION",IF(AND(D879="GAS_WATER",E879="OIL"),"GOC_TRANSITION",IF(OR(D879="OIL_WATER",D879="GAS_WATER"),"TRANSITION_INTERVAL","")))))))))</f>
        <v/>
      </c>
      <c r="G879" s="20">
        <f>IF(OR(F879="",Master_Data!R879="",Master_Data!S879=""),"",IF(RIGHT(F879,10)="TRANSITION",AVERAGE(Master_Data!R879:Master_Data!S879),AVERAGE(Master_Data!S879,Master_Data!R880)))</f>
        <v/>
      </c>
      <c r="H879" s="20">
        <f>IF(G879="","",MAX(Settings!$B$4,Settings!$B$5*AVERAGE(IF(Master_Data!O879&lt;&gt;"",Master_Data!O879,Master_Data!H879),IF(Master_Data!O880&lt;&gt;"",Master_Data!O880,Master_Data!H880))))</f>
        <v/>
      </c>
      <c r="I879" s="20">
        <f>IF(G879="","",G879-H879)</f>
        <v/>
      </c>
      <c r="J879" s="20">
        <f>IF(G879="","",G879+H879)</f>
        <v/>
      </c>
      <c r="K879" s="20">
        <f>IF($A879="","",Master_Data!G879)</f>
        <v/>
      </c>
      <c r="L879" s="20">
        <f>IF($A879="","",Master_Data!G880)</f>
        <v/>
      </c>
      <c r="M879" s="20">
        <f>IF(AND(ISNUMBER(K879),ISNUMBER(L879)),L879-K879,"")</f>
        <v/>
      </c>
      <c r="N879" s="19">
        <f>IF(G879="","",IF(AND(ISNUMBER(K879),ISNUMBER(L879)),IF(OR(F879="GOC",F879="OWC",F879="GWC",F879="OWC_TRANSITION",F879="GOC_TRANSITION"),IF(L879&gt;=K879,"Supports","Conflicts"),"N/A"),"No Sw"))</f>
        <v/>
      </c>
      <c r="O879" s="20">
        <f>IF(G879="","",Settings!$B$6*IF(OR(F879="GOC",F879="OWC",F879="GWC"),1,0.7)+Settings!$B$7*IF(N879="Supports",1,IF(N879="Conflicts",0,0.5))+Settings!$B$8*IF(AND(Master_Data!R879&lt;&gt;"",Master_Data!S879&lt;&gt;"",Master_Data!R880&lt;&gt;"",Master_Data!S880&lt;&gt;""),1,0.5))</f>
        <v/>
      </c>
      <c r="P879" s="19">
        <f>IF(G879="","",IF(N879="Conflicts","SW_CONFLICT",IF(OR(F879="GOC",F879="OWC",F879="GWC"),"DIRECT_FLUID_TRANSITION","TRANSITION_INTERVAL")))</f>
        <v/>
      </c>
      <c r="Q879" s="19">
        <f>IF(G879="","",IF(N879="Conflicts","Investigate contact interpretation / saturation behaviour",IF(OR(F879="OWC",F879="GOC",F879="GWC"),"Candidate contact — validate with logs, pressure and dynamic evidence","Transition zone — do not force to a sharp contact")))</f>
        <v/>
      </c>
    </row>
    <row r="880">
      <c r="A880" s="19">
        <f>IF(AND(Master_Data!A880&lt;&gt;"",Master_Data!A880=Master_Data!A881),Master_Data!A880,"")</f>
        <v/>
      </c>
      <c r="B880" s="19">
        <f>IF($A880="","",Master_Data!B880)</f>
        <v/>
      </c>
      <c r="C880" s="19">
        <f>IF($A880="","",Master_Data!B881)</f>
        <v/>
      </c>
      <c r="D880" s="19">
        <f>IF($A880="","",Master_Data!Q880)</f>
        <v/>
      </c>
      <c r="E880" s="19">
        <f>IF($A880="","",Master_Data!Q881)</f>
        <v/>
      </c>
      <c r="F880" s="19">
        <f>IF($A880="","",IF(AND(D880="GAS",E880="OIL"),"GOC",IF(AND(D880="OIL",E880="WATER"),"OWC",IF(AND(D880="GAS",E880="WATER"),"GWC",IF(AND(D880="OIL",E880="OIL_WATER"),"OWC_TRANSITION",IF(AND(D880="OIL_WATER",E880="WATER"),"OWC_TRANSITION",IF(AND(D880="GAS",E880="GAS_WATER"),"GOC_TRANSITION",IF(AND(D880="GAS_WATER",E880="OIL"),"GOC_TRANSITION",IF(OR(D880="OIL_WATER",D880="GAS_WATER"),"TRANSITION_INTERVAL","")))))))))</f>
        <v/>
      </c>
      <c r="G880" s="20">
        <f>IF(OR(F880="",Master_Data!R880="",Master_Data!S880=""),"",IF(RIGHT(F880,10)="TRANSITION",AVERAGE(Master_Data!R880:Master_Data!S880),AVERAGE(Master_Data!S880,Master_Data!R881)))</f>
        <v/>
      </c>
      <c r="H880" s="20">
        <f>IF(G880="","",MAX(Settings!$B$4,Settings!$B$5*AVERAGE(IF(Master_Data!O880&lt;&gt;"",Master_Data!O880,Master_Data!H880),IF(Master_Data!O881&lt;&gt;"",Master_Data!O881,Master_Data!H881))))</f>
        <v/>
      </c>
      <c r="I880" s="20">
        <f>IF(G880="","",G880-H880)</f>
        <v/>
      </c>
      <c r="J880" s="20">
        <f>IF(G880="","",G880+H880)</f>
        <v/>
      </c>
      <c r="K880" s="20">
        <f>IF($A880="","",Master_Data!G880)</f>
        <v/>
      </c>
      <c r="L880" s="20">
        <f>IF($A880="","",Master_Data!G881)</f>
        <v/>
      </c>
      <c r="M880" s="20">
        <f>IF(AND(ISNUMBER(K880),ISNUMBER(L880)),L880-K880,"")</f>
        <v/>
      </c>
      <c r="N880" s="19">
        <f>IF(G880="","",IF(AND(ISNUMBER(K880),ISNUMBER(L880)),IF(OR(F880="GOC",F880="OWC",F880="GWC",F880="OWC_TRANSITION",F880="GOC_TRANSITION"),IF(L880&gt;=K880,"Supports","Conflicts"),"N/A"),"No Sw"))</f>
        <v/>
      </c>
      <c r="O880" s="20">
        <f>IF(G880="","",Settings!$B$6*IF(OR(F880="GOC",F880="OWC",F880="GWC"),1,0.7)+Settings!$B$7*IF(N880="Supports",1,IF(N880="Conflicts",0,0.5))+Settings!$B$8*IF(AND(Master_Data!R880&lt;&gt;"",Master_Data!S880&lt;&gt;"",Master_Data!R881&lt;&gt;"",Master_Data!S881&lt;&gt;""),1,0.5))</f>
        <v/>
      </c>
      <c r="P880" s="19">
        <f>IF(G880="","",IF(N880="Conflicts","SW_CONFLICT",IF(OR(F880="GOC",F880="OWC",F880="GWC"),"DIRECT_FLUID_TRANSITION","TRANSITION_INTERVAL")))</f>
        <v/>
      </c>
      <c r="Q880" s="19">
        <f>IF(G880="","",IF(N880="Conflicts","Investigate contact interpretation / saturation behaviour",IF(OR(F880="OWC",F880="GOC",F880="GWC"),"Candidate contact — validate with logs, pressure and dynamic evidence","Transition zone — do not force to a sharp contact")))</f>
        <v/>
      </c>
    </row>
    <row r="881">
      <c r="A881" s="19">
        <f>IF(AND(Master_Data!A881&lt;&gt;"",Master_Data!A881=Master_Data!A882),Master_Data!A881,"")</f>
        <v/>
      </c>
      <c r="B881" s="19">
        <f>IF($A881="","",Master_Data!B881)</f>
        <v/>
      </c>
      <c r="C881" s="19">
        <f>IF($A881="","",Master_Data!B882)</f>
        <v/>
      </c>
      <c r="D881" s="19">
        <f>IF($A881="","",Master_Data!Q881)</f>
        <v/>
      </c>
      <c r="E881" s="19">
        <f>IF($A881="","",Master_Data!Q882)</f>
        <v/>
      </c>
      <c r="F881" s="19">
        <f>IF($A881="","",IF(AND(D881="GAS",E881="OIL"),"GOC",IF(AND(D881="OIL",E881="WATER"),"OWC",IF(AND(D881="GAS",E881="WATER"),"GWC",IF(AND(D881="OIL",E881="OIL_WATER"),"OWC_TRANSITION",IF(AND(D881="OIL_WATER",E881="WATER"),"OWC_TRANSITION",IF(AND(D881="GAS",E881="GAS_WATER"),"GOC_TRANSITION",IF(AND(D881="GAS_WATER",E881="OIL"),"GOC_TRANSITION",IF(OR(D881="OIL_WATER",D881="GAS_WATER"),"TRANSITION_INTERVAL","")))))))))</f>
        <v/>
      </c>
      <c r="G881" s="20">
        <f>IF(OR(F881="",Master_Data!R881="",Master_Data!S881=""),"",IF(RIGHT(F881,10)="TRANSITION",AVERAGE(Master_Data!R881:Master_Data!S881),AVERAGE(Master_Data!S881,Master_Data!R882)))</f>
        <v/>
      </c>
      <c r="H881" s="20">
        <f>IF(G881="","",MAX(Settings!$B$4,Settings!$B$5*AVERAGE(IF(Master_Data!O881&lt;&gt;"",Master_Data!O881,Master_Data!H881),IF(Master_Data!O882&lt;&gt;"",Master_Data!O882,Master_Data!H882))))</f>
        <v/>
      </c>
      <c r="I881" s="20">
        <f>IF(G881="","",G881-H881)</f>
        <v/>
      </c>
      <c r="J881" s="20">
        <f>IF(G881="","",G881+H881)</f>
        <v/>
      </c>
      <c r="K881" s="20">
        <f>IF($A881="","",Master_Data!G881)</f>
        <v/>
      </c>
      <c r="L881" s="20">
        <f>IF($A881="","",Master_Data!G882)</f>
        <v/>
      </c>
      <c r="M881" s="20">
        <f>IF(AND(ISNUMBER(K881),ISNUMBER(L881)),L881-K881,"")</f>
        <v/>
      </c>
      <c r="N881" s="19">
        <f>IF(G881="","",IF(AND(ISNUMBER(K881),ISNUMBER(L881)),IF(OR(F881="GOC",F881="OWC",F881="GWC",F881="OWC_TRANSITION",F881="GOC_TRANSITION"),IF(L881&gt;=K881,"Supports","Conflicts"),"N/A"),"No Sw"))</f>
        <v/>
      </c>
      <c r="O881" s="20">
        <f>IF(G881="","",Settings!$B$6*IF(OR(F881="GOC",F881="OWC",F881="GWC"),1,0.7)+Settings!$B$7*IF(N881="Supports",1,IF(N881="Conflicts",0,0.5))+Settings!$B$8*IF(AND(Master_Data!R881&lt;&gt;"",Master_Data!S881&lt;&gt;"",Master_Data!R882&lt;&gt;"",Master_Data!S882&lt;&gt;""),1,0.5))</f>
        <v/>
      </c>
      <c r="P881" s="19">
        <f>IF(G881="","",IF(N881="Conflicts","SW_CONFLICT",IF(OR(F881="GOC",F881="OWC",F881="GWC"),"DIRECT_FLUID_TRANSITION","TRANSITION_INTERVAL")))</f>
        <v/>
      </c>
      <c r="Q881" s="19">
        <f>IF(G881="","",IF(N881="Conflicts","Investigate contact interpretation / saturation behaviour",IF(OR(F881="OWC",F881="GOC",F881="GWC"),"Candidate contact — validate with logs, pressure and dynamic evidence","Transition zone — do not force to a sharp contact")))</f>
        <v/>
      </c>
    </row>
    <row r="882">
      <c r="A882" s="19">
        <f>IF(AND(Master_Data!A882&lt;&gt;"",Master_Data!A882=Master_Data!A883),Master_Data!A882,"")</f>
        <v/>
      </c>
      <c r="B882" s="19">
        <f>IF($A882="","",Master_Data!B882)</f>
        <v/>
      </c>
      <c r="C882" s="19">
        <f>IF($A882="","",Master_Data!B883)</f>
        <v/>
      </c>
      <c r="D882" s="19">
        <f>IF($A882="","",Master_Data!Q882)</f>
        <v/>
      </c>
      <c r="E882" s="19">
        <f>IF($A882="","",Master_Data!Q883)</f>
        <v/>
      </c>
      <c r="F882" s="19">
        <f>IF($A882="","",IF(AND(D882="GAS",E882="OIL"),"GOC",IF(AND(D882="OIL",E882="WATER"),"OWC",IF(AND(D882="GAS",E882="WATER"),"GWC",IF(AND(D882="OIL",E882="OIL_WATER"),"OWC_TRANSITION",IF(AND(D882="OIL_WATER",E882="WATER"),"OWC_TRANSITION",IF(AND(D882="GAS",E882="GAS_WATER"),"GOC_TRANSITION",IF(AND(D882="GAS_WATER",E882="OIL"),"GOC_TRANSITION",IF(OR(D882="OIL_WATER",D882="GAS_WATER"),"TRANSITION_INTERVAL","")))))))))</f>
        <v/>
      </c>
      <c r="G882" s="20">
        <f>IF(OR(F882="",Master_Data!R882="",Master_Data!S882=""),"",IF(RIGHT(F882,10)="TRANSITION",AVERAGE(Master_Data!R882:Master_Data!S882),AVERAGE(Master_Data!S882,Master_Data!R883)))</f>
        <v/>
      </c>
      <c r="H882" s="20">
        <f>IF(G882="","",MAX(Settings!$B$4,Settings!$B$5*AVERAGE(IF(Master_Data!O882&lt;&gt;"",Master_Data!O882,Master_Data!H882),IF(Master_Data!O883&lt;&gt;"",Master_Data!O883,Master_Data!H883))))</f>
        <v/>
      </c>
      <c r="I882" s="20">
        <f>IF(G882="","",G882-H882)</f>
        <v/>
      </c>
      <c r="J882" s="20">
        <f>IF(G882="","",G882+H882)</f>
        <v/>
      </c>
      <c r="K882" s="20">
        <f>IF($A882="","",Master_Data!G882)</f>
        <v/>
      </c>
      <c r="L882" s="20">
        <f>IF($A882="","",Master_Data!G883)</f>
        <v/>
      </c>
      <c r="M882" s="20">
        <f>IF(AND(ISNUMBER(K882),ISNUMBER(L882)),L882-K882,"")</f>
        <v/>
      </c>
      <c r="N882" s="19">
        <f>IF(G882="","",IF(AND(ISNUMBER(K882),ISNUMBER(L882)),IF(OR(F882="GOC",F882="OWC",F882="GWC",F882="OWC_TRANSITION",F882="GOC_TRANSITION"),IF(L882&gt;=K882,"Supports","Conflicts"),"N/A"),"No Sw"))</f>
        <v/>
      </c>
      <c r="O882" s="20">
        <f>IF(G882="","",Settings!$B$6*IF(OR(F882="GOC",F882="OWC",F882="GWC"),1,0.7)+Settings!$B$7*IF(N882="Supports",1,IF(N882="Conflicts",0,0.5))+Settings!$B$8*IF(AND(Master_Data!R882&lt;&gt;"",Master_Data!S882&lt;&gt;"",Master_Data!R883&lt;&gt;"",Master_Data!S883&lt;&gt;""),1,0.5))</f>
        <v/>
      </c>
      <c r="P882" s="19">
        <f>IF(G882="","",IF(N882="Conflicts","SW_CONFLICT",IF(OR(F882="GOC",F882="OWC",F882="GWC"),"DIRECT_FLUID_TRANSITION","TRANSITION_INTERVAL")))</f>
        <v/>
      </c>
      <c r="Q882" s="19">
        <f>IF(G882="","",IF(N882="Conflicts","Investigate contact interpretation / saturation behaviour",IF(OR(F882="OWC",F882="GOC",F882="GWC"),"Candidate contact — validate with logs, pressure and dynamic evidence","Transition zone — do not force to a sharp contact")))</f>
        <v/>
      </c>
    </row>
    <row r="883">
      <c r="A883" s="19">
        <f>IF(AND(Master_Data!A883&lt;&gt;"",Master_Data!A883=Master_Data!A884),Master_Data!A883,"")</f>
        <v/>
      </c>
      <c r="B883" s="19">
        <f>IF($A883="","",Master_Data!B883)</f>
        <v/>
      </c>
      <c r="C883" s="19">
        <f>IF($A883="","",Master_Data!B884)</f>
        <v/>
      </c>
      <c r="D883" s="19">
        <f>IF($A883="","",Master_Data!Q883)</f>
        <v/>
      </c>
      <c r="E883" s="19">
        <f>IF($A883="","",Master_Data!Q884)</f>
        <v/>
      </c>
      <c r="F883" s="19">
        <f>IF($A883="","",IF(AND(D883="GAS",E883="OIL"),"GOC",IF(AND(D883="OIL",E883="WATER"),"OWC",IF(AND(D883="GAS",E883="WATER"),"GWC",IF(AND(D883="OIL",E883="OIL_WATER"),"OWC_TRANSITION",IF(AND(D883="OIL_WATER",E883="WATER"),"OWC_TRANSITION",IF(AND(D883="GAS",E883="GAS_WATER"),"GOC_TRANSITION",IF(AND(D883="GAS_WATER",E883="OIL"),"GOC_TRANSITION",IF(OR(D883="OIL_WATER",D883="GAS_WATER"),"TRANSITION_INTERVAL","")))))))))</f>
        <v/>
      </c>
      <c r="G883" s="20">
        <f>IF(OR(F883="",Master_Data!R883="",Master_Data!S883=""),"",IF(RIGHT(F883,10)="TRANSITION",AVERAGE(Master_Data!R883:Master_Data!S883),AVERAGE(Master_Data!S883,Master_Data!R884)))</f>
        <v/>
      </c>
      <c r="H883" s="20">
        <f>IF(G883="","",MAX(Settings!$B$4,Settings!$B$5*AVERAGE(IF(Master_Data!O883&lt;&gt;"",Master_Data!O883,Master_Data!H883),IF(Master_Data!O884&lt;&gt;"",Master_Data!O884,Master_Data!H884))))</f>
        <v/>
      </c>
      <c r="I883" s="20">
        <f>IF(G883="","",G883-H883)</f>
        <v/>
      </c>
      <c r="J883" s="20">
        <f>IF(G883="","",G883+H883)</f>
        <v/>
      </c>
      <c r="K883" s="20">
        <f>IF($A883="","",Master_Data!G883)</f>
        <v/>
      </c>
      <c r="L883" s="20">
        <f>IF($A883="","",Master_Data!G884)</f>
        <v/>
      </c>
      <c r="M883" s="20">
        <f>IF(AND(ISNUMBER(K883),ISNUMBER(L883)),L883-K883,"")</f>
        <v/>
      </c>
      <c r="N883" s="19">
        <f>IF(G883="","",IF(AND(ISNUMBER(K883),ISNUMBER(L883)),IF(OR(F883="GOC",F883="OWC",F883="GWC",F883="OWC_TRANSITION",F883="GOC_TRANSITION"),IF(L883&gt;=K883,"Supports","Conflicts"),"N/A"),"No Sw"))</f>
        <v/>
      </c>
      <c r="O883" s="20">
        <f>IF(G883="","",Settings!$B$6*IF(OR(F883="GOC",F883="OWC",F883="GWC"),1,0.7)+Settings!$B$7*IF(N883="Supports",1,IF(N883="Conflicts",0,0.5))+Settings!$B$8*IF(AND(Master_Data!R883&lt;&gt;"",Master_Data!S883&lt;&gt;"",Master_Data!R884&lt;&gt;"",Master_Data!S884&lt;&gt;""),1,0.5))</f>
        <v/>
      </c>
      <c r="P883" s="19">
        <f>IF(G883="","",IF(N883="Conflicts","SW_CONFLICT",IF(OR(F883="GOC",F883="OWC",F883="GWC"),"DIRECT_FLUID_TRANSITION","TRANSITION_INTERVAL")))</f>
        <v/>
      </c>
      <c r="Q883" s="19">
        <f>IF(G883="","",IF(N883="Conflicts","Investigate contact interpretation / saturation behaviour",IF(OR(F883="OWC",F883="GOC",F883="GWC"),"Candidate contact — validate with logs, pressure and dynamic evidence","Transition zone — do not force to a sharp contact")))</f>
        <v/>
      </c>
    </row>
    <row r="884">
      <c r="A884" s="19">
        <f>IF(AND(Master_Data!A884&lt;&gt;"",Master_Data!A884=Master_Data!A885),Master_Data!A884,"")</f>
        <v/>
      </c>
      <c r="B884" s="19">
        <f>IF($A884="","",Master_Data!B884)</f>
        <v/>
      </c>
      <c r="C884" s="19">
        <f>IF($A884="","",Master_Data!B885)</f>
        <v/>
      </c>
      <c r="D884" s="19">
        <f>IF($A884="","",Master_Data!Q884)</f>
        <v/>
      </c>
      <c r="E884" s="19">
        <f>IF($A884="","",Master_Data!Q885)</f>
        <v/>
      </c>
      <c r="F884" s="19">
        <f>IF($A884="","",IF(AND(D884="GAS",E884="OIL"),"GOC",IF(AND(D884="OIL",E884="WATER"),"OWC",IF(AND(D884="GAS",E884="WATER"),"GWC",IF(AND(D884="OIL",E884="OIL_WATER"),"OWC_TRANSITION",IF(AND(D884="OIL_WATER",E884="WATER"),"OWC_TRANSITION",IF(AND(D884="GAS",E884="GAS_WATER"),"GOC_TRANSITION",IF(AND(D884="GAS_WATER",E884="OIL"),"GOC_TRANSITION",IF(OR(D884="OIL_WATER",D884="GAS_WATER"),"TRANSITION_INTERVAL","")))))))))</f>
        <v/>
      </c>
      <c r="G884" s="20">
        <f>IF(OR(F884="",Master_Data!R884="",Master_Data!S884=""),"",IF(RIGHT(F884,10)="TRANSITION",AVERAGE(Master_Data!R884:Master_Data!S884),AVERAGE(Master_Data!S884,Master_Data!R885)))</f>
        <v/>
      </c>
      <c r="H884" s="20">
        <f>IF(G884="","",MAX(Settings!$B$4,Settings!$B$5*AVERAGE(IF(Master_Data!O884&lt;&gt;"",Master_Data!O884,Master_Data!H884),IF(Master_Data!O885&lt;&gt;"",Master_Data!O885,Master_Data!H885))))</f>
        <v/>
      </c>
      <c r="I884" s="20">
        <f>IF(G884="","",G884-H884)</f>
        <v/>
      </c>
      <c r="J884" s="20">
        <f>IF(G884="","",G884+H884)</f>
        <v/>
      </c>
      <c r="K884" s="20">
        <f>IF($A884="","",Master_Data!G884)</f>
        <v/>
      </c>
      <c r="L884" s="20">
        <f>IF($A884="","",Master_Data!G885)</f>
        <v/>
      </c>
      <c r="M884" s="20">
        <f>IF(AND(ISNUMBER(K884),ISNUMBER(L884)),L884-K884,"")</f>
        <v/>
      </c>
      <c r="N884" s="19">
        <f>IF(G884="","",IF(AND(ISNUMBER(K884),ISNUMBER(L884)),IF(OR(F884="GOC",F884="OWC",F884="GWC",F884="OWC_TRANSITION",F884="GOC_TRANSITION"),IF(L884&gt;=K884,"Supports","Conflicts"),"N/A"),"No Sw"))</f>
        <v/>
      </c>
      <c r="O884" s="20">
        <f>IF(G884="","",Settings!$B$6*IF(OR(F884="GOC",F884="OWC",F884="GWC"),1,0.7)+Settings!$B$7*IF(N884="Supports",1,IF(N884="Conflicts",0,0.5))+Settings!$B$8*IF(AND(Master_Data!R884&lt;&gt;"",Master_Data!S884&lt;&gt;"",Master_Data!R885&lt;&gt;"",Master_Data!S885&lt;&gt;""),1,0.5))</f>
        <v/>
      </c>
      <c r="P884" s="19">
        <f>IF(G884="","",IF(N884="Conflicts","SW_CONFLICT",IF(OR(F884="GOC",F884="OWC",F884="GWC"),"DIRECT_FLUID_TRANSITION","TRANSITION_INTERVAL")))</f>
        <v/>
      </c>
      <c r="Q884" s="19">
        <f>IF(G884="","",IF(N884="Conflicts","Investigate contact interpretation / saturation behaviour",IF(OR(F884="OWC",F884="GOC",F884="GWC"),"Candidate contact — validate with logs, pressure and dynamic evidence","Transition zone — do not force to a sharp contact")))</f>
        <v/>
      </c>
    </row>
    <row r="885">
      <c r="A885" s="19">
        <f>IF(AND(Master_Data!A885&lt;&gt;"",Master_Data!A885=Master_Data!A886),Master_Data!A885,"")</f>
        <v/>
      </c>
      <c r="B885" s="19">
        <f>IF($A885="","",Master_Data!B885)</f>
        <v/>
      </c>
      <c r="C885" s="19">
        <f>IF($A885="","",Master_Data!B886)</f>
        <v/>
      </c>
      <c r="D885" s="19">
        <f>IF($A885="","",Master_Data!Q885)</f>
        <v/>
      </c>
      <c r="E885" s="19">
        <f>IF($A885="","",Master_Data!Q886)</f>
        <v/>
      </c>
      <c r="F885" s="19">
        <f>IF($A885="","",IF(AND(D885="GAS",E885="OIL"),"GOC",IF(AND(D885="OIL",E885="WATER"),"OWC",IF(AND(D885="GAS",E885="WATER"),"GWC",IF(AND(D885="OIL",E885="OIL_WATER"),"OWC_TRANSITION",IF(AND(D885="OIL_WATER",E885="WATER"),"OWC_TRANSITION",IF(AND(D885="GAS",E885="GAS_WATER"),"GOC_TRANSITION",IF(AND(D885="GAS_WATER",E885="OIL"),"GOC_TRANSITION",IF(OR(D885="OIL_WATER",D885="GAS_WATER"),"TRANSITION_INTERVAL","")))))))))</f>
        <v/>
      </c>
      <c r="G885" s="20">
        <f>IF(OR(F885="",Master_Data!R885="",Master_Data!S885=""),"",IF(RIGHT(F885,10)="TRANSITION",AVERAGE(Master_Data!R885:Master_Data!S885),AVERAGE(Master_Data!S885,Master_Data!R886)))</f>
        <v/>
      </c>
      <c r="H885" s="20">
        <f>IF(G885="","",MAX(Settings!$B$4,Settings!$B$5*AVERAGE(IF(Master_Data!O885&lt;&gt;"",Master_Data!O885,Master_Data!H885),IF(Master_Data!O886&lt;&gt;"",Master_Data!O886,Master_Data!H886))))</f>
        <v/>
      </c>
      <c r="I885" s="20">
        <f>IF(G885="","",G885-H885)</f>
        <v/>
      </c>
      <c r="J885" s="20">
        <f>IF(G885="","",G885+H885)</f>
        <v/>
      </c>
      <c r="K885" s="20">
        <f>IF($A885="","",Master_Data!G885)</f>
        <v/>
      </c>
      <c r="L885" s="20">
        <f>IF($A885="","",Master_Data!G886)</f>
        <v/>
      </c>
      <c r="M885" s="20">
        <f>IF(AND(ISNUMBER(K885),ISNUMBER(L885)),L885-K885,"")</f>
        <v/>
      </c>
      <c r="N885" s="19">
        <f>IF(G885="","",IF(AND(ISNUMBER(K885),ISNUMBER(L885)),IF(OR(F885="GOC",F885="OWC",F885="GWC",F885="OWC_TRANSITION",F885="GOC_TRANSITION"),IF(L885&gt;=K885,"Supports","Conflicts"),"N/A"),"No Sw"))</f>
        <v/>
      </c>
      <c r="O885" s="20">
        <f>IF(G885="","",Settings!$B$6*IF(OR(F885="GOC",F885="OWC",F885="GWC"),1,0.7)+Settings!$B$7*IF(N885="Supports",1,IF(N885="Conflicts",0,0.5))+Settings!$B$8*IF(AND(Master_Data!R885&lt;&gt;"",Master_Data!S885&lt;&gt;"",Master_Data!R886&lt;&gt;"",Master_Data!S886&lt;&gt;""),1,0.5))</f>
        <v/>
      </c>
      <c r="P885" s="19">
        <f>IF(G885="","",IF(N885="Conflicts","SW_CONFLICT",IF(OR(F885="GOC",F885="OWC",F885="GWC"),"DIRECT_FLUID_TRANSITION","TRANSITION_INTERVAL")))</f>
        <v/>
      </c>
      <c r="Q885" s="19">
        <f>IF(G885="","",IF(N885="Conflicts","Investigate contact interpretation / saturation behaviour",IF(OR(F885="OWC",F885="GOC",F885="GWC"),"Candidate contact — validate with logs, pressure and dynamic evidence","Transition zone — do not force to a sharp contact")))</f>
        <v/>
      </c>
    </row>
    <row r="886">
      <c r="A886" s="19">
        <f>IF(AND(Master_Data!A886&lt;&gt;"",Master_Data!A886=Master_Data!A887),Master_Data!A886,"")</f>
        <v/>
      </c>
      <c r="B886" s="19">
        <f>IF($A886="","",Master_Data!B886)</f>
        <v/>
      </c>
      <c r="C886" s="19">
        <f>IF($A886="","",Master_Data!B887)</f>
        <v/>
      </c>
      <c r="D886" s="19">
        <f>IF($A886="","",Master_Data!Q886)</f>
        <v/>
      </c>
      <c r="E886" s="19">
        <f>IF($A886="","",Master_Data!Q887)</f>
        <v/>
      </c>
      <c r="F886" s="19">
        <f>IF($A886="","",IF(AND(D886="GAS",E886="OIL"),"GOC",IF(AND(D886="OIL",E886="WATER"),"OWC",IF(AND(D886="GAS",E886="WATER"),"GWC",IF(AND(D886="OIL",E886="OIL_WATER"),"OWC_TRANSITION",IF(AND(D886="OIL_WATER",E886="WATER"),"OWC_TRANSITION",IF(AND(D886="GAS",E886="GAS_WATER"),"GOC_TRANSITION",IF(AND(D886="GAS_WATER",E886="OIL"),"GOC_TRANSITION",IF(OR(D886="OIL_WATER",D886="GAS_WATER"),"TRANSITION_INTERVAL","")))))))))</f>
        <v/>
      </c>
      <c r="G886" s="20">
        <f>IF(OR(F886="",Master_Data!R886="",Master_Data!S886=""),"",IF(RIGHT(F886,10)="TRANSITION",AVERAGE(Master_Data!R886:Master_Data!S886),AVERAGE(Master_Data!S886,Master_Data!R887)))</f>
        <v/>
      </c>
      <c r="H886" s="20">
        <f>IF(G886="","",MAX(Settings!$B$4,Settings!$B$5*AVERAGE(IF(Master_Data!O886&lt;&gt;"",Master_Data!O886,Master_Data!H886),IF(Master_Data!O887&lt;&gt;"",Master_Data!O887,Master_Data!H887))))</f>
        <v/>
      </c>
      <c r="I886" s="20">
        <f>IF(G886="","",G886-H886)</f>
        <v/>
      </c>
      <c r="J886" s="20">
        <f>IF(G886="","",G886+H886)</f>
        <v/>
      </c>
      <c r="K886" s="20">
        <f>IF($A886="","",Master_Data!G886)</f>
        <v/>
      </c>
      <c r="L886" s="20">
        <f>IF($A886="","",Master_Data!G887)</f>
        <v/>
      </c>
      <c r="M886" s="20">
        <f>IF(AND(ISNUMBER(K886),ISNUMBER(L886)),L886-K886,"")</f>
        <v/>
      </c>
      <c r="N886" s="19">
        <f>IF(G886="","",IF(AND(ISNUMBER(K886),ISNUMBER(L886)),IF(OR(F886="GOC",F886="OWC",F886="GWC",F886="OWC_TRANSITION",F886="GOC_TRANSITION"),IF(L886&gt;=K886,"Supports","Conflicts"),"N/A"),"No Sw"))</f>
        <v/>
      </c>
      <c r="O886" s="20">
        <f>IF(G886="","",Settings!$B$6*IF(OR(F886="GOC",F886="OWC",F886="GWC"),1,0.7)+Settings!$B$7*IF(N886="Supports",1,IF(N886="Conflicts",0,0.5))+Settings!$B$8*IF(AND(Master_Data!R886&lt;&gt;"",Master_Data!S886&lt;&gt;"",Master_Data!R887&lt;&gt;"",Master_Data!S887&lt;&gt;""),1,0.5))</f>
        <v/>
      </c>
      <c r="P886" s="19">
        <f>IF(G886="","",IF(N886="Conflicts","SW_CONFLICT",IF(OR(F886="GOC",F886="OWC",F886="GWC"),"DIRECT_FLUID_TRANSITION","TRANSITION_INTERVAL")))</f>
        <v/>
      </c>
      <c r="Q886" s="19">
        <f>IF(G886="","",IF(N886="Conflicts","Investigate contact interpretation / saturation behaviour",IF(OR(F886="OWC",F886="GOC",F886="GWC"),"Candidate contact — validate with logs, pressure and dynamic evidence","Transition zone — do not force to a sharp contact")))</f>
        <v/>
      </c>
    </row>
    <row r="887">
      <c r="A887" s="19">
        <f>IF(AND(Master_Data!A887&lt;&gt;"",Master_Data!A887=Master_Data!A888),Master_Data!A887,"")</f>
        <v/>
      </c>
      <c r="B887" s="19">
        <f>IF($A887="","",Master_Data!B887)</f>
        <v/>
      </c>
      <c r="C887" s="19">
        <f>IF($A887="","",Master_Data!B888)</f>
        <v/>
      </c>
      <c r="D887" s="19">
        <f>IF($A887="","",Master_Data!Q887)</f>
        <v/>
      </c>
      <c r="E887" s="19">
        <f>IF($A887="","",Master_Data!Q888)</f>
        <v/>
      </c>
      <c r="F887" s="19">
        <f>IF($A887="","",IF(AND(D887="GAS",E887="OIL"),"GOC",IF(AND(D887="OIL",E887="WATER"),"OWC",IF(AND(D887="GAS",E887="WATER"),"GWC",IF(AND(D887="OIL",E887="OIL_WATER"),"OWC_TRANSITION",IF(AND(D887="OIL_WATER",E887="WATER"),"OWC_TRANSITION",IF(AND(D887="GAS",E887="GAS_WATER"),"GOC_TRANSITION",IF(AND(D887="GAS_WATER",E887="OIL"),"GOC_TRANSITION",IF(OR(D887="OIL_WATER",D887="GAS_WATER"),"TRANSITION_INTERVAL","")))))))))</f>
        <v/>
      </c>
      <c r="G887" s="20">
        <f>IF(OR(F887="",Master_Data!R887="",Master_Data!S887=""),"",IF(RIGHT(F887,10)="TRANSITION",AVERAGE(Master_Data!R887:Master_Data!S887),AVERAGE(Master_Data!S887,Master_Data!R888)))</f>
        <v/>
      </c>
      <c r="H887" s="20">
        <f>IF(G887="","",MAX(Settings!$B$4,Settings!$B$5*AVERAGE(IF(Master_Data!O887&lt;&gt;"",Master_Data!O887,Master_Data!H887),IF(Master_Data!O888&lt;&gt;"",Master_Data!O888,Master_Data!H888))))</f>
        <v/>
      </c>
      <c r="I887" s="20">
        <f>IF(G887="","",G887-H887)</f>
        <v/>
      </c>
      <c r="J887" s="20">
        <f>IF(G887="","",G887+H887)</f>
        <v/>
      </c>
      <c r="K887" s="20">
        <f>IF($A887="","",Master_Data!G887)</f>
        <v/>
      </c>
      <c r="L887" s="20">
        <f>IF($A887="","",Master_Data!G888)</f>
        <v/>
      </c>
      <c r="M887" s="20">
        <f>IF(AND(ISNUMBER(K887),ISNUMBER(L887)),L887-K887,"")</f>
        <v/>
      </c>
      <c r="N887" s="19">
        <f>IF(G887="","",IF(AND(ISNUMBER(K887),ISNUMBER(L887)),IF(OR(F887="GOC",F887="OWC",F887="GWC",F887="OWC_TRANSITION",F887="GOC_TRANSITION"),IF(L887&gt;=K887,"Supports","Conflicts"),"N/A"),"No Sw"))</f>
        <v/>
      </c>
      <c r="O887" s="20">
        <f>IF(G887="","",Settings!$B$6*IF(OR(F887="GOC",F887="OWC",F887="GWC"),1,0.7)+Settings!$B$7*IF(N887="Supports",1,IF(N887="Conflicts",0,0.5))+Settings!$B$8*IF(AND(Master_Data!R887&lt;&gt;"",Master_Data!S887&lt;&gt;"",Master_Data!R888&lt;&gt;"",Master_Data!S888&lt;&gt;""),1,0.5))</f>
        <v/>
      </c>
      <c r="P887" s="19">
        <f>IF(G887="","",IF(N887="Conflicts","SW_CONFLICT",IF(OR(F887="GOC",F887="OWC",F887="GWC"),"DIRECT_FLUID_TRANSITION","TRANSITION_INTERVAL")))</f>
        <v/>
      </c>
      <c r="Q887" s="19">
        <f>IF(G887="","",IF(N887="Conflicts","Investigate contact interpretation / saturation behaviour",IF(OR(F887="OWC",F887="GOC",F887="GWC"),"Candidate contact — validate with logs, pressure and dynamic evidence","Transition zone — do not force to a sharp contact")))</f>
        <v/>
      </c>
    </row>
    <row r="888">
      <c r="A888" s="19">
        <f>IF(AND(Master_Data!A888&lt;&gt;"",Master_Data!A888=Master_Data!A889),Master_Data!A888,"")</f>
        <v/>
      </c>
      <c r="B888" s="19">
        <f>IF($A888="","",Master_Data!B888)</f>
        <v/>
      </c>
      <c r="C888" s="19">
        <f>IF($A888="","",Master_Data!B889)</f>
        <v/>
      </c>
      <c r="D888" s="19">
        <f>IF($A888="","",Master_Data!Q888)</f>
        <v/>
      </c>
      <c r="E888" s="19">
        <f>IF($A888="","",Master_Data!Q889)</f>
        <v/>
      </c>
      <c r="F888" s="19">
        <f>IF($A888="","",IF(AND(D888="GAS",E888="OIL"),"GOC",IF(AND(D888="OIL",E888="WATER"),"OWC",IF(AND(D888="GAS",E888="WATER"),"GWC",IF(AND(D888="OIL",E888="OIL_WATER"),"OWC_TRANSITION",IF(AND(D888="OIL_WATER",E888="WATER"),"OWC_TRANSITION",IF(AND(D888="GAS",E888="GAS_WATER"),"GOC_TRANSITION",IF(AND(D888="GAS_WATER",E888="OIL"),"GOC_TRANSITION",IF(OR(D888="OIL_WATER",D888="GAS_WATER"),"TRANSITION_INTERVAL","")))))))))</f>
        <v/>
      </c>
      <c r="G888" s="20">
        <f>IF(OR(F888="",Master_Data!R888="",Master_Data!S888=""),"",IF(RIGHT(F888,10)="TRANSITION",AVERAGE(Master_Data!R888:Master_Data!S888),AVERAGE(Master_Data!S888,Master_Data!R889)))</f>
        <v/>
      </c>
      <c r="H888" s="20">
        <f>IF(G888="","",MAX(Settings!$B$4,Settings!$B$5*AVERAGE(IF(Master_Data!O888&lt;&gt;"",Master_Data!O888,Master_Data!H888),IF(Master_Data!O889&lt;&gt;"",Master_Data!O889,Master_Data!H889))))</f>
        <v/>
      </c>
      <c r="I888" s="20">
        <f>IF(G888="","",G888-H888)</f>
        <v/>
      </c>
      <c r="J888" s="20">
        <f>IF(G888="","",G888+H888)</f>
        <v/>
      </c>
      <c r="K888" s="20">
        <f>IF($A888="","",Master_Data!G888)</f>
        <v/>
      </c>
      <c r="L888" s="20">
        <f>IF($A888="","",Master_Data!G889)</f>
        <v/>
      </c>
      <c r="M888" s="20">
        <f>IF(AND(ISNUMBER(K888),ISNUMBER(L888)),L888-K888,"")</f>
        <v/>
      </c>
      <c r="N888" s="19">
        <f>IF(G888="","",IF(AND(ISNUMBER(K888),ISNUMBER(L888)),IF(OR(F888="GOC",F888="OWC",F888="GWC",F888="OWC_TRANSITION",F888="GOC_TRANSITION"),IF(L888&gt;=K888,"Supports","Conflicts"),"N/A"),"No Sw"))</f>
        <v/>
      </c>
      <c r="O888" s="20">
        <f>IF(G888="","",Settings!$B$6*IF(OR(F888="GOC",F888="OWC",F888="GWC"),1,0.7)+Settings!$B$7*IF(N888="Supports",1,IF(N888="Conflicts",0,0.5))+Settings!$B$8*IF(AND(Master_Data!R888&lt;&gt;"",Master_Data!S888&lt;&gt;"",Master_Data!R889&lt;&gt;"",Master_Data!S889&lt;&gt;""),1,0.5))</f>
        <v/>
      </c>
      <c r="P888" s="19">
        <f>IF(G888="","",IF(N888="Conflicts","SW_CONFLICT",IF(OR(F888="GOC",F888="OWC",F888="GWC"),"DIRECT_FLUID_TRANSITION","TRANSITION_INTERVAL")))</f>
        <v/>
      </c>
      <c r="Q888" s="19">
        <f>IF(G888="","",IF(N888="Conflicts","Investigate contact interpretation / saturation behaviour",IF(OR(F888="OWC",F888="GOC",F888="GWC"),"Candidate contact — validate with logs, pressure and dynamic evidence","Transition zone — do not force to a sharp contact")))</f>
        <v/>
      </c>
    </row>
    <row r="889">
      <c r="A889" s="19">
        <f>IF(AND(Master_Data!A889&lt;&gt;"",Master_Data!A889=Master_Data!A890),Master_Data!A889,"")</f>
        <v/>
      </c>
      <c r="B889" s="19">
        <f>IF($A889="","",Master_Data!B889)</f>
        <v/>
      </c>
      <c r="C889" s="19">
        <f>IF($A889="","",Master_Data!B890)</f>
        <v/>
      </c>
      <c r="D889" s="19">
        <f>IF($A889="","",Master_Data!Q889)</f>
        <v/>
      </c>
      <c r="E889" s="19">
        <f>IF($A889="","",Master_Data!Q890)</f>
        <v/>
      </c>
      <c r="F889" s="19">
        <f>IF($A889="","",IF(AND(D889="GAS",E889="OIL"),"GOC",IF(AND(D889="OIL",E889="WATER"),"OWC",IF(AND(D889="GAS",E889="WATER"),"GWC",IF(AND(D889="OIL",E889="OIL_WATER"),"OWC_TRANSITION",IF(AND(D889="OIL_WATER",E889="WATER"),"OWC_TRANSITION",IF(AND(D889="GAS",E889="GAS_WATER"),"GOC_TRANSITION",IF(AND(D889="GAS_WATER",E889="OIL"),"GOC_TRANSITION",IF(OR(D889="OIL_WATER",D889="GAS_WATER"),"TRANSITION_INTERVAL","")))))))))</f>
        <v/>
      </c>
      <c r="G889" s="20">
        <f>IF(OR(F889="",Master_Data!R889="",Master_Data!S889=""),"",IF(RIGHT(F889,10)="TRANSITION",AVERAGE(Master_Data!R889:Master_Data!S889),AVERAGE(Master_Data!S889,Master_Data!R890)))</f>
        <v/>
      </c>
      <c r="H889" s="20">
        <f>IF(G889="","",MAX(Settings!$B$4,Settings!$B$5*AVERAGE(IF(Master_Data!O889&lt;&gt;"",Master_Data!O889,Master_Data!H889),IF(Master_Data!O890&lt;&gt;"",Master_Data!O890,Master_Data!H890))))</f>
        <v/>
      </c>
      <c r="I889" s="20">
        <f>IF(G889="","",G889-H889)</f>
        <v/>
      </c>
      <c r="J889" s="20">
        <f>IF(G889="","",G889+H889)</f>
        <v/>
      </c>
      <c r="K889" s="20">
        <f>IF($A889="","",Master_Data!G889)</f>
        <v/>
      </c>
      <c r="L889" s="20">
        <f>IF($A889="","",Master_Data!G890)</f>
        <v/>
      </c>
      <c r="M889" s="20">
        <f>IF(AND(ISNUMBER(K889),ISNUMBER(L889)),L889-K889,"")</f>
        <v/>
      </c>
      <c r="N889" s="19">
        <f>IF(G889="","",IF(AND(ISNUMBER(K889),ISNUMBER(L889)),IF(OR(F889="GOC",F889="OWC",F889="GWC",F889="OWC_TRANSITION",F889="GOC_TRANSITION"),IF(L889&gt;=K889,"Supports","Conflicts"),"N/A"),"No Sw"))</f>
        <v/>
      </c>
      <c r="O889" s="20">
        <f>IF(G889="","",Settings!$B$6*IF(OR(F889="GOC",F889="OWC",F889="GWC"),1,0.7)+Settings!$B$7*IF(N889="Supports",1,IF(N889="Conflicts",0,0.5))+Settings!$B$8*IF(AND(Master_Data!R889&lt;&gt;"",Master_Data!S889&lt;&gt;"",Master_Data!R890&lt;&gt;"",Master_Data!S890&lt;&gt;""),1,0.5))</f>
        <v/>
      </c>
      <c r="P889" s="19">
        <f>IF(G889="","",IF(N889="Conflicts","SW_CONFLICT",IF(OR(F889="GOC",F889="OWC",F889="GWC"),"DIRECT_FLUID_TRANSITION","TRANSITION_INTERVAL")))</f>
        <v/>
      </c>
      <c r="Q889" s="19">
        <f>IF(G889="","",IF(N889="Conflicts","Investigate contact interpretation / saturation behaviour",IF(OR(F889="OWC",F889="GOC",F889="GWC"),"Candidate contact — validate with logs, pressure and dynamic evidence","Transition zone — do not force to a sharp contact")))</f>
        <v/>
      </c>
    </row>
    <row r="890">
      <c r="A890" s="19">
        <f>IF(AND(Master_Data!A890&lt;&gt;"",Master_Data!A890=Master_Data!A891),Master_Data!A890,"")</f>
        <v/>
      </c>
      <c r="B890" s="19">
        <f>IF($A890="","",Master_Data!B890)</f>
        <v/>
      </c>
      <c r="C890" s="19">
        <f>IF($A890="","",Master_Data!B891)</f>
        <v/>
      </c>
      <c r="D890" s="19">
        <f>IF($A890="","",Master_Data!Q890)</f>
        <v/>
      </c>
      <c r="E890" s="19">
        <f>IF($A890="","",Master_Data!Q891)</f>
        <v/>
      </c>
      <c r="F890" s="19">
        <f>IF($A890="","",IF(AND(D890="GAS",E890="OIL"),"GOC",IF(AND(D890="OIL",E890="WATER"),"OWC",IF(AND(D890="GAS",E890="WATER"),"GWC",IF(AND(D890="OIL",E890="OIL_WATER"),"OWC_TRANSITION",IF(AND(D890="OIL_WATER",E890="WATER"),"OWC_TRANSITION",IF(AND(D890="GAS",E890="GAS_WATER"),"GOC_TRANSITION",IF(AND(D890="GAS_WATER",E890="OIL"),"GOC_TRANSITION",IF(OR(D890="OIL_WATER",D890="GAS_WATER"),"TRANSITION_INTERVAL","")))))))))</f>
        <v/>
      </c>
      <c r="G890" s="20">
        <f>IF(OR(F890="",Master_Data!R890="",Master_Data!S890=""),"",IF(RIGHT(F890,10)="TRANSITION",AVERAGE(Master_Data!R890:Master_Data!S890),AVERAGE(Master_Data!S890,Master_Data!R891)))</f>
        <v/>
      </c>
      <c r="H890" s="20">
        <f>IF(G890="","",MAX(Settings!$B$4,Settings!$B$5*AVERAGE(IF(Master_Data!O890&lt;&gt;"",Master_Data!O890,Master_Data!H890),IF(Master_Data!O891&lt;&gt;"",Master_Data!O891,Master_Data!H891))))</f>
        <v/>
      </c>
      <c r="I890" s="20">
        <f>IF(G890="","",G890-H890)</f>
        <v/>
      </c>
      <c r="J890" s="20">
        <f>IF(G890="","",G890+H890)</f>
        <v/>
      </c>
      <c r="K890" s="20">
        <f>IF($A890="","",Master_Data!G890)</f>
        <v/>
      </c>
      <c r="L890" s="20">
        <f>IF($A890="","",Master_Data!G891)</f>
        <v/>
      </c>
      <c r="M890" s="20">
        <f>IF(AND(ISNUMBER(K890),ISNUMBER(L890)),L890-K890,"")</f>
        <v/>
      </c>
      <c r="N890" s="19">
        <f>IF(G890="","",IF(AND(ISNUMBER(K890),ISNUMBER(L890)),IF(OR(F890="GOC",F890="OWC",F890="GWC",F890="OWC_TRANSITION",F890="GOC_TRANSITION"),IF(L890&gt;=K890,"Supports","Conflicts"),"N/A"),"No Sw"))</f>
        <v/>
      </c>
      <c r="O890" s="20">
        <f>IF(G890="","",Settings!$B$6*IF(OR(F890="GOC",F890="OWC",F890="GWC"),1,0.7)+Settings!$B$7*IF(N890="Supports",1,IF(N890="Conflicts",0,0.5))+Settings!$B$8*IF(AND(Master_Data!R890&lt;&gt;"",Master_Data!S890&lt;&gt;"",Master_Data!R891&lt;&gt;"",Master_Data!S891&lt;&gt;""),1,0.5))</f>
        <v/>
      </c>
      <c r="P890" s="19">
        <f>IF(G890="","",IF(N890="Conflicts","SW_CONFLICT",IF(OR(F890="GOC",F890="OWC",F890="GWC"),"DIRECT_FLUID_TRANSITION","TRANSITION_INTERVAL")))</f>
        <v/>
      </c>
      <c r="Q890" s="19">
        <f>IF(G890="","",IF(N890="Conflicts","Investigate contact interpretation / saturation behaviour",IF(OR(F890="OWC",F890="GOC",F890="GWC"),"Candidate contact — validate with logs, pressure and dynamic evidence","Transition zone — do not force to a sharp contact")))</f>
        <v/>
      </c>
    </row>
    <row r="891">
      <c r="A891" s="19">
        <f>IF(AND(Master_Data!A891&lt;&gt;"",Master_Data!A891=Master_Data!A892),Master_Data!A891,"")</f>
        <v/>
      </c>
      <c r="B891" s="19">
        <f>IF($A891="","",Master_Data!B891)</f>
        <v/>
      </c>
      <c r="C891" s="19">
        <f>IF($A891="","",Master_Data!B892)</f>
        <v/>
      </c>
      <c r="D891" s="19">
        <f>IF($A891="","",Master_Data!Q891)</f>
        <v/>
      </c>
      <c r="E891" s="19">
        <f>IF($A891="","",Master_Data!Q892)</f>
        <v/>
      </c>
      <c r="F891" s="19">
        <f>IF($A891="","",IF(AND(D891="GAS",E891="OIL"),"GOC",IF(AND(D891="OIL",E891="WATER"),"OWC",IF(AND(D891="GAS",E891="WATER"),"GWC",IF(AND(D891="OIL",E891="OIL_WATER"),"OWC_TRANSITION",IF(AND(D891="OIL_WATER",E891="WATER"),"OWC_TRANSITION",IF(AND(D891="GAS",E891="GAS_WATER"),"GOC_TRANSITION",IF(AND(D891="GAS_WATER",E891="OIL"),"GOC_TRANSITION",IF(OR(D891="OIL_WATER",D891="GAS_WATER"),"TRANSITION_INTERVAL","")))))))))</f>
        <v/>
      </c>
      <c r="G891" s="20">
        <f>IF(OR(F891="",Master_Data!R891="",Master_Data!S891=""),"",IF(RIGHT(F891,10)="TRANSITION",AVERAGE(Master_Data!R891:Master_Data!S891),AVERAGE(Master_Data!S891,Master_Data!R892)))</f>
        <v/>
      </c>
      <c r="H891" s="20">
        <f>IF(G891="","",MAX(Settings!$B$4,Settings!$B$5*AVERAGE(IF(Master_Data!O891&lt;&gt;"",Master_Data!O891,Master_Data!H891),IF(Master_Data!O892&lt;&gt;"",Master_Data!O892,Master_Data!H892))))</f>
        <v/>
      </c>
      <c r="I891" s="20">
        <f>IF(G891="","",G891-H891)</f>
        <v/>
      </c>
      <c r="J891" s="20">
        <f>IF(G891="","",G891+H891)</f>
        <v/>
      </c>
      <c r="K891" s="20">
        <f>IF($A891="","",Master_Data!G891)</f>
        <v/>
      </c>
      <c r="L891" s="20">
        <f>IF($A891="","",Master_Data!G892)</f>
        <v/>
      </c>
      <c r="M891" s="20">
        <f>IF(AND(ISNUMBER(K891),ISNUMBER(L891)),L891-K891,"")</f>
        <v/>
      </c>
      <c r="N891" s="19">
        <f>IF(G891="","",IF(AND(ISNUMBER(K891),ISNUMBER(L891)),IF(OR(F891="GOC",F891="OWC",F891="GWC",F891="OWC_TRANSITION",F891="GOC_TRANSITION"),IF(L891&gt;=K891,"Supports","Conflicts"),"N/A"),"No Sw"))</f>
        <v/>
      </c>
      <c r="O891" s="20">
        <f>IF(G891="","",Settings!$B$6*IF(OR(F891="GOC",F891="OWC",F891="GWC"),1,0.7)+Settings!$B$7*IF(N891="Supports",1,IF(N891="Conflicts",0,0.5))+Settings!$B$8*IF(AND(Master_Data!R891&lt;&gt;"",Master_Data!S891&lt;&gt;"",Master_Data!R892&lt;&gt;"",Master_Data!S892&lt;&gt;""),1,0.5))</f>
        <v/>
      </c>
      <c r="P891" s="19">
        <f>IF(G891="","",IF(N891="Conflicts","SW_CONFLICT",IF(OR(F891="GOC",F891="OWC",F891="GWC"),"DIRECT_FLUID_TRANSITION","TRANSITION_INTERVAL")))</f>
        <v/>
      </c>
      <c r="Q891" s="19">
        <f>IF(G891="","",IF(N891="Conflicts","Investigate contact interpretation / saturation behaviour",IF(OR(F891="OWC",F891="GOC",F891="GWC"),"Candidate contact — validate with logs, pressure and dynamic evidence","Transition zone — do not force to a sharp contact")))</f>
        <v/>
      </c>
    </row>
    <row r="892">
      <c r="A892" s="19">
        <f>IF(AND(Master_Data!A892&lt;&gt;"",Master_Data!A892=Master_Data!A893),Master_Data!A892,"")</f>
        <v/>
      </c>
      <c r="B892" s="19">
        <f>IF($A892="","",Master_Data!B892)</f>
        <v/>
      </c>
      <c r="C892" s="19">
        <f>IF($A892="","",Master_Data!B893)</f>
        <v/>
      </c>
      <c r="D892" s="19">
        <f>IF($A892="","",Master_Data!Q892)</f>
        <v/>
      </c>
      <c r="E892" s="19">
        <f>IF($A892="","",Master_Data!Q893)</f>
        <v/>
      </c>
      <c r="F892" s="19">
        <f>IF($A892="","",IF(AND(D892="GAS",E892="OIL"),"GOC",IF(AND(D892="OIL",E892="WATER"),"OWC",IF(AND(D892="GAS",E892="WATER"),"GWC",IF(AND(D892="OIL",E892="OIL_WATER"),"OWC_TRANSITION",IF(AND(D892="OIL_WATER",E892="WATER"),"OWC_TRANSITION",IF(AND(D892="GAS",E892="GAS_WATER"),"GOC_TRANSITION",IF(AND(D892="GAS_WATER",E892="OIL"),"GOC_TRANSITION",IF(OR(D892="OIL_WATER",D892="GAS_WATER"),"TRANSITION_INTERVAL","")))))))))</f>
        <v/>
      </c>
      <c r="G892" s="20">
        <f>IF(OR(F892="",Master_Data!R892="",Master_Data!S892=""),"",IF(RIGHT(F892,10)="TRANSITION",AVERAGE(Master_Data!R892:Master_Data!S892),AVERAGE(Master_Data!S892,Master_Data!R893)))</f>
        <v/>
      </c>
      <c r="H892" s="20">
        <f>IF(G892="","",MAX(Settings!$B$4,Settings!$B$5*AVERAGE(IF(Master_Data!O892&lt;&gt;"",Master_Data!O892,Master_Data!H892),IF(Master_Data!O893&lt;&gt;"",Master_Data!O893,Master_Data!H893))))</f>
        <v/>
      </c>
      <c r="I892" s="20">
        <f>IF(G892="","",G892-H892)</f>
        <v/>
      </c>
      <c r="J892" s="20">
        <f>IF(G892="","",G892+H892)</f>
        <v/>
      </c>
      <c r="K892" s="20">
        <f>IF($A892="","",Master_Data!G892)</f>
        <v/>
      </c>
      <c r="L892" s="20">
        <f>IF($A892="","",Master_Data!G893)</f>
        <v/>
      </c>
      <c r="M892" s="20">
        <f>IF(AND(ISNUMBER(K892),ISNUMBER(L892)),L892-K892,"")</f>
        <v/>
      </c>
      <c r="N892" s="19">
        <f>IF(G892="","",IF(AND(ISNUMBER(K892),ISNUMBER(L892)),IF(OR(F892="GOC",F892="OWC",F892="GWC",F892="OWC_TRANSITION",F892="GOC_TRANSITION"),IF(L892&gt;=K892,"Supports","Conflicts"),"N/A"),"No Sw"))</f>
        <v/>
      </c>
      <c r="O892" s="20">
        <f>IF(G892="","",Settings!$B$6*IF(OR(F892="GOC",F892="OWC",F892="GWC"),1,0.7)+Settings!$B$7*IF(N892="Supports",1,IF(N892="Conflicts",0,0.5))+Settings!$B$8*IF(AND(Master_Data!R892&lt;&gt;"",Master_Data!S892&lt;&gt;"",Master_Data!R893&lt;&gt;"",Master_Data!S893&lt;&gt;""),1,0.5))</f>
        <v/>
      </c>
      <c r="P892" s="19">
        <f>IF(G892="","",IF(N892="Conflicts","SW_CONFLICT",IF(OR(F892="GOC",F892="OWC",F892="GWC"),"DIRECT_FLUID_TRANSITION","TRANSITION_INTERVAL")))</f>
        <v/>
      </c>
      <c r="Q892" s="19">
        <f>IF(G892="","",IF(N892="Conflicts","Investigate contact interpretation / saturation behaviour",IF(OR(F892="OWC",F892="GOC",F892="GWC"),"Candidate contact — validate with logs, pressure and dynamic evidence","Transition zone — do not force to a sharp contact")))</f>
        <v/>
      </c>
    </row>
    <row r="893">
      <c r="A893" s="19">
        <f>IF(AND(Master_Data!A893&lt;&gt;"",Master_Data!A893=Master_Data!A894),Master_Data!A893,"")</f>
        <v/>
      </c>
      <c r="B893" s="19">
        <f>IF($A893="","",Master_Data!B893)</f>
        <v/>
      </c>
      <c r="C893" s="19">
        <f>IF($A893="","",Master_Data!B894)</f>
        <v/>
      </c>
      <c r="D893" s="19">
        <f>IF($A893="","",Master_Data!Q893)</f>
        <v/>
      </c>
      <c r="E893" s="19">
        <f>IF($A893="","",Master_Data!Q894)</f>
        <v/>
      </c>
      <c r="F893" s="19">
        <f>IF($A893="","",IF(AND(D893="GAS",E893="OIL"),"GOC",IF(AND(D893="OIL",E893="WATER"),"OWC",IF(AND(D893="GAS",E893="WATER"),"GWC",IF(AND(D893="OIL",E893="OIL_WATER"),"OWC_TRANSITION",IF(AND(D893="OIL_WATER",E893="WATER"),"OWC_TRANSITION",IF(AND(D893="GAS",E893="GAS_WATER"),"GOC_TRANSITION",IF(AND(D893="GAS_WATER",E893="OIL"),"GOC_TRANSITION",IF(OR(D893="OIL_WATER",D893="GAS_WATER"),"TRANSITION_INTERVAL","")))))))))</f>
        <v/>
      </c>
      <c r="G893" s="20">
        <f>IF(OR(F893="",Master_Data!R893="",Master_Data!S893=""),"",IF(RIGHT(F893,10)="TRANSITION",AVERAGE(Master_Data!R893:Master_Data!S893),AVERAGE(Master_Data!S893,Master_Data!R894)))</f>
        <v/>
      </c>
      <c r="H893" s="20">
        <f>IF(G893="","",MAX(Settings!$B$4,Settings!$B$5*AVERAGE(IF(Master_Data!O893&lt;&gt;"",Master_Data!O893,Master_Data!H893),IF(Master_Data!O894&lt;&gt;"",Master_Data!O894,Master_Data!H894))))</f>
        <v/>
      </c>
      <c r="I893" s="20">
        <f>IF(G893="","",G893-H893)</f>
        <v/>
      </c>
      <c r="J893" s="20">
        <f>IF(G893="","",G893+H893)</f>
        <v/>
      </c>
      <c r="K893" s="20">
        <f>IF($A893="","",Master_Data!G893)</f>
        <v/>
      </c>
      <c r="L893" s="20">
        <f>IF($A893="","",Master_Data!G894)</f>
        <v/>
      </c>
      <c r="M893" s="20">
        <f>IF(AND(ISNUMBER(K893),ISNUMBER(L893)),L893-K893,"")</f>
        <v/>
      </c>
      <c r="N893" s="19">
        <f>IF(G893="","",IF(AND(ISNUMBER(K893),ISNUMBER(L893)),IF(OR(F893="GOC",F893="OWC",F893="GWC",F893="OWC_TRANSITION",F893="GOC_TRANSITION"),IF(L893&gt;=K893,"Supports","Conflicts"),"N/A"),"No Sw"))</f>
        <v/>
      </c>
      <c r="O893" s="20">
        <f>IF(G893="","",Settings!$B$6*IF(OR(F893="GOC",F893="OWC",F893="GWC"),1,0.7)+Settings!$B$7*IF(N893="Supports",1,IF(N893="Conflicts",0,0.5))+Settings!$B$8*IF(AND(Master_Data!R893&lt;&gt;"",Master_Data!S893&lt;&gt;"",Master_Data!R894&lt;&gt;"",Master_Data!S894&lt;&gt;""),1,0.5))</f>
        <v/>
      </c>
      <c r="P893" s="19">
        <f>IF(G893="","",IF(N893="Conflicts","SW_CONFLICT",IF(OR(F893="GOC",F893="OWC",F893="GWC"),"DIRECT_FLUID_TRANSITION","TRANSITION_INTERVAL")))</f>
        <v/>
      </c>
      <c r="Q893" s="19">
        <f>IF(G893="","",IF(N893="Conflicts","Investigate contact interpretation / saturation behaviour",IF(OR(F893="OWC",F893="GOC",F893="GWC"),"Candidate contact — validate with logs, pressure and dynamic evidence","Transition zone — do not force to a sharp contact")))</f>
        <v/>
      </c>
    </row>
    <row r="894">
      <c r="A894" s="19">
        <f>IF(AND(Master_Data!A894&lt;&gt;"",Master_Data!A894=Master_Data!A895),Master_Data!A894,"")</f>
        <v/>
      </c>
      <c r="B894" s="19">
        <f>IF($A894="","",Master_Data!B894)</f>
        <v/>
      </c>
      <c r="C894" s="19">
        <f>IF($A894="","",Master_Data!B895)</f>
        <v/>
      </c>
      <c r="D894" s="19">
        <f>IF($A894="","",Master_Data!Q894)</f>
        <v/>
      </c>
      <c r="E894" s="19">
        <f>IF($A894="","",Master_Data!Q895)</f>
        <v/>
      </c>
      <c r="F894" s="19">
        <f>IF($A894="","",IF(AND(D894="GAS",E894="OIL"),"GOC",IF(AND(D894="OIL",E894="WATER"),"OWC",IF(AND(D894="GAS",E894="WATER"),"GWC",IF(AND(D894="OIL",E894="OIL_WATER"),"OWC_TRANSITION",IF(AND(D894="OIL_WATER",E894="WATER"),"OWC_TRANSITION",IF(AND(D894="GAS",E894="GAS_WATER"),"GOC_TRANSITION",IF(AND(D894="GAS_WATER",E894="OIL"),"GOC_TRANSITION",IF(OR(D894="OIL_WATER",D894="GAS_WATER"),"TRANSITION_INTERVAL","")))))))))</f>
        <v/>
      </c>
      <c r="G894" s="20">
        <f>IF(OR(F894="",Master_Data!R894="",Master_Data!S894=""),"",IF(RIGHT(F894,10)="TRANSITION",AVERAGE(Master_Data!R894:Master_Data!S894),AVERAGE(Master_Data!S894,Master_Data!R895)))</f>
        <v/>
      </c>
      <c r="H894" s="20">
        <f>IF(G894="","",MAX(Settings!$B$4,Settings!$B$5*AVERAGE(IF(Master_Data!O894&lt;&gt;"",Master_Data!O894,Master_Data!H894),IF(Master_Data!O895&lt;&gt;"",Master_Data!O895,Master_Data!H895))))</f>
        <v/>
      </c>
      <c r="I894" s="20">
        <f>IF(G894="","",G894-H894)</f>
        <v/>
      </c>
      <c r="J894" s="20">
        <f>IF(G894="","",G894+H894)</f>
        <v/>
      </c>
      <c r="K894" s="20">
        <f>IF($A894="","",Master_Data!G894)</f>
        <v/>
      </c>
      <c r="L894" s="20">
        <f>IF($A894="","",Master_Data!G895)</f>
        <v/>
      </c>
      <c r="M894" s="20">
        <f>IF(AND(ISNUMBER(K894),ISNUMBER(L894)),L894-K894,"")</f>
        <v/>
      </c>
      <c r="N894" s="19">
        <f>IF(G894="","",IF(AND(ISNUMBER(K894),ISNUMBER(L894)),IF(OR(F894="GOC",F894="OWC",F894="GWC",F894="OWC_TRANSITION",F894="GOC_TRANSITION"),IF(L894&gt;=K894,"Supports","Conflicts"),"N/A"),"No Sw"))</f>
        <v/>
      </c>
      <c r="O894" s="20">
        <f>IF(G894="","",Settings!$B$6*IF(OR(F894="GOC",F894="OWC",F894="GWC"),1,0.7)+Settings!$B$7*IF(N894="Supports",1,IF(N894="Conflicts",0,0.5))+Settings!$B$8*IF(AND(Master_Data!R894&lt;&gt;"",Master_Data!S894&lt;&gt;"",Master_Data!R895&lt;&gt;"",Master_Data!S895&lt;&gt;""),1,0.5))</f>
        <v/>
      </c>
      <c r="P894" s="19">
        <f>IF(G894="","",IF(N894="Conflicts","SW_CONFLICT",IF(OR(F894="GOC",F894="OWC",F894="GWC"),"DIRECT_FLUID_TRANSITION","TRANSITION_INTERVAL")))</f>
        <v/>
      </c>
      <c r="Q894" s="19">
        <f>IF(G894="","",IF(N894="Conflicts","Investigate contact interpretation / saturation behaviour",IF(OR(F894="OWC",F894="GOC",F894="GWC"),"Candidate contact — validate with logs, pressure and dynamic evidence","Transition zone — do not force to a sharp contact")))</f>
        <v/>
      </c>
    </row>
    <row r="895">
      <c r="A895" s="19">
        <f>IF(AND(Master_Data!A895&lt;&gt;"",Master_Data!A895=Master_Data!A896),Master_Data!A895,"")</f>
        <v/>
      </c>
      <c r="B895" s="19">
        <f>IF($A895="","",Master_Data!B895)</f>
        <v/>
      </c>
      <c r="C895" s="19">
        <f>IF($A895="","",Master_Data!B896)</f>
        <v/>
      </c>
      <c r="D895" s="19">
        <f>IF($A895="","",Master_Data!Q895)</f>
        <v/>
      </c>
      <c r="E895" s="19">
        <f>IF($A895="","",Master_Data!Q896)</f>
        <v/>
      </c>
      <c r="F895" s="19">
        <f>IF($A895="","",IF(AND(D895="GAS",E895="OIL"),"GOC",IF(AND(D895="OIL",E895="WATER"),"OWC",IF(AND(D895="GAS",E895="WATER"),"GWC",IF(AND(D895="OIL",E895="OIL_WATER"),"OWC_TRANSITION",IF(AND(D895="OIL_WATER",E895="WATER"),"OWC_TRANSITION",IF(AND(D895="GAS",E895="GAS_WATER"),"GOC_TRANSITION",IF(AND(D895="GAS_WATER",E895="OIL"),"GOC_TRANSITION",IF(OR(D895="OIL_WATER",D895="GAS_WATER"),"TRANSITION_INTERVAL","")))))))))</f>
        <v/>
      </c>
      <c r="G895" s="20">
        <f>IF(OR(F895="",Master_Data!R895="",Master_Data!S895=""),"",IF(RIGHT(F895,10)="TRANSITION",AVERAGE(Master_Data!R895:Master_Data!S895),AVERAGE(Master_Data!S895,Master_Data!R896)))</f>
        <v/>
      </c>
      <c r="H895" s="20">
        <f>IF(G895="","",MAX(Settings!$B$4,Settings!$B$5*AVERAGE(IF(Master_Data!O895&lt;&gt;"",Master_Data!O895,Master_Data!H895),IF(Master_Data!O896&lt;&gt;"",Master_Data!O896,Master_Data!H896))))</f>
        <v/>
      </c>
      <c r="I895" s="20">
        <f>IF(G895="","",G895-H895)</f>
        <v/>
      </c>
      <c r="J895" s="20">
        <f>IF(G895="","",G895+H895)</f>
        <v/>
      </c>
      <c r="K895" s="20">
        <f>IF($A895="","",Master_Data!G895)</f>
        <v/>
      </c>
      <c r="L895" s="20">
        <f>IF($A895="","",Master_Data!G896)</f>
        <v/>
      </c>
      <c r="M895" s="20">
        <f>IF(AND(ISNUMBER(K895),ISNUMBER(L895)),L895-K895,"")</f>
        <v/>
      </c>
      <c r="N895" s="19">
        <f>IF(G895="","",IF(AND(ISNUMBER(K895),ISNUMBER(L895)),IF(OR(F895="GOC",F895="OWC",F895="GWC",F895="OWC_TRANSITION",F895="GOC_TRANSITION"),IF(L895&gt;=K895,"Supports","Conflicts"),"N/A"),"No Sw"))</f>
        <v/>
      </c>
      <c r="O895" s="20">
        <f>IF(G895="","",Settings!$B$6*IF(OR(F895="GOC",F895="OWC",F895="GWC"),1,0.7)+Settings!$B$7*IF(N895="Supports",1,IF(N895="Conflicts",0,0.5))+Settings!$B$8*IF(AND(Master_Data!R895&lt;&gt;"",Master_Data!S895&lt;&gt;"",Master_Data!R896&lt;&gt;"",Master_Data!S896&lt;&gt;""),1,0.5))</f>
        <v/>
      </c>
      <c r="P895" s="19">
        <f>IF(G895="","",IF(N895="Conflicts","SW_CONFLICT",IF(OR(F895="GOC",F895="OWC",F895="GWC"),"DIRECT_FLUID_TRANSITION","TRANSITION_INTERVAL")))</f>
        <v/>
      </c>
      <c r="Q895" s="19">
        <f>IF(G895="","",IF(N895="Conflicts","Investigate contact interpretation / saturation behaviour",IF(OR(F895="OWC",F895="GOC",F895="GWC"),"Candidate contact — validate with logs, pressure and dynamic evidence","Transition zone — do not force to a sharp contact")))</f>
        <v/>
      </c>
    </row>
    <row r="896">
      <c r="A896" s="19">
        <f>IF(AND(Master_Data!A896&lt;&gt;"",Master_Data!A896=Master_Data!A897),Master_Data!A896,"")</f>
        <v/>
      </c>
      <c r="B896" s="19">
        <f>IF($A896="","",Master_Data!B896)</f>
        <v/>
      </c>
      <c r="C896" s="19">
        <f>IF($A896="","",Master_Data!B897)</f>
        <v/>
      </c>
      <c r="D896" s="19">
        <f>IF($A896="","",Master_Data!Q896)</f>
        <v/>
      </c>
      <c r="E896" s="19">
        <f>IF($A896="","",Master_Data!Q897)</f>
        <v/>
      </c>
      <c r="F896" s="19">
        <f>IF($A896="","",IF(AND(D896="GAS",E896="OIL"),"GOC",IF(AND(D896="OIL",E896="WATER"),"OWC",IF(AND(D896="GAS",E896="WATER"),"GWC",IF(AND(D896="OIL",E896="OIL_WATER"),"OWC_TRANSITION",IF(AND(D896="OIL_WATER",E896="WATER"),"OWC_TRANSITION",IF(AND(D896="GAS",E896="GAS_WATER"),"GOC_TRANSITION",IF(AND(D896="GAS_WATER",E896="OIL"),"GOC_TRANSITION",IF(OR(D896="OIL_WATER",D896="GAS_WATER"),"TRANSITION_INTERVAL","")))))))))</f>
        <v/>
      </c>
      <c r="G896" s="20">
        <f>IF(OR(F896="",Master_Data!R896="",Master_Data!S896=""),"",IF(RIGHT(F896,10)="TRANSITION",AVERAGE(Master_Data!R896:Master_Data!S896),AVERAGE(Master_Data!S896,Master_Data!R897)))</f>
        <v/>
      </c>
      <c r="H896" s="20">
        <f>IF(G896="","",MAX(Settings!$B$4,Settings!$B$5*AVERAGE(IF(Master_Data!O896&lt;&gt;"",Master_Data!O896,Master_Data!H896),IF(Master_Data!O897&lt;&gt;"",Master_Data!O897,Master_Data!H897))))</f>
        <v/>
      </c>
      <c r="I896" s="20">
        <f>IF(G896="","",G896-H896)</f>
        <v/>
      </c>
      <c r="J896" s="20">
        <f>IF(G896="","",G896+H896)</f>
        <v/>
      </c>
      <c r="K896" s="20">
        <f>IF($A896="","",Master_Data!G896)</f>
        <v/>
      </c>
      <c r="L896" s="20">
        <f>IF($A896="","",Master_Data!G897)</f>
        <v/>
      </c>
      <c r="M896" s="20">
        <f>IF(AND(ISNUMBER(K896),ISNUMBER(L896)),L896-K896,"")</f>
        <v/>
      </c>
      <c r="N896" s="19">
        <f>IF(G896="","",IF(AND(ISNUMBER(K896),ISNUMBER(L896)),IF(OR(F896="GOC",F896="OWC",F896="GWC",F896="OWC_TRANSITION",F896="GOC_TRANSITION"),IF(L896&gt;=K896,"Supports","Conflicts"),"N/A"),"No Sw"))</f>
        <v/>
      </c>
      <c r="O896" s="20">
        <f>IF(G896="","",Settings!$B$6*IF(OR(F896="GOC",F896="OWC",F896="GWC"),1,0.7)+Settings!$B$7*IF(N896="Supports",1,IF(N896="Conflicts",0,0.5))+Settings!$B$8*IF(AND(Master_Data!R896&lt;&gt;"",Master_Data!S896&lt;&gt;"",Master_Data!R897&lt;&gt;"",Master_Data!S897&lt;&gt;""),1,0.5))</f>
        <v/>
      </c>
      <c r="P896" s="19">
        <f>IF(G896="","",IF(N896="Conflicts","SW_CONFLICT",IF(OR(F896="GOC",F896="OWC",F896="GWC"),"DIRECT_FLUID_TRANSITION","TRANSITION_INTERVAL")))</f>
        <v/>
      </c>
      <c r="Q896" s="19">
        <f>IF(G896="","",IF(N896="Conflicts","Investigate contact interpretation / saturation behaviour",IF(OR(F896="OWC",F896="GOC",F896="GWC"),"Candidate contact — validate with logs, pressure and dynamic evidence","Transition zone — do not force to a sharp contact")))</f>
        <v/>
      </c>
    </row>
    <row r="897">
      <c r="A897" s="19">
        <f>IF(AND(Master_Data!A897&lt;&gt;"",Master_Data!A897=Master_Data!A898),Master_Data!A897,"")</f>
        <v/>
      </c>
      <c r="B897" s="19">
        <f>IF($A897="","",Master_Data!B897)</f>
        <v/>
      </c>
      <c r="C897" s="19">
        <f>IF($A897="","",Master_Data!B898)</f>
        <v/>
      </c>
      <c r="D897" s="19">
        <f>IF($A897="","",Master_Data!Q897)</f>
        <v/>
      </c>
      <c r="E897" s="19">
        <f>IF($A897="","",Master_Data!Q898)</f>
        <v/>
      </c>
      <c r="F897" s="19">
        <f>IF($A897="","",IF(AND(D897="GAS",E897="OIL"),"GOC",IF(AND(D897="OIL",E897="WATER"),"OWC",IF(AND(D897="GAS",E897="WATER"),"GWC",IF(AND(D897="OIL",E897="OIL_WATER"),"OWC_TRANSITION",IF(AND(D897="OIL_WATER",E897="WATER"),"OWC_TRANSITION",IF(AND(D897="GAS",E897="GAS_WATER"),"GOC_TRANSITION",IF(AND(D897="GAS_WATER",E897="OIL"),"GOC_TRANSITION",IF(OR(D897="OIL_WATER",D897="GAS_WATER"),"TRANSITION_INTERVAL","")))))))))</f>
        <v/>
      </c>
      <c r="G897" s="20">
        <f>IF(OR(F897="",Master_Data!R897="",Master_Data!S897=""),"",IF(RIGHT(F897,10)="TRANSITION",AVERAGE(Master_Data!R897:Master_Data!S897),AVERAGE(Master_Data!S897,Master_Data!R898)))</f>
        <v/>
      </c>
      <c r="H897" s="20">
        <f>IF(G897="","",MAX(Settings!$B$4,Settings!$B$5*AVERAGE(IF(Master_Data!O897&lt;&gt;"",Master_Data!O897,Master_Data!H897),IF(Master_Data!O898&lt;&gt;"",Master_Data!O898,Master_Data!H898))))</f>
        <v/>
      </c>
      <c r="I897" s="20">
        <f>IF(G897="","",G897-H897)</f>
        <v/>
      </c>
      <c r="J897" s="20">
        <f>IF(G897="","",G897+H897)</f>
        <v/>
      </c>
      <c r="K897" s="20">
        <f>IF($A897="","",Master_Data!G897)</f>
        <v/>
      </c>
      <c r="L897" s="20">
        <f>IF($A897="","",Master_Data!G898)</f>
        <v/>
      </c>
      <c r="M897" s="20">
        <f>IF(AND(ISNUMBER(K897),ISNUMBER(L897)),L897-K897,"")</f>
        <v/>
      </c>
      <c r="N897" s="19">
        <f>IF(G897="","",IF(AND(ISNUMBER(K897),ISNUMBER(L897)),IF(OR(F897="GOC",F897="OWC",F897="GWC",F897="OWC_TRANSITION",F897="GOC_TRANSITION"),IF(L897&gt;=K897,"Supports","Conflicts"),"N/A"),"No Sw"))</f>
        <v/>
      </c>
      <c r="O897" s="20">
        <f>IF(G897="","",Settings!$B$6*IF(OR(F897="GOC",F897="OWC",F897="GWC"),1,0.7)+Settings!$B$7*IF(N897="Supports",1,IF(N897="Conflicts",0,0.5))+Settings!$B$8*IF(AND(Master_Data!R897&lt;&gt;"",Master_Data!S897&lt;&gt;"",Master_Data!R898&lt;&gt;"",Master_Data!S898&lt;&gt;""),1,0.5))</f>
        <v/>
      </c>
      <c r="P897" s="19">
        <f>IF(G897="","",IF(N897="Conflicts","SW_CONFLICT",IF(OR(F897="GOC",F897="OWC",F897="GWC"),"DIRECT_FLUID_TRANSITION","TRANSITION_INTERVAL")))</f>
        <v/>
      </c>
      <c r="Q897" s="19">
        <f>IF(G897="","",IF(N897="Conflicts","Investigate contact interpretation / saturation behaviour",IF(OR(F897="OWC",F897="GOC",F897="GWC"),"Candidate contact — validate with logs, pressure and dynamic evidence","Transition zone — do not force to a sharp contact")))</f>
        <v/>
      </c>
    </row>
    <row r="898">
      <c r="A898" s="19">
        <f>IF(AND(Master_Data!A898&lt;&gt;"",Master_Data!A898=Master_Data!A899),Master_Data!A898,"")</f>
        <v/>
      </c>
      <c r="B898" s="19">
        <f>IF($A898="","",Master_Data!B898)</f>
        <v/>
      </c>
      <c r="C898" s="19">
        <f>IF($A898="","",Master_Data!B899)</f>
        <v/>
      </c>
      <c r="D898" s="19">
        <f>IF($A898="","",Master_Data!Q898)</f>
        <v/>
      </c>
      <c r="E898" s="19">
        <f>IF($A898="","",Master_Data!Q899)</f>
        <v/>
      </c>
      <c r="F898" s="19">
        <f>IF($A898="","",IF(AND(D898="GAS",E898="OIL"),"GOC",IF(AND(D898="OIL",E898="WATER"),"OWC",IF(AND(D898="GAS",E898="WATER"),"GWC",IF(AND(D898="OIL",E898="OIL_WATER"),"OWC_TRANSITION",IF(AND(D898="OIL_WATER",E898="WATER"),"OWC_TRANSITION",IF(AND(D898="GAS",E898="GAS_WATER"),"GOC_TRANSITION",IF(AND(D898="GAS_WATER",E898="OIL"),"GOC_TRANSITION",IF(OR(D898="OIL_WATER",D898="GAS_WATER"),"TRANSITION_INTERVAL","")))))))))</f>
        <v/>
      </c>
      <c r="G898" s="20">
        <f>IF(OR(F898="",Master_Data!R898="",Master_Data!S898=""),"",IF(RIGHT(F898,10)="TRANSITION",AVERAGE(Master_Data!R898:Master_Data!S898),AVERAGE(Master_Data!S898,Master_Data!R899)))</f>
        <v/>
      </c>
      <c r="H898" s="20">
        <f>IF(G898="","",MAX(Settings!$B$4,Settings!$B$5*AVERAGE(IF(Master_Data!O898&lt;&gt;"",Master_Data!O898,Master_Data!H898),IF(Master_Data!O899&lt;&gt;"",Master_Data!O899,Master_Data!H899))))</f>
        <v/>
      </c>
      <c r="I898" s="20">
        <f>IF(G898="","",G898-H898)</f>
        <v/>
      </c>
      <c r="J898" s="20">
        <f>IF(G898="","",G898+H898)</f>
        <v/>
      </c>
      <c r="K898" s="20">
        <f>IF($A898="","",Master_Data!G898)</f>
        <v/>
      </c>
      <c r="L898" s="20">
        <f>IF($A898="","",Master_Data!G899)</f>
        <v/>
      </c>
      <c r="M898" s="20">
        <f>IF(AND(ISNUMBER(K898),ISNUMBER(L898)),L898-K898,"")</f>
        <v/>
      </c>
      <c r="N898" s="19">
        <f>IF(G898="","",IF(AND(ISNUMBER(K898),ISNUMBER(L898)),IF(OR(F898="GOC",F898="OWC",F898="GWC",F898="OWC_TRANSITION",F898="GOC_TRANSITION"),IF(L898&gt;=K898,"Supports","Conflicts"),"N/A"),"No Sw"))</f>
        <v/>
      </c>
      <c r="O898" s="20">
        <f>IF(G898="","",Settings!$B$6*IF(OR(F898="GOC",F898="OWC",F898="GWC"),1,0.7)+Settings!$B$7*IF(N898="Supports",1,IF(N898="Conflicts",0,0.5))+Settings!$B$8*IF(AND(Master_Data!R898&lt;&gt;"",Master_Data!S898&lt;&gt;"",Master_Data!R899&lt;&gt;"",Master_Data!S899&lt;&gt;""),1,0.5))</f>
        <v/>
      </c>
      <c r="P898" s="19">
        <f>IF(G898="","",IF(N898="Conflicts","SW_CONFLICT",IF(OR(F898="GOC",F898="OWC",F898="GWC"),"DIRECT_FLUID_TRANSITION","TRANSITION_INTERVAL")))</f>
        <v/>
      </c>
      <c r="Q898" s="19">
        <f>IF(G898="","",IF(N898="Conflicts","Investigate contact interpretation / saturation behaviour",IF(OR(F898="OWC",F898="GOC",F898="GWC"),"Candidate contact — validate with logs, pressure and dynamic evidence","Transition zone — do not force to a sharp contact")))</f>
        <v/>
      </c>
    </row>
    <row r="899">
      <c r="A899" s="19">
        <f>IF(AND(Master_Data!A899&lt;&gt;"",Master_Data!A899=Master_Data!A900),Master_Data!A899,"")</f>
        <v/>
      </c>
      <c r="B899" s="19">
        <f>IF($A899="","",Master_Data!B899)</f>
        <v/>
      </c>
      <c r="C899" s="19">
        <f>IF($A899="","",Master_Data!B900)</f>
        <v/>
      </c>
      <c r="D899" s="19">
        <f>IF($A899="","",Master_Data!Q899)</f>
        <v/>
      </c>
      <c r="E899" s="19">
        <f>IF($A899="","",Master_Data!Q900)</f>
        <v/>
      </c>
      <c r="F899" s="19">
        <f>IF($A899="","",IF(AND(D899="GAS",E899="OIL"),"GOC",IF(AND(D899="OIL",E899="WATER"),"OWC",IF(AND(D899="GAS",E899="WATER"),"GWC",IF(AND(D899="OIL",E899="OIL_WATER"),"OWC_TRANSITION",IF(AND(D899="OIL_WATER",E899="WATER"),"OWC_TRANSITION",IF(AND(D899="GAS",E899="GAS_WATER"),"GOC_TRANSITION",IF(AND(D899="GAS_WATER",E899="OIL"),"GOC_TRANSITION",IF(OR(D899="OIL_WATER",D899="GAS_WATER"),"TRANSITION_INTERVAL","")))))))))</f>
        <v/>
      </c>
      <c r="G899" s="20">
        <f>IF(OR(F899="",Master_Data!R899="",Master_Data!S899=""),"",IF(RIGHT(F899,10)="TRANSITION",AVERAGE(Master_Data!R899:Master_Data!S899),AVERAGE(Master_Data!S899,Master_Data!R900)))</f>
        <v/>
      </c>
      <c r="H899" s="20">
        <f>IF(G899="","",MAX(Settings!$B$4,Settings!$B$5*AVERAGE(IF(Master_Data!O899&lt;&gt;"",Master_Data!O899,Master_Data!H899),IF(Master_Data!O900&lt;&gt;"",Master_Data!O900,Master_Data!H900))))</f>
        <v/>
      </c>
      <c r="I899" s="20">
        <f>IF(G899="","",G899-H899)</f>
        <v/>
      </c>
      <c r="J899" s="20">
        <f>IF(G899="","",G899+H899)</f>
        <v/>
      </c>
      <c r="K899" s="20">
        <f>IF($A899="","",Master_Data!G899)</f>
        <v/>
      </c>
      <c r="L899" s="20">
        <f>IF($A899="","",Master_Data!G900)</f>
        <v/>
      </c>
      <c r="M899" s="20">
        <f>IF(AND(ISNUMBER(K899),ISNUMBER(L899)),L899-K899,"")</f>
        <v/>
      </c>
      <c r="N899" s="19">
        <f>IF(G899="","",IF(AND(ISNUMBER(K899),ISNUMBER(L899)),IF(OR(F899="GOC",F899="OWC",F899="GWC",F899="OWC_TRANSITION",F899="GOC_TRANSITION"),IF(L899&gt;=K899,"Supports","Conflicts"),"N/A"),"No Sw"))</f>
        <v/>
      </c>
      <c r="O899" s="20">
        <f>IF(G899="","",Settings!$B$6*IF(OR(F899="GOC",F899="OWC",F899="GWC"),1,0.7)+Settings!$B$7*IF(N899="Supports",1,IF(N899="Conflicts",0,0.5))+Settings!$B$8*IF(AND(Master_Data!R899&lt;&gt;"",Master_Data!S899&lt;&gt;"",Master_Data!R900&lt;&gt;"",Master_Data!S900&lt;&gt;""),1,0.5))</f>
        <v/>
      </c>
      <c r="P899" s="19">
        <f>IF(G899="","",IF(N899="Conflicts","SW_CONFLICT",IF(OR(F899="GOC",F899="OWC",F899="GWC"),"DIRECT_FLUID_TRANSITION","TRANSITION_INTERVAL")))</f>
        <v/>
      </c>
      <c r="Q899" s="19">
        <f>IF(G899="","",IF(N899="Conflicts","Investigate contact interpretation / saturation behaviour",IF(OR(F899="OWC",F899="GOC",F899="GWC"),"Candidate contact — validate with logs, pressure and dynamic evidence","Transition zone — do not force to a sharp contact")))</f>
        <v/>
      </c>
    </row>
    <row r="900">
      <c r="A900" s="19">
        <f>IF(AND(Master_Data!A900&lt;&gt;"",Master_Data!A900=Master_Data!A901),Master_Data!A900,"")</f>
        <v/>
      </c>
      <c r="B900" s="19">
        <f>IF($A900="","",Master_Data!B900)</f>
        <v/>
      </c>
      <c r="C900" s="19">
        <f>IF($A900="","",Master_Data!B901)</f>
        <v/>
      </c>
      <c r="D900" s="19">
        <f>IF($A900="","",Master_Data!Q900)</f>
        <v/>
      </c>
      <c r="E900" s="19">
        <f>IF($A900="","",Master_Data!Q901)</f>
        <v/>
      </c>
      <c r="F900" s="19">
        <f>IF($A900="","",IF(AND(D900="GAS",E900="OIL"),"GOC",IF(AND(D900="OIL",E900="WATER"),"OWC",IF(AND(D900="GAS",E900="WATER"),"GWC",IF(AND(D900="OIL",E900="OIL_WATER"),"OWC_TRANSITION",IF(AND(D900="OIL_WATER",E900="WATER"),"OWC_TRANSITION",IF(AND(D900="GAS",E900="GAS_WATER"),"GOC_TRANSITION",IF(AND(D900="GAS_WATER",E900="OIL"),"GOC_TRANSITION",IF(OR(D900="OIL_WATER",D900="GAS_WATER"),"TRANSITION_INTERVAL","")))))))))</f>
        <v/>
      </c>
      <c r="G900" s="20">
        <f>IF(OR(F900="",Master_Data!R900="",Master_Data!S900=""),"",IF(RIGHT(F900,10)="TRANSITION",AVERAGE(Master_Data!R900:Master_Data!S900),AVERAGE(Master_Data!S900,Master_Data!R901)))</f>
        <v/>
      </c>
      <c r="H900" s="20">
        <f>IF(G900="","",MAX(Settings!$B$4,Settings!$B$5*AVERAGE(IF(Master_Data!O900&lt;&gt;"",Master_Data!O900,Master_Data!H900),IF(Master_Data!O901&lt;&gt;"",Master_Data!O901,Master_Data!H901))))</f>
        <v/>
      </c>
      <c r="I900" s="20">
        <f>IF(G900="","",G900-H900)</f>
        <v/>
      </c>
      <c r="J900" s="20">
        <f>IF(G900="","",G900+H900)</f>
        <v/>
      </c>
      <c r="K900" s="20">
        <f>IF($A900="","",Master_Data!G900)</f>
        <v/>
      </c>
      <c r="L900" s="20">
        <f>IF($A900="","",Master_Data!G901)</f>
        <v/>
      </c>
      <c r="M900" s="20">
        <f>IF(AND(ISNUMBER(K900),ISNUMBER(L900)),L900-K900,"")</f>
        <v/>
      </c>
      <c r="N900" s="19">
        <f>IF(G900="","",IF(AND(ISNUMBER(K900),ISNUMBER(L900)),IF(OR(F900="GOC",F900="OWC",F900="GWC",F900="OWC_TRANSITION",F900="GOC_TRANSITION"),IF(L900&gt;=K900,"Supports","Conflicts"),"N/A"),"No Sw"))</f>
        <v/>
      </c>
      <c r="O900" s="20">
        <f>IF(G900="","",Settings!$B$6*IF(OR(F900="GOC",F900="OWC",F900="GWC"),1,0.7)+Settings!$B$7*IF(N900="Supports",1,IF(N900="Conflicts",0,0.5))+Settings!$B$8*IF(AND(Master_Data!R900&lt;&gt;"",Master_Data!S900&lt;&gt;"",Master_Data!R901&lt;&gt;"",Master_Data!S901&lt;&gt;""),1,0.5))</f>
        <v/>
      </c>
      <c r="P900" s="19">
        <f>IF(G900="","",IF(N900="Conflicts","SW_CONFLICT",IF(OR(F900="GOC",F900="OWC",F900="GWC"),"DIRECT_FLUID_TRANSITION","TRANSITION_INTERVAL")))</f>
        <v/>
      </c>
      <c r="Q900" s="19">
        <f>IF(G900="","",IF(N900="Conflicts","Investigate contact interpretation / saturation behaviour",IF(OR(F900="OWC",F900="GOC",F900="GWC"),"Candidate contact — validate with logs, pressure and dynamic evidence","Transition zone — do not force to a sharp contact")))</f>
        <v/>
      </c>
    </row>
    <row r="901">
      <c r="A901" s="19">
        <f>IF(AND(Master_Data!A901&lt;&gt;"",Master_Data!A901=Master_Data!A902),Master_Data!A901,"")</f>
        <v/>
      </c>
      <c r="B901" s="19">
        <f>IF($A901="","",Master_Data!B901)</f>
        <v/>
      </c>
      <c r="C901" s="19">
        <f>IF($A901="","",Master_Data!B902)</f>
        <v/>
      </c>
      <c r="D901" s="19">
        <f>IF($A901="","",Master_Data!Q901)</f>
        <v/>
      </c>
      <c r="E901" s="19">
        <f>IF($A901="","",Master_Data!Q902)</f>
        <v/>
      </c>
      <c r="F901" s="19">
        <f>IF($A901="","",IF(AND(D901="GAS",E901="OIL"),"GOC",IF(AND(D901="OIL",E901="WATER"),"OWC",IF(AND(D901="GAS",E901="WATER"),"GWC",IF(AND(D901="OIL",E901="OIL_WATER"),"OWC_TRANSITION",IF(AND(D901="OIL_WATER",E901="WATER"),"OWC_TRANSITION",IF(AND(D901="GAS",E901="GAS_WATER"),"GOC_TRANSITION",IF(AND(D901="GAS_WATER",E901="OIL"),"GOC_TRANSITION",IF(OR(D901="OIL_WATER",D901="GAS_WATER"),"TRANSITION_INTERVAL","")))))))))</f>
        <v/>
      </c>
      <c r="G901" s="20">
        <f>IF(OR(F901="",Master_Data!R901="",Master_Data!S901=""),"",IF(RIGHT(F901,10)="TRANSITION",AVERAGE(Master_Data!R901:Master_Data!S901),AVERAGE(Master_Data!S901,Master_Data!R902)))</f>
        <v/>
      </c>
      <c r="H901" s="20">
        <f>IF(G901="","",MAX(Settings!$B$4,Settings!$B$5*AVERAGE(IF(Master_Data!O901&lt;&gt;"",Master_Data!O901,Master_Data!H901),IF(Master_Data!O902&lt;&gt;"",Master_Data!O902,Master_Data!H902))))</f>
        <v/>
      </c>
      <c r="I901" s="20">
        <f>IF(G901="","",G901-H901)</f>
        <v/>
      </c>
      <c r="J901" s="20">
        <f>IF(G901="","",G901+H901)</f>
        <v/>
      </c>
      <c r="K901" s="20">
        <f>IF($A901="","",Master_Data!G901)</f>
        <v/>
      </c>
      <c r="L901" s="20">
        <f>IF($A901="","",Master_Data!G902)</f>
        <v/>
      </c>
      <c r="M901" s="20">
        <f>IF(AND(ISNUMBER(K901),ISNUMBER(L901)),L901-K901,"")</f>
        <v/>
      </c>
      <c r="N901" s="19">
        <f>IF(G901="","",IF(AND(ISNUMBER(K901),ISNUMBER(L901)),IF(OR(F901="GOC",F901="OWC",F901="GWC",F901="OWC_TRANSITION",F901="GOC_TRANSITION"),IF(L901&gt;=K901,"Supports","Conflicts"),"N/A"),"No Sw"))</f>
        <v/>
      </c>
      <c r="O901" s="20">
        <f>IF(G901="","",Settings!$B$6*IF(OR(F901="GOC",F901="OWC",F901="GWC"),1,0.7)+Settings!$B$7*IF(N901="Supports",1,IF(N901="Conflicts",0,0.5))+Settings!$B$8*IF(AND(Master_Data!R901&lt;&gt;"",Master_Data!S901&lt;&gt;"",Master_Data!R902&lt;&gt;"",Master_Data!S902&lt;&gt;""),1,0.5))</f>
        <v/>
      </c>
      <c r="P901" s="19">
        <f>IF(G901="","",IF(N901="Conflicts","SW_CONFLICT",IF(OR(F901="GOC",F901="OWC",F901="GWC"),"DIRECT_FLUID_TRANSITION","TRANSITION_INTERVAL")))</f>
        <v/>
      </c>
      <c r="Q901" s="19">
        <f>IF(G901="","",IF(N901="Conflicts","Investigate contact interpretation / saturation behaviour",IF(OR(F901="OWC",F901="GOC",F901="GWC"),"Candidate contact — validate with logs, pressure and dynamic evidence","Transition zone — do not force to a sharp contact")))</f>
        <v/>
      </c>
    </row>
    <row r="902">
      <c r="A902" s="19">
        <f>IF(AND(Master_Data!A902&lt;&gt;"",Master_Data!A902=Master_Data!A903),Master_Data!A902,"")</f>
        <v/>
      </c>
      <c r="B902" s="19">
        <f>IF($A902="","",Master_Data!B902)</f>
        <v/>
      </c>
      <c r="C902" s="19">
        <f>IF($A902="","",Master_Data!B903)</f>
        <v/>
      </c>
      <c r="D902" s="19">
        <f>IF($A902="","",Master_Data!Q902)</f>
        <v/>
      </c>
      <c r="E902" s="19">
        <f>IF($A902="","",Master_Data!Q903)</f>
        <v/>
      </c>
      <c r="F902" s="19">
        <f>IF($A902="","",IF(AND(D902="GAS",E902="OIL"),"GOC",IF(AND(D902="OIL",E902="WATER"),"OWC",IF(AND(D902="GAS",E902="WATER"),"GWC",IF(AND(D902="OIL",E902="OIL_WATER"),"OWC_TRANSITION",IF(AND(D902="OIL_WATER",E902="WATER"),"OWC_TRANSITION",IF(AND(D902="GAS",E902="GAS_WATER"),"GOC_TRANSITION",IF(AND(D902="GAS_WATER",E902="OIL"),"GOC_TRANSITION",IF(OR(D902="OIL_WATER",D902="GAS_WATER"),"TRANSITION_INTERVAL","")))))))))</f>
        <v/>
      </c>
      <c r="G902" s="20">
        <f>IF(OR(F902="",Master_Data!R902="",Master_Data!S902=""),"",IF(RIGHT(F902,10)="TRANSITION",AVERAGE(Master_Data!R902:Master_Data!S902),AVERAGE(Master_Data!S902,Master_Data!R903)))</f>
        <v/>
      </c>
      <c r="H902" s="20">
        <f>IF(G902="","",MAX(Settings!$B$4,Settings!$B$5*AVERAGE(IF(Master_Data!O902&lt;&gt;"",Master_Data!O902,Master_Data!H902),IF(Master_Data!O903&lt;&gt;"",Master_Data!O903,Master_Data!H903))))</f>
        <v/>
      </c>
      <c r="I902" s="20">
        <f>IF(G902="","",G902-H902)</f>
        <v/>
      </c>
      <c r="J902" s="20">
        <f>IF(G902="","",G902+H902)</f>
        <v/>
      </c>
      <c r="K902" s="20">
        <f>IF($A902="","",Master_Data!G902)</f>
        <v/>
      </c>
      <c r="L902" s="20">
        <f>IF($A902="","",Master_Data!G903)</f>
        <v/>
      </c>
      <c r="M902" s="20">
        <f>IF(AND(ISNUMBER(K902),ISNUMBER(L902)),L902-K902,"")</f>
        <v/>
      </c>
      <c r="N902" s="19">
        <f>IF(G902="","",IF(AND(ISNUMBER(K902),ISNUMBER(L902)),IF(OR(F902="GOC",F902="OWC",F902="GWC",F902="OWC_TRANSITION",F902="GOC_TRANSITION"),IF(L902&gt;=K902,"Supports","Conflicts"),"N/A"),"No Sw"))</f>
        <v/>
      </c>
      <c r="O902" s="20">
        <f>IF(G902="","",Settings!$B$6*IF(OR(F902="GOC",F902="OWC",F902="GWC"),1,0.7)+Settings!$B$7*IF(N902="Supports",1,IF(N902="Conflicts",0,0.5))+Settings!$B$8*IF(AND(Master_Data!R902&lt;&gt;"",Master_Data!S902&lt;&gt;"",Master_Data!R903&lt;&gt;"",Master_Data!S903&lt;&gt;""),1,0.5))</f>
        <v/>
      </c>
      <c r="P902" s="19">
        <f>IF(G902="","",IF(N902="Conflicts","SW_CONFLICT",IF(OR(F902="GOC",F902="OWC",F902="GWC"),"DIRECT_FLUID_TRANSITION","TRANSITION_INTERVAL")))</f>
        <v/>
      </c>
      <c r="Q902" s="19">
        <f>IF(G902="","",IF(N902="Conflicts","Investigate contact interpretation / saturation behaviour",IF(OR(F902="OWC",F902="GOC",F902="GWC"),"Candidate contact — validate with logs, pressure and dynamic evidence","Transition zone — do not force to a sharp contact")))</f>
        <v/>
      </c>
    </row>
    <row r="903">
      <c r="A903" s="19">
        <f>IF(AND(Master_Data!A903&lt;&gt;"",Master_Data!A903=Master_Data!A904),Master_Data!A903,"")</f>
        <v/>
      </c>
      <c r="B903" s="19">
        <f>IF($A903="","",Master_Data!B903)</f>
        <v/>
      </c>
      <c r="C903" s="19">
        <f>IF($A903="","",Master_Data!B904)</f>
        <v/>
      </c>
      <c r="D903" s="19">
        <f>IF($A903="","",Master_Data!Q903)</f>
        <v/>
      </c>
      <c r="E903" s="19">
        <f>IF($A903="","",Master_Data!Q904)</f>
        <v/>
      </c>
      <c r="F903" s="19">
        <f>IF($A903="","",IF(AND(D903="GAS",E903="OIL"),"GOC",IF(AND(D903="OIL",E903="WATER"),"OWC",IF(AND(D903="GAS",E903="WATER"),"GWC",IF(AND(D903="OIL",E903="OIL_WATER"),"OWC_TRANSITION",IF(AND(D903="OIL_WATER",E903="WATER"),"OWC_TRANSITION",IF(AND(D903="GAS",E903="GAS_WATER"),"GOC_TRANSITION",IF(AND(D903="GAS_WATER",E903="OIL"),"GOC_TRANSITION",IF(OR(D903="OIL_WATER",D903="GAS_WATER"),"TRANSITION_INTERVAL","")))))))))</f>
        <v/>
      </c>
      <c r="G903" s="20">
        <f>IF(OR(F903="",Master_Data!R903="",Master_Data!S903=""),"",IF(RIGHT(F903,10)="TRANSITION",AVERAGE(Master_Data!R903:Master_Data!S903),AVERAGE(Master_Data!S903,Master_Data!R904)))</f>
        <v/>
      </c>
      <c r="H903" s="20">
        <f>IF(G903="","",MAX(Settings!$B$4,Settings!$B$5*AVERAGE(IF(Master_Data!O903&lt;&gt;"",Master_Data!O903,Master_Data!H903),IF(Master_Data!O904&lt;&gt;"",Master_Data!O904,Master_Data!H904))))</f>
        <v/>
      </c>
      <c r="I903" s="20">
        <f>IF(G903="","",G903-H903)</f>
        <v/>
      </c>
      <c r="J903" s="20">
        <f>IF(G903="","",G903+H903)</f>
        <v/>
      </c>
      <c r="K903" s="20">
        <f>IF($A903="","",Master_Data!G903)</f>
        <v/>
      </c>
      <c r="L903" s="20">
        <f>IF($A903="","",Master_Data!G904)</f>
        <v/>
      </c>
      <c r="M903" s="20">
        <f>IF(AND(ISNUMBER(K903),ISNUMBER(L903)),L903-K903,"")</f>
        <v/>
      </c>
      <c r="N903" s="19">
        <f>IF(G903="","",IF(AND(ISNUMBER(K903),ISNUMBER(L903)),IF(OR(F903="GOC",F903="OWC",F903="GWC",F903="OWC_TRANSITION",F903="GOC_TRANSITION"),IF(L903&gt;=K903,"Supports","Conflicts"),"N/A"),"No Sw"))</f>
        <v/>
      </c>
      <c r="O903" s="20">
        <f>IF(G903="","",Settings!$B$6*IF(OR(F903="GOC",F903="OWC",F903="GWC"),1,0.7)+Settings!$B$7*IF(N903="Supports",1,IF(N903="Conflicts",0,0.5))+Settings!$B$8*IF(AND(Master_Data!R903&lt;&gt;"",Master_Data!S903&lt;&gt;"",Master_Data!R904&lt;&gt;"",Master_Data!S904&lt;&gt;""),1,0.5))</f>
        <v/>
      </c>
      <c r="P903" s="19">
        <f>IF(G903="","",IF(N903="Conflicts","SW_CONFLICT",IF(OR(F903="GOC",F903="OWC",F903="GWC"),"DIRECT_FLUID_TRANSITION","TRANSITION_INTERVAL")))</f>
        <v/>
      </c>
      <c r="Q903" s="19">
        <f>IF(G903="","",IF(N903="Conflicts","Investigate contact interpretation / saturation behaviour",IF(OR(F903="OWC",F903="GOC",F903="GWC"),"Candidate contact — validate with logs, pressure and dynamic evidence","Transition zone — do not force to a sharp contact")))</f>
        <v/>
      </c>
    </row>
    <row r="904">
      <c r="A904" s="19">
        <f>IF(AND(Master_Data!A904&lt;&gt;"",Master_Data!A904=Master_Data!A905),Master_Data!A904,"")</f>
        <v/>
      </c>
      <c r="B904" s="19">
        <f>IF($A904="","",Master_Data!B904)</f>
        <v/>
      </c>
      <c r="C904" s="19">
        <f>IF($A904="","",Master_Data!B905)</f>
        <v/>
      </c>
      <c r="D904" s="19">
        <f>IF($A904="","",Master_Data!Q904)</f>
        <v/>
      </c>
      <c r="E904" s="19">
        <f>IF($A904="","",Master_Data!Q905)</f>
        <v/>
      </c>
      <c r="F904" s="19">
        <f>IF($A904="","",IF(AND(D904="GAS",E904="OIL"),"GOC",IF(AND(D904="OIL",E904="WATER"),"OWC",IF(AND(D904="GAS",E904="WATER"),"GWC",IF(AND(D904="OIL",E904="OIL_WATER"),"OWC_TRANSITION",IF(AND(D904="OIL_WATER",E904="WATER"),"OWC_TRANSITION",IF(AND(D904="GAS",E904="GAS_WATER"),"GOC_TRANSITION",IF(AND(D904="GAS_WATER",E904="OIL"),"GOC_TRANSITION",IF(OR(D904="OIL_WATER",D904="GAS_WATER"),"TRANSITION_INTERVAL","")))))))))</f>
        <v/>
      </c>
      <c r="G904" s="20">
        <f>IF(OR(F904="",Master_Data!R904="",Master_Data!S904=""),"",IF(RIGHT(F904,10)="TRANSITION",AVERAGE(Master_Data!R904:Master_Data!S904),AVERAGE(Master_Data!S904,Master_Data!R905)))</f>
        <v/>
      </c>
      <c r="H904" s="20">
        <f>IF(G904="","",MAX(Settings!$B$4,Settings!$B$5*AVERAGE(IF(Master_Data!O904&lt;&gt;"",Master_Data!O904,Master_Data!H904),IF(Master_Data!O905&lt;&gt;"",Master_Data!O905,Master_Data!H905))))</f>
        <v/>
      </c>
      <c r="I904" s="20">
        <f>IF(G904="","",G904-H904)</f>
        <v/>
      </c>
      <c r="J904" s="20">
        <f>IF(G904="","",G904+H904)</f>
        <v/>
      </c>
      <c r="K904" s="20">
        <f>IF($A904="","",Master_Data!G904)</f>
        <v/>
      </c>
      <c r="L904" s="20">
        <f>IF($A904="","",Master_Data!G905)</f>
        <v/>
      </c>
      <c r="M904" s="20">
        <f>IF(AND(ISNUMBER(K904),ISNUMBER(L904)),L904-K904,"")</f>
        <v/>
      </c>
      <c r="N904" s="19">
        <f>IF(G904="","",IF(AND(ISNUMBER(K904),ISNUMBER(L904)),IF(OR(F904="GOC",F904="OWC",F904="GWC",F904="OWC_TRANSITION",F904="GOC_TRANSITION"),IF(L904&gt;=K904,"Supports","Conflicts"),"N/A"),"No Sw"))</f>
        <v/>
      </c>
      <c r="O904" s="20">
        <f>IF(G904="","",Settings!$B$6*IF(OR(F904="GOC",F904="OWC",F904="GWC"),1,0.7)+Settings!$B$7*IF(N904="Supports",1,IF(N904="Conflicts",0,0.5))+Settings!$B$8*IF(AND(Master_Data!R904&lt;&gt;"",Master_Data!S904&lt;&gt;"",Master_Data!R905&lt;&gt;"",Master_Data!S905&lt;&gt;""),1,0.5))</f>
        <v/>
      </c>
      <c r="P904" s="19">
        <f>IF(G904="","",IF(N904="Conflicts","SW_CONFLICT",IF(OR(F904="GOC",F904="OWC",F904="GWC"),"DIRECT_FLUID_TRANSITION","TRANSITION_INTERVAL")))</f>
        <v/>
      </c>
      <c r="Q904" s="19">
        <f>IF(G904="","",IF(N904="Conflicts","Investigate contact interpretation / saturation behaviour",IF(OR(F904="OWC",F904="GOC",F904="GWC"),"Candidate contact — validate with logs, pressure and dynamic evidence","Transition zone — do not force to a sharp contact")))</f>
        <v/>
      </c>
    </row>
    <row r="905">
      <c r="A905" s="19">
        <f>IF(AND(Master_Data!A905&lt;&gt;"",Master_Data!A905=Master_Data!A906),Master_Data!A905,"")</f>
        <v/>
      </c>
      <c r="B905" s="19">
        <f>IF($A905="","",Master_Data!B905)</f>
        <v/>
      </c>
      <c r="C905" s="19">
        <f>IF($A905="","",Master_Data!B906)</f>
        <v/>
      </c>
      <c r="D905" s="19">
        <f>IF($A905="","",Master_Data!Q905)</f>
        <v/>
      </c>
      <c r="E905" s="19">
        <f>IF($A905="","",Master_Data!Q906)</f>
        <v/>
      </c>
      <c r="F905" s="19">
        <f>IF($A905="","",IF(AND(D905="GAS",E905="OIL"),"GOC",IF(AND(D905="OIL",E905="WATER"),"OWC",IF(AND(D905="GAS",E905="WATER"),"GWC",IF(AND(D905="OIL",E905="OIL_WATER"),"OWC_TRANSITION",IF(AND(D905="OIL_WATER",E905="WATER"),"OWC_TRANSITION",IF(AND(D905="GAS",E905="GAS_WATER"),"GOC_TRANSITION",IF(AND(D905="GAS_WATER",E905="OIL"),"GOC_TRANSITION",IF(OR(D905="OIL_WATER",D905="GAS_WATER"),"TRANSITION_INTERVAL","")))))))))</f>
        <v/>
      </c>
      <c r="G905" s="20">
        <f>IF(OR(F905="",Master_Data!R905="",Master_Data!S905=""),"",IF(RIGHT(F905,10)="TRANSITION",AVERAGE(Master_Data!R905:Master_Data!S905),AVERAGE(Master_Data!S905,Master_Data!R906)))</f>
        <v/>
      </c>
      <c r="H905" s="20">
        <f>IF(G905="","",MAX(Settings!$B$4,Settings!$B$5*AVERAGE(IF(Master_Data!O905&lt;&gt;"",Master_Data!O905,Master_Data!H905),IF(Master_Data!O906&lt;&gt;"",Master_Data!O906,Master_Data!H906))))</f>
        <v/>
      </c>
      <c r="I905" s="20">
        <f>IF(G905="","",G905-H905)</f>
        <v/>
      </c>
      <c r="J905" s="20">
        <f>IF(G905="","",G905+H905)</f>
        <v/>
      </c>
      <c r="K905" s="20">
        <f>IF($A905="","",Master_Data!G905)</f>
        <v/>
      </c>
      <c r="L905" s="20">
        <f>IF($A905="","",Master_Data!G906)</f>
        <v/>
      </c>
      <c r="M905" s="20">
        <f>IF(AND(ISNUMBER(K905),ISNUMBER(L905)),L905-K905,"")</f>
        <v/>
      </c>
      <c r="N905" s="19">
        <f>IF(G905="","",IF(AND(ISNUMBER(K905),ISNUMBER(L905)),IF(OR(F905="GOC",F905="OWC",F905="GWC",F905="OWC_TRANSITION",F905="GOC_TRANSITION"),IF(L905&gt;=K905,"Supports","Conflicts"),"N/A"),"No Sw"))</f>
        <v/>
      </c>
      <c r="O905" s="20">
        <f>IF(G905="","",Settings!$B$6*IF(OR(F905="GOC",F905="OWC",F905="GWC"),1,0.7)+Settings!$B$7*IF(N905="Supports",1,IF(N905="Conflicts",0,0.5))+Settings!$B$8*IF(AND(Master_Data!R905&lt;&gt;"",Master_Data!S905&lt;&gt;"",Master_Data!R906&lt;&gt;"",Master_Data!S906&lt;&gt;""),1,0.5))</f>
        <v/>
      </c>
      <c r="P905" s="19">
        <f>IF(G905="","",IF(N905="Conflicts","SW_CONFLICT",IF(OR(F905="GOC",F905="OWC",F905="GWC"),"DIRECT_FLUID_TRANSITION","TRANSITION_INTERVAL")))</f>
        <v/>
      </c>
      <c r="Q905" s="19">
        <f>IF(G905="","",IF(N905="Conflicts","Investigate contact interpretation / saturation behaviour",IF(OR(F905="OWC",F905="GOC",F905="GWC"),"Candidate contact — validate with logs, pressure and dynamic evidence","Transition zone — do not force to a sharp contact")))</f>
        <v/>
      </c>
    </row>
    <row r="906">
      <c r="A906" s="19">
        <f>IF(AND(Master_Data!A906&lt;&gt;"",Master_Data!A906=Master_Data!A907),Master_Data!A906,"")</f>
        <v/>
      </c>
      <c r="B906" s="19">
        <f>IF($A906="","",Master_Data!B906)</f>
        <v/>
      </c>
      <c r="C906" s="19">
        <f>IF($A906="","",Master_Data!B907)</f>
        <v/>
      </c>
      <c r="D906" s="19">
        <f>IF($A906="","",Master_Data!Q906)</f>
        <v/>
      </c>
      <c r="E906" s="19">
        <f>IF($A906="","",Master_Data!Q907)</f>
        <v/>
      </c>
      <c r="F906" s="19">
        <f>IF($A906="","",IF(AND(D906="GAS",E906="OIL"),"GOC",IF(AND(D906="OIL",E906="WATER"),"OWC",IF(AND(D906="GAS",E906="WATER"),"GWC",IF(AND(D906="OIL",E906="OIL_WATER"),"OWC_TRANSITION",IF(AND(D906="OIL_WATER",E906="WATER"),"OWC_TRANSITION",IF(AND(D906="GAS",E906="GAS_WATER"),"GOC_TRANSITION",IF(AND(D906="GAS_WATER",E906="OIL"),"GOC_TRANSITION",IF(OR(D906="OIL_WATER",D906="GAS_WATER"),"TRANSITION_INTERVAL","")))))))))</f>
        <v/>
      </c>
      <c r="G906" s="20">
        <f>IF(OR(F906="",Master_Data!R906="",Master_Data!S906=""),"",IF(RIGHT(F906,10)="TRANSITION",AVERAGE(Master_Data!R906:Master_Data!S906),AVERAGE(Master_Data!S906,Master_Data!R907)))</f>
        <v/>
      </c>
      <c r="H906" s="20">
        <f>IF(G906="","",MAX(Settings!$B$4,Settings!$B$5*AVERAGE(IF(Master_Data!O906&lt;&gt;"",Master_Data!O906,Master_Data!H906),IF(Master_Data!O907&lt;&gt;"",Master_Data!O907,Master_Data!H907))))</f>
        <v/>
      </c>
      <c r="I906" s="20">
        <f>IF(G906="","",G906-H906)</f>
        <v/>
      </c>
      <c r="J906" s="20">
        <f>IF(G906="","",G906+H906)</f>
        <v/>
      </c>
      <c r="K906" s="20">
        <f>IF($A906="","",Master_Data!G906)</f>
        <v/>
      </c>
      <c r="L906" s="20">
        <f>IF($A906="","",Master_Data!G907)</f>
        <v/>
      </c>
      <c r="M906" s="20">
        <f>IF(AND(ISNUMBER(K906),ISNUMBER(L906)),L906-K906,"")</f>
        <v/>
      </c>
      <c r="N906" s="19">
        <f>IF(G906="","",IF(AND(ISNUMBER(K906),ISNUMBER(L906)),IF(OR(F906="GOC",F906="OWC",F906="GWC",F906="OWC_TRANSITION",F906="GOC_TRANSITION"),IF(L906&gt;=K906,"Supports","Conflicts"),"N/A"),"No Sw"))</f>
        <v/>
      </c>
      <c r="O906" s="20">
        <f>IF(G906="","",Settings!$B$6*IF(OR(F906="GOC",F906="OWC",F906="GWC"),1,0.7)+Settings!$B$7*IF(N906="Supports",1,IF(N906="Conflicts",0,0.5))+Settings!$B$8*IF(AND(Master_Data!R906&lt;&gt;"",Master_Data!S906&lt;&gt;"",Master_Data!R907&lt;&gt;"",Master_Data!S907&lt;&gt;""),1,0.5))</f>
        <v/>
      </c>
      <c r="P906" s="19">
        <f>IF(G906="","",IF(N906="Conflicts","SW_CONFLICT",IF(OR(F906="GOC",F906="OWC",F906="GWC"),"DIRECT_FLUID_TRANSITION","TRANSITION_INTERVAL")))</f>
        <v/>
      </c>
      <c r="Q906" s="19">
        <f>IF(G906="","",IF(N906="Conflicts","Investigate contact interpretation / saturation behaviour",IF(OR(F906="OWC",F906="GOC",F906="GWC"),"Candidate contact — validate with logs, pressure and dynamic evidence","Transition zone — do not force to a sharp contact")))</f>
        <v/>
      </c>
    </row>
    <row r="907">
      <c r="A907" s="19">
        <f>IF(AND(Master_Data!A907&lt;&gt;"",Master_Data!A907=Master_Data!A908),Master_Data!A907,"")</f>
        <v/>
      </c>
      <c r="B907" s="19">
        <f>IF($A907="","",Master_Data!B907)</f>
        <v/>
      </c>
      <c r="C907" s="19">
        <f>IF($A907="","",Master_Data!B908)</f>
        <v/>
      </c>
      <c r="D907" s="19">
        <f>IF($A907="","",Master_Data!Q907)</f>
        <v/>
      </c>
      <c r="E907" s="19">
        <f>IF($A907="","",Master_Data!Q908)</f>
        <v/>
      </c>
      <c r="F907" s="19">
        <f>IF($A907="","",IF(AND(D907="GAS",E907="OIL"),"GOC",IF(AND(D907="OIL",E907="WATER"),"OWC",IF(AND(D907="GAS",E907="WATER"),"GWC",IF(AND(D907="OIL",E907="OIL_WATER"),"OWC_TRANSITION",IF(AND(D907="OIL_WATER",E907="WATER"),"OWC_TRANSITION",IF(AND(D907="GAS",E907="GAS_WATER"),"GOC_TRANSITION",IF(AND(D907="GAS_WATER",E907="OIL"),"GOC_TRANSITION",IF(OR(D907="OIL_WATER",D907="GAS_WATER"),"TRANSITION_INTERVAL","")))))))))</f>
        <v/>
      </c>
      <c r="G907" s="20">
        <f>IF(OR(F907="",Master_Data!R907="",Master_Data!S907=""),"",IF(RIGHT(F907,10)="TRANSITION",AVERAGE(Master_Data!R907:Master_Data!S907),AVERAGE(Master_Data!S907,Master_Data!R908)))</f>
        <v/>
      </c>
      <c r="H907" s="20">
        <f>IF(G907="","",MAX(Settings!$B$4,Settings!$B$5*AVERAGE(IF(Master_Data!O907&lt;&gt;"",Master_Data!O907,Master_Data!H907),IF(Master_Data!O908&lt;&gt;"",Master_Data!O908,Master_Data!H908))))</f>
        <v/>
      </c>
      <c r="I907" s="20">
        <f>IF(G907="","",G907-H907)</f>
        <v/>
      </c>
      <c r="J907" s="20">
        <f>IF(G907="","",G907+H907)</f>
        <v/>
      </c>
      <c r="K907" s="20">
        <f>IF($A907="","",Master_Data!G907)</f>
        <v/>
      </c>
      <c r="L907" s="20">
        <f>IF($A907="","",Master_Data!G908)</f>
        <v/>
      </c>
      <c r="M907" s="20">
        <f>IF(AND(ISNUMBER(K907),ISNUMBER(L907)),L907-K907,"")</f>
        <v/>
      </c>
      <c r="N907" s="19">
        <f>IF(G907="","",IF(AND(ISNUMBER(K907),ISNUMBER(L907)),IF(OR(F907="GOC",F907="OWC",F907="GWC",F907="OWC_TRANSITION",F907="GOC_TRANSITION"),IF(L907&gt;=K907,"Supports","Conflicts"),"N/A"),"No Sw"))</f>
        <v/>
      </c>
      <c r="O907" s="20">
        <f>IF(G907="","",Settings!$B$6*IF(OR(F907="GOC",F907="OWC",F907="GWC"),1,0.7)+Settings!$B$7*IF(N907="Supports",1,IF(N907="Conflicts",0,0.5))+Settings!$B$8*IF(AND(Master_Data!R907&lt;&gt;"",Master_Data!S907&lt;&gt;"",Master_Data!R908&lt;&gt;"",Master_Data!S908&lt;&gt;""),1,0.5))</f>
        <v/>
      </c>
      <c r="P907" s="19">
        <f>IF(G907="","",IF(N907="Conflicts","SW_CONFLICT",IF(OR(F907="GOC",F907="OWC",F907="GWC"),"DIRECT_FLUID_TRANSITION","TRANSITION_INTERVAL")))</f>
        <v/>
      </c>
      <c r="Q907" s="19">
        <f>IF(G907="","",IF(N907="Conflicts","Investigate contact interpretation / saturation behaviour",IF(OR(F907="OWC",F907="GOC",F907="GWC"),"Candidate contact — validate with logs, pressure and dynamic evidence","Transition zone — do not force to a sharp contact")))</f>
        <v/>
      </c>
    </row>
    <row r="908">
      <c r="A908" s="19">
        <f>IF(AND(Master_Data!A908&lt;&gt;"",Master_Data!A908=Master_Data!A909),Master_Data!A908,"")</f>
        <v/>
      </c>
      <c r="B908" s="19">
        <f>IF($A908="","",Master_Data!B908)</f>
        <v/>
      </c>
      <c r="C908" s="19">
        <f>IF($A908="","",Master_Data!B909)</f>
        <v/>
      </c>
      <c r="D908" s="19">
        <f>IF($A908="","",Master_Data!Q908)</f>
        <v/>
      </c>
      <c r="E908" s="19">
        <f>IF($A908="","",Master_Data!Q909)</f>
        <v/>
      </c>
      <c r="F908" s="19">
        <f>IF($A908="","",IF(AND(D908="GAS",E908="OIL"),"GOC",IF(AND(D908="OIL",E908="WATER"),"OWC",IF(AND(D908="GAS",E908="WATER"),"GWC",IF(AND(D908="OIL",E908="OIL_WATER"),"OWC_TRANSITION",IF(AND(D908="OIL_WATER",E908="WATER"),"OWC_TRANSITION",IF(AND(D908="GAS",E908="GAS_WATER"),"GOC_TRANSITION",IF(AND(D908="GAS_WATER",E908="OIL"),"GOC_TRANSITION",IF(OR(D908="OIL_WATER",D908="GAS_WATER"),"TRANSITION_INTERVAL","")))))))))</f>
        <v/>
      </c>
      <c r="G908" s="20">
        <f>IF(OR(F908="",Master_Data!R908="",Master_Data!S908=""),"",IF(RIGHT(F908,10)="TRANSITION",AVERAGE(Master_Data!R908:Master_Data!S908),AVERAGE(Master_Data!S908,Master_Data!R909)))</f>
        <v/>
      </c>
      <c r="H908" s="20">
        <f>IF(G908="","",MAX(Settings!$B$4,Settings!$B$5*AVERAGE(IF(Master_Data!O908&lt;&gt;"",Master_Data!O908,Master_Data!H908),IF(Master_Data!O909&lt;&gt;"",Master_Data!O909,Master_Data!H909))))</f>
        <v/>
      </c>
      <c r="I908" s="20">
        <f>IF(G908="","",G908-H908)</f>
        <v/>
      </c>
      <c r="J908" s="20">
        <f>IF(G908="","",G908+H908)</f>
        <v/>
      </c>
      <c r="K908" s="20">
        <f>IF($A908="","",Master_Data!G908)</f>
        <v/>
      </c>
      <c r="L908" s="20">
        <f>IF($A908="","",Master_Data!G909)</f>
        <v/>
      </c>
      <c r="M908" s="20">
        <f>IF(AND(ISNUMBER(K908),ISNUMBER(L908)),L908-K908,"")</f>
        <v/>
      </c>
      <c r="N908" s="19">
        <f>IF(G908="","",IF(AND(ISNUMBER(K908),ISNUMBER(L908)),IF(OR(F908="GOC",F908="OWC",F908="GWC",F908="OWC_TRANSITION",F908="GOC_TRANSITION"),IF(L908&gt;=K908,"Supports","Conflicts"),"N/A"),"No Sw"))</f>
        <v/>
      </c>
      <c r="O908" s="20">
        <f>IF(G908="","",Settings!$B$6*IF(OR(F908="GOC",F908="OWC",F908="GWC"),1,0.7)+Settings!$B$7*IF(N908="Supports",1,IF(N908="Conflicts",0,0.5))+Settings!$B$8*IF(AND(Master_Data!R908&lt;&gt;"",Master_Data!S908&lt;&gt;"",Master_Data!R909&lt;&gt;"",Master_Data!S909&lt;&gt;""),1,0.5))</f>
        <v/>
      </c>
      <c r="P908" s="19">
        <f>IF(G908="","",IF(N908="Conflicts","SW_CONFLICT",IF(OR(F908="GOC",F908="OWC",F908="GWC"),"DIRECT_FLUID_TRANSITION","TRANSITION_INTERVAL")))</f>
        <v/>
      </c>
      <c r="Q908" s="19">
        <f>IF(G908="","",IF(N908="Conflicts","Investigate contact interpretation / saturation behaviour",IF(OR(F908="OWC",F908="GOC",F908="GWC"),"Candidate contact — validate with logs, pressure and dynamic evidence","Transition zone — do not force to a sharp contact")))</f>
        <v/>
      </c>
    </row>
    <row r="909">
      <c r="A909" s="19">
        <f>IF(AND(Master_Data!A909&lt;&gt;"",Master_Data!A909=Master_Data!A910),Master_Data!A909,"")</f>
        <v/>
      </c>
      <c r="B909" s="19">
        <f>IF($A909="","",Master_Data!B909)</f>
        <v/>
      </c>
      <c r="C909" s="19">
        <f>IF($A909="","",Master_Data!B910)</f>
        <v/>
      </c>
      <c r="D909" s="19">
        <f>IF($A909="","",Master_Data!Q909)</f>
        <v/>
      </c>
      <c r="E909" s="19">
        <f>IF($A909="","",Master_Data!Q910)</f>
        <v/>
      </c>
      <c r="F909" s="19">
        <f>IF($A909="","",IF(AND(D909="GAS",E909="OIL"),"GOC",IF(AND(D909="OIL",E909="WATER"),"OWC",IF(AND(D909="GAS",E909="WATER"),"GWC",IF(AND(D909="OIL",E909="OIL_WATER"),"OWC_TRANSITION",IF(AND(D909="OIL_WATER",E909="WATER"),"OWC_TRANSITION",IF(AND(D909="GAS",E909="GAS_WATER"),"GOC_TRANSITION",IF(AND(D909="GAS_WATER",E909="OIL"),"GOC_TRANSITION",IF(OR(D909="OIL_WATER",D909="GAS_WATER"),"TRANSITION_INTERVAL","")))))))))</f>
        <v/>
      </c>
      <c r="G909" s="20">
        <f>IF(OR(F909="",Master_Data!R909="",Master_Data!S909=""),"",IF(RIGHT(F909,10)="TRANSITION",AVERAGE(Master_Data!R909:Master_Data!S909),AVERAGE(Master_Data!S909,Master_Data!R910)))</f>
        <v/>
      </c>
      <c r="H909" s="20">
        <f>IF(G909="","",MAX(Settings!$B$4,Settings!$B$5*AVERAGE(IF(Master_Data!O909&lt;&gt;"",Master_Data!O909,Master_Data!H909),IF(Master_Data!O910&lt;&gt;"",Master_Data!O910,Master_Data!H910))))</f>
        <v/>
      </c>
      <c r="I909" s="20">
        <f>IF(G909="","",G909-H909)</f>
        <v/>
      </c>
      <c r="J909" s="20">
        <f>IF(G909="","",G909+H909)</f>
        <v/>
      </c>
      <c r="K909" s="20">
        <f>IF($A909="","",Master_Data!G909)</f>
        <v/>
      </c>
      <c r="L909" s="20">
        <f>IF($A909="","",Master_Data!G910)</f>
        <v/>
      </c>
      <c r="M909" s="20">
        <f>IF(AND(ISNUMBER(K909),ISNUMBER(L909)),L909-K909,"")</f>
        <v/>
      </c>
      <c r="N909" s="19">
        <f>IF(G909="","",IF(AND(ISNUMBER(K909),ISNUMBER(L909)),IF(OR(F909="GOC",F909="OWC",F909="GWC",F909="OWC_TRANSITION",F909="GOC_TRANSITION"),IF(L909&gt;=K909,"Supports","Conflicts"),"N/A"),"No Sw"))</f>
        <v/>
      </c>
      <c r="O909" s="20">
        <f>IF(G909="","",Settings!$B$6*IF(OR(F909="GOC",F909="OWC",F909="GWC"),1,0.7)+Settings!$B$7*IF(N909="Supports",1,IF(N909="Conflicts",0,0.5))+Settings!$B$8*IF(AND(Master_Data!R909&lt;&gt;"",Master_Data!S909&lt;&gt;"",Master_Data!R910&lt;&gt;"",Master_Data!S910&lt;&gt;""),1,0.5))</f>
        <v/>
      </c>
      <c r="P909" s="19">
        <f>IF(G909="","",IF(N909="Conflicts","SW_CONFLICT",IF(OR(F909="GOC",F909="OWC",F909="GWC"),"DIRECT_FLUID_TRANSITION","TRANSITION_INTERVAL")))</f>
        <v/>
      </c>
      <c r="Q909" s="19">
        <f>IF(G909="","",IF(N909="Conflicts","Investigate contact interpretation / saturation behaviour",IF(OR(F909="OWC",F909="GOC",F909="GWC"),"Candidate contact — validate with logs, pressure and dynamic evidence","Transition zone — do not force to a sharp contact")))</f>
        <v/>
      </c>
    </row>
    <row r="910">
      <c r="A910" s="19">
        <f>IF(AND(Master_Data!A910&lt;&gt;"",Master_Data!A910=Master_Data!A911),Master_Data!A910,"")</f>
        <v/>
      </c>
      <c r="B910" s="19">
        <f>IF($A910="","",Master_Data!B910)</f>
        <v/>
      </c>
      <c r="C910" s="19">
        <f>IF($A910="","",Master_Data!B911)</f>
        <v/>
      </c>
      <c r="D910" s="19">
        <f>IF($A910="","",Master_Data!Q910)</f>
        <v/>
      </c>
      <c r="E910" s="19">
        <f>IF($A910="","",Master_Data!Q911)</f>
        <v/>
      </c>
      <c r="F910" s="19">
        <f>IF($A910="","",IF(AND(D910="GAS",E910="OIL"),"GOC",IF(AND(D910="OIL",E910="WATER"),"OWC",IF(AND(D910="GAS",E910="WATER"),"GWC",IF(AND(D910="OIL",E910="OIL_WATER"),"OWC_TRANSITION",IF(AND(D910="OIL_WATER",E910="WATER"),"OWC_TRANSITION",IF(AND(D910="GAS",E910="GAS_WATER"),"GOC_TRANSITION",IF(AND(D910="GAS_WATER",E910="OIL"),"GOC_TRANSITION",IF(OR(D910="OIL_WATER",D910="GAS_WATER"),"TRANSITION_INTERVAL","")))))))))</f>
        <v/>
      </c>
      <c r="G910" s="20">
        <f>IF(OR(F910="",Master_Data!R910="",Master_Data!S910=""),"",IF(RIGHT(F910,10)="TRANSITION",AVERAGE(Master_Data!R910:Master_Data!S910),AVERAGE(Master_Data!S910,Master_Data!R911)))</f>
        <v/>
      </c>
      <c r="H910" s="20">
        <f>IF(G910="","",MAX(Settings!$B$4,Settings!$B$5*AVERAGE(IF(Master_Data!O910&lt;&gt;"",Master_Data!O910,Master_Data!H910),IF(Master_Data!O911&lt;&gt;"",Master_Data!O911,Master_Data!H911))))</f>
        <v/>
      </c>
      <c r="I910" s="20">
        <f>IF(G910="","",G910-H910)</f>
        <v/>
      </c>
      <c r="J910" s="20">
        <f>IF(G910="","",G910+H910)</f>
        <v/>
      </c>
      <c r="K910" s="20">
        <f>IF($A910="","",Master_Data!G910)</f>
        <v/>
      </c>
      <c r="L910" s="20">
        <f>IF($A910="","",Master_Data!G911)</f>
        <v/>
      </c>
      <c r="M910" s="20">
        <f>IF(AND(ISNUMBER(K910),ISNUMBER(L910)),L910-K910,"")</f>
        <v/>
      </c>
      <c r="N910" s="19">
        <f>IF(G910="","",IF(AND(ISNUMBER(K910),ISNUMBER(L910)),IF(OR(F910="GOC",F910="OWC",F910="GWC",F910="OWC_TRANSITION",F910="GOC_TRANSITION"),IF(L910&gt;=K910,"Supports","Conflicts"),"N/A"),"No Sw"))</f>
        <v/>
      </c>
      <c r="O910" s="20">
        <f>IF(G910="","",Settings!$B$6*IF(OR(F910="GOC",F910="OWC",F910="GWC"),1,0.7)+Settings!$B$7*IF(N910="Supports",1,IF(N910="Conflicts",0,0.5))+Settings!$B$8*IF(AND(Master_Data!R910&lt;&gt;"",Master_Data!S910&lt;&gt;"",Master_Data!R911&lt;&gt;"",Master_Data!S911&lt;&gt;""),1,0.5))</f>
        <v/>
      </c>
      <c r="P910" s="19">
        <f>IF(G910="","",IF(N910="Conflicts","SW_CONFLICT",IF(OR(F910="GOC",F910="OWC",F910="GWC"),"DIRECT_FLUID_TRANSITION","TRANSITION_INTERVAL")))</f>
        <v/>
      </c>
      <c r="Q910" s="19">
        <f>IF(G910="","",IF(N910="Conflicts","Investigate contact interpretation / saturation behaviour",IF(OR(F910="OWC",F910="GOC",F910="GWC"),"Candidate contact — validate with logs, pressure and dynamic evidence","Transition zone — do not force to a sharp contact")))</f>
        <v/>
      </c>
    </row>
    <row r="911">
      <c r="A911" s="19">
        <f>IF(AND(Master_Data!A911&lt;&gt;"",Master_Data!A911=Master_Data!A912),Master_Data!A911,"")</f>
        <v/>
      </c>
      <c r="B911" s="19">
        <f>IF($A911="","",Master_Data!B911)</f>
        <v/>
      </c>
      <c r="C911" s="19">
        <f>IF($A911="","",Master_Data!B912)</f>
        <v/>
      </c>
      <c r="D911" s="19">
        <f>IF($A911="","",Master_Data!Q911)</f>
        <v/>
      </c>
      <c r="E911" s="19">
        <f>IF($A911="","",Master_Data!Q912)</f>
        <v/>
      </c>
      <c r="F911" s="19">
        <f>IF($A911="","",IF(AND(D911="GAS",E911="OIL"),"GOC",IF(AND(D911="OIL",E911="WATER"),"OWC",IF(AND(D911="GAS",E911="WATER"),"GWC",IF(AND(D911="OIL",E911="OIL_WATER"),"OWC_TRANSITION",IF(AND(D911="OIL_WATER",E911="WATER"),"OWC_TRANSITION",IF(AND(D911="GAS",E911="GAS_WATER"),"GOC_TRANSITION",IF(AND(D911="GAS_WATER",E911="OIL"),"GOC_TRANSITION",IF(OR(D911="OIL_WATER",D911="GAS_WATER"),"TRANSITION_INTERVAL","")))))))))</f>
        <v/>
      </c>
      <c r="G911" s="20">
        <f>IF(OR(F911="",Master_Data!R911="",Master_Data!S911=""),"",IF(RIGHT(F911,10)="TRANSITION",AVERAGE(Master_Data!R911:Master_Data!S911),AVERAGE(Master_Data!S911,Master_Data!R912)))</f>
        <v/>
      </c>
      <c r="H911" s="20">
        <f>IF(G911="","",MAX(Settings!$B$4,Settings!$B$5*AVERAGE(IF(Master_Data!O911&lt;&gt;"",Master_Data!O911,Master_Data!H911),IF(Master_Data!O912&lt;&gt;"",Master_Data!O912,Master_Data!H912))))</f>
        <v/>
      </c>
      <c r="I911" s="20">
        <f>IF(G911="","",G911-H911)</f>
        <v/>
      </c>
      <c r="J911" s="20">
        <f>IF(G911="","",G911+H911)</f>
        <v/>
      </c>
      <c r="K911" s="20">
        <f>IF($A911="","",Master_Data!G911)</f>
        <v/>
      </c>
      <c r="L911" s="20">
        <f>IF($A911="","",Master_Data!G912)</f>
        <v/>
      </c>
      <c r="M911" s="20">
        <f>IF(AND(ISNUMBER(K911),ISNUMBER(L911)),L911-K911,"")</f>
        <v/>
      </c>
      <c r="N911" s="19">
        <f>IF(G911="","",IF(AND(ISNUMBER(K911),ISNUMBER(L911)),IF(OR(F911="GOC",F911="OWC",F911="GWC",F911="OWC_TRANSITION",F911="GOC_TRANSITION"),IF(L911&gt;=K911,"Supports","Conflicts"),"N/A"),"No Sw"))</f>
        <v/>
      </c>
      <c r="O911" s="20">
        <f>IF(G911="","",Settings!$B$6*IF(OR(F911="GOC",F911="OWC",F911="GWC"),1,0.7)+Settings!$B$7*IF(N911="Supports",1,IF(N911="Conflicts",0,0.5))+Settings!$B$8*IF(AND(Master_Data!R911&lt;&gt;"",Master_Data!S911&lt;&gt;"",Master_Data!R912&lt;&gt;"",Master_Data!S912&lt;&gt;""),1,0.5))</f>
        <v/>
      </c>
      <c r="P911" s="19">
        <f>IF(G911="","",IF(N911="Conflicts","SW_CONFLICT",IF(OR(F911="GOC",F911="OWC",F911="GWC"),"DIRECT_FLUID_TRANSITION","TRANSITION_INTERVAL")))</f>
        <v/>
      </c>
      <c r="Q911" s="19">
        <f>IF(G911="","",IF(N911="Conflicts","Investigate contact interpretation / saturation behaviour",IF(OR(F911="OWC",F911="GOC",F911="GWC"),"Candidate contact — validate with logs, pressure and dynamic evidence","Transition zone — do not force to a sharp contact")))</f>
        <v/>
      </c>
    </row>
    <row r="912">
      <c r="A912" s="19">
        <f>IF(AND(Master_Data!A912&lt;&gt;"",Master_Data!A912=Master_Data!A913),Master_Data!A912,"")</f>
        <v/>
      </c>
      <c r="B912" s="19">
        <f>IF($A912="","",Master_Data!B912)</f>
        <v/>
      </c>
      <c r="C912" s="19">
        <f>IF($A912="","",Master_Data!B913)</f>
        <v/>
      </c>
      <c r="D912" s="19">
        <f>IF($A912="","",Master_Data!Q912)</f>
        <v/>
      </c>
      <c r="E912" s="19">
        <f>IF($A912="","",Master_Data!Q913)</f>
        <v/>
      </c>
      <c r="F912" s="19">
        <f>IF($A912="","",IF(AND(D912="GAS",E912="OIL"),"GOC",IF(AND(D912="OIL",E912="WATER"),"OWC",IF(AND(D912="GAS",E912="WATER"),"GWC",IF(AND(D912="OIL",E912="OIL_WATER"),"OWC_TRANSITION",IF(AND(D912="OIL_WATER",E912="WATER"),"OWC_TRANSITION",IF(AND(D912="GAS",E912="GAS_WATER"),"GOC_TRANSITION",IF(AND(D912="GAS_WATER",E912="OIL"),"GOC_TRANSITION",IF(OR(D912="OIL_WATER",D912="GAS_WATER"),"TRANSITION_INTERVAL","")))))))))</f>
        <v/>
      </c>
      <c r="G912" s="20">
        <f>IF(OR(F912="",Master_Data!R912="",Master_Data!S912=""),"",IF(RIGHT(F912,10)="TRANSITION",AVERAGE(Master_Data!R912:Master_Data!S912),AVERAGE(Master_Data!S912,Master_Data!R913)))</f>
        <v/>
      </c>
      <c r="H912" s="20">
        <f>IF(G912="","",MAX(Settings!$B$4,Settings!$B$5*AVERAGE(IF(Master_Data!O912&lt;&gt;"",Master_Data!O912,Master_Data!H912),IF(Master_Data!O913&lt;&gt;"",Master_Data!O913,Master_Data!H913))))</f>
        <v/>
      </c>
      <c r="I912" s="20">
        <f>IF(G912="","",G912-H912)</f>
        <v/>
      </c>
      <c r="J912" s="20">
        <f>IF(G912="","",G912+H912)</f>
        <v/>
      </c>
      <c r="K912" s="20">
        <f>IF($A912="","",Master_Data!G912)</f>
        <v/>
      </c>
      <c r="L912" s="20">
        <f>IF($A912="","",Master_Data!G913)</f>
        <v/>
      </c>
      <c r="M912" s="20">
        <f>IF(AND(ISNUMBER(K912),ISNUMBER(L912)),L912-K912,"")</f>
        <v/>
      </c>
      <c r="N912" s="19">
        <f>IF(G912="","",IF(AND(ISNUMBER(K912),ISNUMBER(L912)),IF(OR(F912="GOC",F912="OWC",F912="GWC",F912="OWC_TRANSITION",F912="GOC_TRANSITION"),IF(L912&gt;=K912,"Supports","Conflicts"),"N/A"),"No Sw"))</f>
        <v/>
      </c>
      <c r="O912" s="20">
        <f>IF(G912="","",Settings!$B$6*IF(OR(F912="GOC",F912="OWC",F912="GWC"),1,0.7)+Settings!$B$7*IF(N912="Supports",1,IF(N912="Conflicts",0,0.5))+Settings!$B$8*IF(AND(Master_Data!R912&lt;&gt;"",Master_Data!S912&lt;&gt;"",Master_Data!R913&lt;&gt;"",Master_Data!S913&lt;&gt;""),1,0.5))</f>
        <v/>
      </c>
      <c r="P912" s="19">
        <f>IF(G912="","",IF(N912="Conflicts","SW_CONFLICT",IF(OR(F912="GOC",F912="OWC",F912="GWC"),"DIRECT_FLUID_TRANSITION","TRANSITION_INTERVAL")))</f>
        <v/>
      </c>
      <c r="Q912" s="19">
        <f>IF(G912="","",IF(N912="Conflicts","Investigate contact interpretation / saturation behaviour",IF(OR(F912="OWC",F912="GOC",F912="GWC"),"Candidate contact — validate with logs, pressure and dynamic evidence","Transition zone — do not force to a sharp contact")))</f>
        <v/>
      </c>
    </row>
    <row r="913">
      <c r="A913" s="19">
        <f>IF(AND(Master_Data!A913&lt;&gt;"",Master_Data!A913=Master_Data!A914),Master_Data!A913,"")</f>
        <v/>
      </c>
      <c r="B913" s="19">
        <f>IF($A913="","",Master_Data!B913)</f>
        <v/>
      </c>
      <c r="C913" s="19">
        <f>IF($A913="","",Master_Data!B914)</f>
        <v/>
      </c>
      <c r="D913" s="19">
        <f>IF($A913="","",Master_Data!Q913)</f>
        <v/>
      </c>
      <c r="E913" s="19">
        <f>IF($A913="","",Master_Data!Q914)</f>
        <v/>
      </c>
      <c r="F913" s="19">
        <f>IF($A913="","",IF(AND(D913="GAS",E913="OIL"),"GOC",IF(AND(D913="OIL",E913="WATER"),"OWC",IF(AND(D913="GAS",E913="WATER"),"GWC",IF(AND(D913="OIL",E913="OIL_WATER"),"OWC_TRANSITION",IF(AND(D913="OIL_WATER",E913="WATER"),"OWC_TRANSITION",IF(AND(D913="GAS",E913="GAS_WATER"),"GOC_TRANSITION",IF(AND(D913="GAS_WATER",E913="OIL"),"GOC_TRANSITION",IF(OR(D913="OIL_WATER",D913="GAS_WATER"),"TRANSITION_INTERVAL","")))))))))</f>
        <v/>
      </c>
      <c r="G913" s="20">
        <f>IF(OR(F913="",Master_Data!R913="",Master_Data!S913=""),"",IF(RIGHT(F913,10)="TRANSITION",AVERAGE(Master_Data!R913:Master_Data!S913),AVERAGE(Master_Data!S913,Master_Data!R914)))</f>
        <v/>
      </c>
      <c r="H913" s="20">
        <f>IF(G913="","",MAX(Settings!$B$4,Settings!$B$5*AVERAGE(IF(Master_Data!O913&lt;&gt;"",Master_Data!O913,Master_Data!H913),IF(Master_Data!O914&lt;&gt;"",Master_Data!O914,Master_Data!H914))))</f>
        <v/>
      </c>
      <c r="I913" s="20">
        <f>IF(G913="","",G913-H913)</f>
        <v/>
      </c>
      <c r="J913" s="20">
        <f>IF(G913="","",G913+H913)</f>
        <v/>
      </c>
      <c r="K913" s="20">
        <f>IF($A913="","",Master_Data!G913)</f>
        <v/>
      </c>
      <c r="L913" s="20">
        <f>IF($A913="","",Master_Data!G914)</f>
        <v/>
      </c>
      <c r="M913" s="20">
        <f>IF(AND(ISNUMBER(K913),ISNUMBER(L913)),L913-K913,"")</f>
        <v/>
      </c>
      <c r="N913" s="19">
        <f>IF(G913="","",IF(AND(ISNUMBER(K913),ISNUMBER(L913)),IF(OR(F913="GOC",F913="OWC",F913="GWC",F913="OWC_TRANSITION",F913="GOC_TRANSITION"),IF(L913&gt;=K913,"Supports","Conflicts"),"N/A"),"No Sw"))</f>
        <v/>
      </c>
      <c r="O913" s="20">
        <f>IF(G913="","",Settings!$B$6*IF(OR(F913="GOC",F913="OWC",F913="GWC"),1,0.7)+Settings!$B$7*IF(N913="Supports",1,IF(N913="Conflicts",0,0.5))+Settings!$B$8*IF(AND(Master_Data!R913&lt;&gt;"",Master_Data!S913&lt;&gt;"",Master_Data!R914&lt;&gt;"",Master_Data!S914&lt;&gt;""),1,0.5))</f>
        <v/>
      </c>
      <c r="P913" s="19">
        <f>IF(G913="","",IF(N913="Conflicts","SW_CONFLICT",IF(OR(F913="GOC",F913="OWC",F913="GWC"),"DIRECT_FLUID_TRANSITION","TRANSITION_INTERVAL")))</f>
        <v/>
      </c>
      <c r="Q913" s="19">
        <f>IF(G913="","",IF(N913="Conflicts","Investigate contact interpretation / saturation behaviour",IF(OR(F913="OWC",F913="GOC",F913="GWC"),"Candidate contact — validate with logs, pressure and dynamic evidence","Transition zone — do not force to a sharp contact")))</f>
        <v/>
      </c>
    </row>
    <row r="914">
      <c r="A914" s="19">
        <f>IF(AND(Master_Data!A914&lt;&gt;"",Master_Data!A914=Master_Data!A915),Master_Data!A914,"")</f>
        <v/>
      </c>
      <c r="B914" s="19">
        <f>IF($A914="","",Master_Data!B914)</f>
        <v/>
      </c>
      <c r="C914" s="19">
        <f>IF($A914="","",Master_Data!B915)</f>
        <v/>
      </c>
      <c r="D914" s="19">
        <f>IF($A914="","",Master_Data!Q914)</f>
        <v/>
      </c>
      <c r="E914" s="19">
        <f>IF($A914="","",Master_Data!Q915)</f>
        <v/>
      </c>
      <c r="F914" s="19">
        <f>IF($A914="","",IF(AND(D914="GAS",E914="OIL"),"GOC",IF(AND(D914="OIL",E914="WATER"),"OWC",IF(AND(D914="GAS",E914="WATER"),"GWC",IF(AND(D914="OIL",E914="OIL_WATER"),"OWC_TRANSITION",IF(AND(D914="OIL_WATER",E914="WATER"),"OWC_TRANSITION",IF(AND(D914="GAS",E914="GAS_WATER"),"GOC_TRANSITION",IF(AND(D914="GAS_WATER",E914="OIL"),"GOC_TRANSITION",IF(OR(D914="OIL_WATER",D914="GAS_WATER"),"TRANSITION_INTERVAL","")))))))))</f>
        <v/>
      </c>
      <c r="G914" s="20">
        <f>IF(OR(F914="",Master_Data!R914="",Master_Data!S914=""),"",IF(RIGHT(F914,10)="TRANSITION",AVERAGE(Master_Data!R914:Master_Data!S914),AVERAGE(Master_Data!S914,Master_Data!R915)))</f>
        <v/>
      </c>
      <c r="H914" s="20">
        <f>IF(G914="","",MAX(Settings!$B$4,Settings!$B$5*AVERAGE(IF(Master_Data!O914&lt;&gt;"",Master_Data!O914,Master_Data!H914),IF(Master_Data!O915&lt;&gt;"",Master_Data!O915,Master_Data!H915))))</f>
        <v/>
      </c>
      <c r="I914" s="20">
        <f>IF(G914="","",G914-H914)</f>
        <v/>
      </c>
      <c r="J914" s="20">
        <f>IF(G914="","",G914+H914)</f>
        <v/>
      </c>
      <c r="K914" s="20">
        <f>IF($A914="","",Master_Data!G914)</f>
        <v/>
      </c>
      <c r="L914" s="20">
        <f>IF($A914="","",Master_Data!G915)</f>
        <v/>
      </c>
      <c r="M914" s="20">
        <f>IF(AND(ISNUMBER(K914),ISNUMBER(L914)),L914-K914,"")</f>
        <v/>
      </c>
      <c r="N914" s="19">
        <f>IF(G914="","",IF(AND(ISNUMBER(K914),ISNUMBER(L914)),IF(OR(F914="GOC",F914="OWC",F914="GWC",F914="OWC_TRANSITION",F914="GOC_TRANSITION"),IF(L914&gt;=K914,"Supports","Conflicts"),"N/A"),"No Sw"))</f>
        <v/>
      </c>
      <c r="O914" s="20">
        <f>IF(G914="","",Settings!$B$6*IF(OR(F914="GOC",F914="OWC",F914="GWC"),1,0.7)+Settings!$B$7*IF(N914="Supports",1,IF(N914="Conflicts",0,0.5))+Settings!$B$8*IF(AND(Master_Data!R914&lt;&gt;"",Master_Data!S914&lt;&gt;"",Master_Data!R915&lt;&gt;"",Master_Data!S915&lt;&gt;""),1,0.5))</f>
        <v/>
      </c>
      <c r="P914" s="19">
        <f>IF(G914="","",IF(N914="Conflicts","SW_CONFLICT",IF(OR(F914="GOC",F914="OWC",F914="GWC"),"DIRECT_FLUID_TRANSITION","TRANSITION_INTERVAL")))</f>
        <v/>
      </c>
      <c r="Q914" s="19">
        <f>IF(G914="","",IF(N914="Conflicts","Investigate contact interpretation / saturation behaviour",IF(OR(F914="OWC",F914="GOC",F914="GWC"),"Candidate contact — validate with logs, pressure and dynamic evidence","Transition zone — do not force to a sharp contact")))</f>
        <v/>
      </c>
    </row>
    <row r="915">
      <c r="A915" s="19">
        <f>IF(AND(Master_Data!A915&lt;&gt;"",Master_Data!A915=Master_Data!A916),Master_Data!A915,"")</f>
        <v/>
      </c>
      <c r="B915" s="19">
        <f>IF($A915="","",Master_Data!B915)</f>
        <v/>
      </c>
      <c r="C915" s="19">
        <f>IF($A915="","",Master_Data!B916)</f>
        <v/>
      </c>
      <c r="D915" s="19">
        <f>IF($A915="","",Master_Data!Q915)</f>
        <v/>
      </c>
      <c r="E915" s="19">
        <f>IF($A915="","",Master_Data!Q916)</f>
        <v/>
      </c>
      <c r="F915" s="19">
        <f>IF($A915="","",IF(AND(D915="GAS",E915="OIL"),"GOC",IF(AND(D915="OIL",E915="WATER"),"OWC",IF(AND(D915="GAS",E915="WATER"),"GWC",IF(AND(D915="OIL",E915="OIL_WATER"),"OWC_TRANSITION",IF(AND(D915="OIL_WATER",E915="WATER"),"OWC_TRANSITION",IF(AND(D915="GAS",E915="GAS_WATER"),"GOC_TRANSITION",IF(AND(D915="GAS_WATER",E915="OIL"),"GOC_TRANSITION",IF(OR(D915="OIL_WATER",D915="GAS_WATER"),"TRANSITION_INTERVAL","")))))))))</f>
        <v/>
      </c>
      <c r="G915" s="20">
        <f>IF(OR(F915="",Master_Data!R915="",Master_Data!S915=""),"",IF(RIGHT(F915,10)="TRANSITION",AVERAGE(Master_Data!R915:Master_Data!S915),AVERAGE(Master_Data!S915,Master_Data!R916)))</f>
        <v/>
      </c>
      <c r="H915" s="20">
        <f>IF(G915="","",MAX(Settings!$B$4,Settings!$B$5*AVERAGE(IF(Master_Data!O915&lt;&gt;"",Master_Data!O915,Master_Data!H915),IF(Master_Data!O916&lt;&gt;"",Master_Data!O916,Master_Data!H916))))</f>
        <v/>
      </c>
      <c r="I915" s="20">
        <f>IF(G915="","",G915-H915)</f>
        <v/>
      </c>
      <c r="J915" s="20">
        <f>IF(G915="","",G915+H915)</f>
        <v/>
      </c>
      <c r="K915" s="20">
        <f>IF($A915="","",Master_Data!G915)</f>
        <v/>
      </c>
      <c r="L915" s="20">
        <f>IF($A915="","",Master_Data!G916)</f>
        <v/>
      </c>
      <c r="M915" s="20">
        <f>IF(AND(ISNUMBER(K915),ISNUMBER(L915)),L915-K915,"")</f>
        <v/>
      </c>
      <c r="N915" s="19">
        <f>IF(G915="","",IF(AND(ISNUMBER(K915),ISNUMBER(L915)),IF(OR(F915="GOC",F915="OWC",F915="GWC",F915="OWC_TRANSITION",F915="GOC_TRANSITION"),IF(L915&gt;=K915,"Supports","Conflicts"),"N/A"),"No Sw"))</f>
        <v/>
      </c>
      <c r="O915" s="20">
        <f>IF(G915="","",Settings!$B$6*IF(OR(F915="GOC",F915="OWC",F915="GWC"),1,0.7)+Settings!$B$7*IF(N915="Supports",1,IF(N915="Conflicts",0,0.5))+Settings!$B$8*IF(AND(Master_Data!R915&lt;&gt;"",Master_Data!S915&lt;&gt;"",Master_Data!R916&lt;&gt;"",Master_Data!S916&lt;&gt;""),1,0.5))</f>
        <v/>
      </c>
      <c r="P915" s="19">
        <f>IF(G915="","",IF(N915="Conflicts","SW_CONFLICT",IF(OR(F915="GOC",F915="OWC",F915="GWC"),"DIRECT_FLUID_TRANSITION","TRANSITION_INTERVAL")))</f>
        <v/>
      </c>
      <c r="Q915" s="19">
        <f>IF(G915="","",IF(N915="Conflicts","Investigate contact interpretation / saturation behaviour",IF(OR(F915="OWC",F915="GOC",F915="GWC"),"Candidate contact — validate with logs, pressure and dynamic evidence","Transition zone — do not force to a sharp contact")))</f>
        <v/>
      </c>
    </row>
    <row r="916">
      <c r="A916" s="19">
        <f>IF(AND(Master_Data!A916&lt;&gt;"",Master_Data!A916=Master_Data!A917),Master_Data!A916,"")</f>
        <v/>
      </c>
      <c r="B916" s="19">
        <f>IF($A916="","",Master_Data!B916)</f>
        <v/>
      </c>
      <c r="C916" s="19">
        <f>IF($A916="","",Master_Data!B917)</f>
        <v/>
      </c>
      <c r="D916" s="19">
        <f>IF($A916="","",Master_Data!Q916)</f>
        <v/>
      </c>
      <c r="E916" s="19">
        <f>IF($A916="","",Master_Data!Q917)</f>
        <v/>
      </c>
      <c r="F916" s="19">
        <f>IF($A916="","",IF(AND(D916="GAS",E916="OIL"),"GOC",IF(AND(D916="OIL",E916="WATER"),"OWC",IF(AND(D916="GAS",E916="WATER"),"GWC",IF(AND(D916="OIL",E916="OIL_WATER"),"OWC_TRANSITION",IF(AND(D916="OIL_WATER",E916="WATER"),"OWC_TRANSITION",IF(AND(D916="GAS",E916="GAS_WATER"),"GOC_TRANSITION",IF(AND(D916="GAS_WATER",E916="OIL"),"GOC_TRANSITION",IF(OR(D916="OIL_WATER",D916="GAS_WATER"),"TRANSITION_INTERVAL","")))))))))</f>
        <v/>
      </c>
      <c r="G916" s="20">
        <f>IF(OR(F916="",Master_Data!R916="",Master_Data!S916=""),"",IF(RIGHT(F916,10)="TRANSITION",AVERAGE(Master_Data!R916:Master_Data!S916),AVERAGE(Master_Data!S916,Master_Data!R917)))</f>
        <v/>
      </c>
      <c r="H916" s="20">
        <f>IF(G916="","",MAX(Settings!$B$4,Settings!$B$5*AVERAGE(IF(Master_Data!O916&lt;&gt;"",Master_Data!O916,Master_Data!H916),IF(Master_Data!O917&lt;&gt;"",Master_Data!O917,Master_Data!H917))))</f>
        <v/>
      </c>
      <c r="I916" s="20">
        <f>IF(G916="","",G916-H916)</f>
        <v/>
      </c>
      <c r="J916" s="20">
        <f>IF(G916="","",G916+H916)</f>
        <v/>
      </c>
      <c r="K916" s="20">
        <f>IF($A916="","",Master_Data!G916)</f>
        <v/>
      </c>
      <c r="L916" s="20">
        <f>IF($A916="","",Master_Data!G917)</f>
        <v/>
      </c>
      <c r="M916" s="20">
        <f>IF(AND(ISNUMBER(K916),ISNUMBER(L916)),L916-K916,"")</f>
        <v/>
      </c>
      <c r="N916" s="19">
        <f>IF(G916="","",IF(AND(ISNUMBER(K916),ISNUMBER(L916)),IF(OR(F916="GOC",F916="OWC",F916="GWC",F916="OWC_TRANSITION",F916="GOC_TRANSITION"),IF(L916&gt;=K916,"Supports","Conflicts"),"N/A"),"No Sw"))</f>
        <v/>
      </c>
      <c r="O916" s="20">
        <f>IF(G916="","",Settings!$B$6*IF(OR(F916="GOC",F916="OWC",F916="GWC"),1,0.7)+Settings!$B$7*IF(N916="Supports",1,IF(N916="Conflicts",0,0.5))+Settings!$B$8*IF(AND(Master_Data!R916&lt;&gt;"",Master_Data!S916&lt;&gt;"",Master_Data!R917&lt;&gt;"",Master_Data!S917&lt;&gt;""),1,0.5))</f>
        <v/>
      </c>
      <c r="P916" s="19">
        <f>IF(G916="","",IF(N916="Conflicts","SW_CONFLICT",IF(OR(F916="GOC",F916="OWC",F916="GWC"),"DIRECT_FLUID_TRANSITION","TRANSITION_INTERVAL")))</f>
        <v/>
      </c>
      <c r="Q916" s="19">
        <f>IF(G916="","",IF(N916="Conflicts","Investigate contact interpretation / saturation behaviour",IF(OR(F916="OWC",F916="GOC",F916="GWC"),"Candidate contact — validate with logs, pressure and dynamic evidence","Transition zone — do not force to a sharp contact")))</f>
        <v/>
      </c>
    </row>
    <row r="917">
      <c r="A917" s="19">
        <f>IF(AND(Master_Data!A917&lt;&gt;"",Master_Data!A917=Master_Data!A918),Master_Data!A917,"")</f>
        <v/>
      </c>
      <c r="B917" s="19">
        <f>IF($A917="","",Master_Data!B917)</f>
        <v/>
      </c>
      <c r="C917" s="19">
        <f>IF($A917="","",Master_Data!B918)</f>
        <v/>
      </c>
      <c r="D917" s="19">
        <f>IF($A917="","",Master_Data!Q917)</f>
        <v/>
      </c>
      <c r="E917" s="19">
        <f>IF($A917="","",Master_Data!Q918)</f>
        <v/>
      </c>
      <c r="F917" s="19">
        <f>IF($A917="","",IF(AND(D917="GAS",E917="OIL"),"GOC",IF(AND(D917="OIL",E917="WATER"),"OWC",IF(AND(D917="GAS",E917="WATER"),"GWC",IF(AND(D917="OIL",E917="OIL_WATER"),"OWC_TRANSITION",IF(AND(D917="OIL_WATER",E917="WATER"),"OWC_TRANSITION",IF(AND(D917="GAS",E917="GAS_WATER"),"GOC_TRANSITION",IF(AND(D917="GAS_WATER",E917="OIL"),"GOC_TRANSITION",IF(OR(D917="OIL_WATER",D917="GAS_WATER"),"TRANSITION_INTERVAL","")))))))))</f>
        <v/>
      </c>
      <c r="G917" s="20">
        <f>IF(OR(F917="",Master_Data!R917="",Master_Data!S917=""),"",IF(RIGHT(F917,10)="TRANSITION",AVERAGE(Master_Data!R917:Master_Data!S917),AVERAGE(Master_Data!S917,Master_Data!R918)))</f>
        <v/>
      </c>
      <c r="H917" s="20">
        <f>IF(G917="","",MAX(Settings!$B$4,Settings!$B$5*AVERAGE(IF(Master_Data!O917&lt;&gt;"",Master_Data!O917,Master_Data!H917),IF(Master_Data!O918&lt;&gt;"",Master_Data!O918,Master_Data!H918))))</f>
        <v/>
      </c>
      <c r="I917" s="20">
        <f>IF(G917="","",G917-H917)</f>
        <v/>
      </c>
      <c r="J917" s="20">
        <f>IF(G917="","",G917+H917)</f>
        <v/>
      </c>
      <c r="K917" s="20">
        <f>IF($A917="","",Master_Data!G917)</f>
        <v/>
      </c>
      <c r="L917" s="20">
        <f>IF($A917="","",Master_Data!G918)</f>
        <v/>
      </c>
      <c r="M917" s="20">
        <f>IF(AND(ISNUMBER(K917),ISNUMBER(L917)),L917-K917,"")</f>
        <v/>
      </c>
      <c r="N917" s="19">
        <f>IF(G917="","",IF(AND(ISNUMBER(K917),ISNUMBER(L917)),IF(OR(F917="GOC",F917="OWC",F917="GWC",F917="OWC_TRANSITION",F917="GOC_TRANSITION"),IF(L917&gt;=K917,"Supports","Conflicts"),"N/A"),"No Sw"))</f>
        <v/>
      </c>
      <c r="O917" s="20">
        <f>IF(G917="","",Settings!$B$6*IF(OR(F917="GOC",F917="OWC",F917="GWC"),1,0.7)+Settings!$B$7*IF(N917="Supports",1,IF(N917="Conflicts",0,0.5))+Settings!$B$8*IF(AND(Master_Data!R917&lt;&gt;"",Master_Data!S917&lt;&gt;"",Master_Data!R918&lt;&gt;"",Master_Data!S918&lt;&gt;""),1,0.5))</f>
        <v/>
      </c>
      <c r="P917" s="19">
        <f>IF(G917="","",IF(N917="Conflicts","SW_CONFLICT",IF(OR(F917="GOC",F917="OWC",F917="GWC"),"DIRECT_FLUID_TRANSITION","TRANSITION_INTERVAL")))</f>
        <v/>
      </c>
      <c r="Q917" s="19">
        <f>IF(G917="","",IF(N917="Conflicts","Investigate contact interpretation / saturation behaviour",IF(OR(F917="OWC",F917="GOC",F917="GWC"),"Candidate contact — validate with logs, pressure and dynamic evidence","Transition zone — do not force to a sharp contact")))</f>
        <v/>
      </c>
    </row>
    <row r="918">
      <c r="A918" s="19">
        <f>IF(AND(Master_Data!A918&lt;&gt;"",Master_Data!A918=Master_Data!A919),Master_Data!A918,"")</f>
        <v/>
      </c>
      <c r="B918" s="19">
        <f>IF($A918="","",Master_Data!B918)</f>
        <v/>
      </c>
      <c r="C918" s="19">
        <f>IF($A918="","",Master_Data!B919)</f>
        <v/>
      </c>
      <c r="D918" s="19">
        <f>IF($A918="","",Master_Data!Q918)</f>
        <v/>
      </c>
      <c r="E918" s="19">
        <f>IF($A918="","",Master_Data!Q919)</f>
        <v/>
      </c>
      <c r="F918" s="19">
        <f>IF($A918="","",IF(AND(D918="GAS",E918="OIL"),"GOC",IF(AND(D918="OIL",E918="WATER"),"OWC",IF(AND(D918="GAS",E918="WATER"),"GWC",IF(AND(D918="OIL",E918="OIL_WATER"),"OWC_TRANSITION",IF(AND(D918="OIL_WATER",E918="WATER"),"OWC_TRANSITION",IF(AND(D918="GAS",E918="GAS_WATER"),"GOC_TRANSITION",IF(AND(D918="GAS_WATER",E918="OIL"),"GOC_TRANSITION",IF(OR(D918="OIL_WATER",D918="GAS_WATER"),"TRANSITION_INTERVAL","")))))))))</f>
        <v/>
      </c>
      <c r="G918" s="20">
        <f>IF(OR(F918="",Master_Data!R918="",Master_Data!S918=""),"",IF(RIGHT(F918,10)="TRANSITION",AVERAGE(Master_Data!R918:Master_Data!S918),AVERAGE(Master_Data!S918,Master_Data!R919)))</f>
        <v/>
      </c>
      <c r="H918" s="20">
        <f>IF(G918="","",MAX(Settings!$B$4,Settings!$B$5*AVERAGE(IF(Master_Data!O918&lt;&gt;"",Master_Data!O918,Master_Data!H918),IF(Master_Data!O919&lt;&gt;"",Master_Data!O919,Master_Data!H919))))</f>
        <v/>
      </c>
      <c r="I918" s="20">
        <f>IF(G918="","",G918-H918)</f>
        <v/>
      </c>
      <c r="J918" s="20">
        <f>IF(G918="","",G918+H918)</f>
        <v/>
      </c>
      <c r="K918" s="20">
        <f>IF($A918="","",Master_Data!G918)</f>
        <v/>
      </c>
      <c r="L918" s="20">
        <f>IF($A918="","",Master_Data!G919)</f>
        <v/>
      </c>
      <c r="M918" s="20">
        <f>IF(AND(ISNUMBER(K918),ISNUMBER(L918)),L918-K918,"")</f>
        <v/>
      </c>
      <c r="N918" s="19">
        <f>IF(G918="","",IF(AND(ISNUMBER(K918),ISNUMBER(L918)),IF(OR(F918="GOC",F918="OWC",F918="GWC",F918="OWC_TRANSITION",F918="GOC_TRANSITION"),IF(L918&gt;=K918,"Supports","Conflicts"),"N/A"),"No Sw"))</f>
        <v/>
      </c>
      <c r="O918" s="20">
        <f>IF(G918="","",Settings!$B$6*IF(OR(F918="GOC",F918="OWC",F918="GWC"),1,0.7)+Settings!$B$7*IF(N918="Supports",1,IF(N918="Conflicts",0,0.5))+Settings!$B$8*IF(AND(Master_Data!R918&lt;&gt;"",Master_Data!S918&lt;&gt;"",Master_Data!R919&lt;&gt;"",Master_Data!S919&lt;&gt;""),1,0.5))</f>
        <v/>
      </c>
      <c r="P918" s="19">
        <f>IF(G918="","",IF(N918="Conflicts","SW_CONFLICT",IF(OR(F918="GOC",F918="OWC",F918="GWC"),"DIRECT_FLUID_TRANSITION","TRANSITION_INTERVAL")))</f>
        <v/>
      </c>
      <c r="Q918" s="19">
        <f>IF(G918="","",IF(N918="Conflicts","Investigate contact interpretation / saturation behaviour",IF(OR(F918="OWC",F918="GOC",F918="GWC"),"Candidate contact — validate with logs, pressure and dynamic evidence","Transition zone — do not force to a sharp contact")))</f>
        <v/>
      </c>
    </row>
    <row r="919">
      <c r="A919" s="19">
        <f>IF(AND(Master_Data!A919&lt;&gt;"",Master_Data!A919=Master_Data!A920),Master_Data!A919,"")</f>
        <v/>
      </c>
      <c r="B919" s="19">
        <f>IF($A919="","",Master_Data!B919)</f>
        <v/>
      </c>
      <c r="C919" s="19">
        <f>IF($A919="","",Master_Data!B920)</f>
        <v/>
      </c>
      <c r="D919" s="19">
        <f>IF($A919="","",Master_Data!Q919)</f>
        <v/>
      </c>
      <c r="E919" s="19">
        <f>IF($A919="","",Master_Data!Q920)</f>
        <v/>
      </c>
      <c r="F919" s="19">
        <f>IF($A919="","",IF(AND(D919="GAS",E919="OIL"),"GOC",IF(AND(D919="OIL",E919="WATER"),"OWC",IF(AND(D919="GAS",E919="WATER"),"GWC",IF(AND(D919="OIL",E919="OIL_WATER"),"OWC_TRANSITION",IF(AND(D919="OIL_WATER",E919="WATER"),"OWC_TRANSITION",IF(AND(D919="GAS",E919="GAS_WATER"),"GOC_TRANSITION",IF(AND(D919="GAS_WATER",E919="OIL"),"GOC_TRANSITION",IF(OR(D919="OIL_WATER",D919="GAS_WATER"),"TRANSITION_INTERVAL","")))))))))</f>
        <v/>
      </c>
      <c r="G919" s="20">
        <f>IF(OR(F919="",Master_Data!R919="",Master_Data!S919=""),"",IF(RIGHT(F919,10)="TRANSITION",AVERAGE(Master_Data!R919:Master_Data!S919),AVERAGE(Master_Data!S919,Master_Data!R920)))</f>
        <v/>
      </c>
      <c r="H919" s="20">
        <f>IF(G919="","",MAX(Settings!$B$4,Settings!$B$5*AVERAGE(IF(Master_Data!O919&lt;&gt;"",Master_Data!O919,Master_Data!H919),IF(Master_Data!O920&lt;&gt;"",Master_Data!O920,Master_Data!H920))))</f>
        <v/>
      </c>
      <c r="I919" s="20">
        <f>IF(G919="","",G919-H919)</f>
        <v/>
      </c>
      <c r="J919" s="20">
        <f>IF(G919="","",G919+H919)</f>
        <v/>
      </c>
      <c r="K919" s="20">
        <f>IF($A919="","",Master_Data!G919)</f>
        <v/>
      </c>
      <c r="L919" s="20">
        <f>IF($A919="","",Master_Data!G920)</f>
        <v/>
      </c>
      <c r="M919" s="20">
        <f>IF(AND(ISNUMBER(K919),ISNUMBER(L919)),L919-K919,"")</f>
        <v/>
      </c>
      <c r="N919" s="19">
        <f>IF(G919="","",IF(AND(ISNUMBER(K919),ISNUMBER(L919)),IF(OR(F919="GOC",F919="OWC",F919="GWC",F919="OWC_TRANSITION",F919="GOC_TRANSITION"),IF(L919&gt;=K919,"Supports","Conflicts"),"N/A"),"No Sw"))</f>
        <v/>
      </c>
      <c r="O919" s="20">
        <f>IF(G919="","",Settings!$B$6*IF(OR(F919="GOC",F919="OWC",F919="GWC"),1,0.7)+Settings!$B$7*IF(N919="Supports",1,IF(N919="Conflicts",0,0.5))+Settings!$B$8*IF(AND(Master_Data!R919&lt;&gt;"",Master_Data!S919&lt;&gt;"",Master_Data!R920&lt;&gt;"",Master_Data!S920&lt;&gt;""),1,0.5))</f>
        <v/>
      </c>
      <c r="P919" s="19">
        <f>IF(G919="","",IF(N919="Conflicts","SW_CONFLICT",IF(OR(F919="GOC",F919="OWC",F919="GWC"),"DIRECT_FLUID_TRANSITION","TRANSITION_INTERVAL")))</f>
        <v/>
      </c>
      <c r="Q919" s="19">
        <f>IF(G919="","",IF(N919="Conflicts","Investigate contact interpretation / saturation behaviour",IF(OR(F919="OWC",F919="GOC",F919="GWC"),"Candidate contact — validate with logs, pressure and dynamic evidence","Transition zone — do not force to a sharp contact")))</f>
        <v/>
      </c>
    </row>
    <row r="920">
      <c r="A920" s="19">
        <f>IF(AND(Master_Data!A920&lt;&gt;"",Master_Data!A920=Master_Data!A921),Master_Data!A920,"")</f>
        <v/>
      </c>
      <c r="B920" s="19">
        <f>IF($A920="","",Master_Data!B920)</f>
        <v/>
      </c>
      <c r="C920" s="19">
        <f>IF($A920="","",Master_Data!B921)</f>
        <v/>
      </c>
      <c r="D920" s="19">
        <f>IF($A920="","",Master_Data!Q920)</f>
        <v/>
      </c>
      <c r="E920" s="19">
        <f>IF($A920="","",Master_Data!Q921)</f>
        <v/>
      </c>
      <c r="F920" s="19">
        <f>IF($A920="","",IF(AND(D920="GAS",E920="OIL"),"GOC",IF(AND(D920="OIL",E920="WATER"),"OWC",IF(AND(D920="GAS",E920="WATER"),"GWC",IF(AND(D920="OIL",E920="OIL_WATER"),"OWC_TRANSITION",IF(AND(D920="OIL_WATER",E920="WATER"),"OWC_TRANSITION",IF(AND(D920="GAS",E920="GAS_WATER"),"GOC_TRANSITION",IF(AND(D920="GAS_WATER",E920="OIL"),"GOC_TRANSITION",IF(OR(D920="OIL_WATER",D920="GAS_WATER"),"TRANSITION_INTERVAL","")))))))))</f>
        <v/>
      </c>
      <c r="G920" s="20">
        <f>IF(OR(F920="",Master_Data!R920="",Master_Data!S920=""),"",IF(RIGHT(F920,10)="TRANSITION",AVERAGE(Master_Data!R920:Master_Data!S920),AVERAGE(Master_Data!S920,Master_Data!R921)))</f>
        <v/>
      </c>
      <c r="H920" s="20">
        <f>IF(G920="","",MAX(Settings!$B$4,Settings!$B$5*AVERAGE(IF(Master_Data!O920&lt;&gt;"",Master_Data!O920,Master_Data!H920),IF(Master_Data!O921&lt;&gt;"",Master_Data!O921,Master_Data!H921))))</f>
        <v/>
      </c>
      <c r="I920" s="20">
        <f>IF(G920="","",G920-H920)</f>
        <v/>
      </c>
      <c r="J920" s="20">
        <f>IF(G920="","",G920+H920)</f>
        <v/>
      </c>
      <c r="K920" s="20">
        <f>IF($A920="","",Master_Data!G920)</f>
        <v/>
      </c>
      <c r="L920" s="20">
        <f>IF($A920="","",Master_Data!G921)</f>
        <v/>
      </c>
      <c r="M920" s="20">
        <f>IF(AND(ISNUMBER(K920),ISNUMBER(L920)),L920-K920,"")</f>
        <v/>
      </c>
      <c r="N920" s="19">
        <f>IF(G920="","",IF(AND(ISNUMBER(K920),ISNUMBER(L920)),IF(OR(F920="GOC",F920="OWC",F920="GWC",F920="OWC_TRANSITION",F920="GOC_TRANSITION"),IF(L920&gt;=K920,"Supports","Conflicts"),"N/A"),"No Sw"))</f>
        <v/>
      </c>
      <c r="O920" s="20">
        <f>IF(G920="","",Settings!$B$6*IF(OR(F920="GOC",F920="OWC",F920="GWC"),1,0.7)+Settings!$B$7*IF(N920="Supports",1,IF(N920="Conflicts",0,0.5))+Settings!$B$8*IF(AND(Master_Data!R920&lt;&gt;"",Master_Data!S920&lt;&gt;"",Master_Data!R921&lt;&gt;"",Master_Data!S921&lt;&gt;""),1,0.5))</f>
        <v/>
      </c>
      <c r="P920" s="19">
        <f>IF(G920="","",IF(N920="Conflicts","SW_CONFLICT",IF(OR(F920="GOC",F920="OWC",F920="GWC"),"DIRECT_FLUID_TRANSITION","TRANSITION_INTERVAL")))</f>
        <v/>
      </c>
      <c r="Q920" s="19">
        <f>IF(G920="","",IF(N920="Conflicts","Investigate contact interpretation / saturation behaviour",IF(OR(F920="OWC",F920="GOC",F920="GWC"),"Candidate contact — validate with logs, pressure and dynamic evidence","Transition zone — do not force to a sharp contact")))</f>
        <v/>
      </c>
    </row>
    <row r="921">
      <c r="A921" s="19">
        <f>IF(AND(Master_Data!A921&lt;&gt;"",Master_Data!A921=Master_Data!A922),Master_Data!A921,"")</f>
        <v/>
      </c>
      <c r="B921" s="19">
        <f>IF($A921="","",Master_Data!B921)</f>
        <v/>
      </c>
      <c r="C921" s="19">
        <f>IF($A921="","",Master_Data!B922)</f>
        <v/>
      </c>
      <c r="D921" s="19">
        <f>IF($A921="","",Master_Data!Q921)</f>
        <v/>
      </c>
      <c r="E921" s="19">
        <f>IF($A921="","",Master_Data!Q922)</f>
        <v/>
      </c>
      <c r="F921" s="19">
        <f>IF($A921="","",IF(AND(D921="GAS",E921="OIL"),"GOC",IF(AND(D921="OIL",E921="WATER"),"OWC",IF(AND(D921="GAS",E921="WATER"),"GWC",IF(AND(D921="OIL",E921="OIL_WATER"),"OWC_TRANSITION",IF(AND(D921="OIL_WATER",E921="WATER"),"OWC_TRANSITION",IF(AND(D921="GAS",E921="GAS_WATER"),"GOC_TRANSITION",IF(AND(D921="GAS_WATER",E921="OIL"),"GOC_TRANSITION",IF(OR(D921="OIL_WATER",D921="GAS_WATER"),"TRANSITION_INTERVAL","")))))))))</f>
        <v/>
      </c>
      <c r="G921" s="20">
        <f>IF(OR(F921="",Master_Data!R921="",Master_Data!S921=""),"",IF(RIGHT(F921,10)="TRANSITION",AVERAGE(Master_Data!R921:Master_Data!S921),AVERAGE(Master_Data!S921,Master_Data!R922)))</f>
        <v/>
      </c>
      <c r="H921" s="20">
        <f>IF(G921="","",MAX(Settings!$B$4,Settings!$B$5*AVERAGE(IF(Master_Data!O921&lt;&gt;"",Master_Data!O921,Master_Data!H921),IF(Master_Data!O922&lt;&gt;"",Master_Data!O922,Master_Data!H922))))</f>
        <v/>
      </c>
      <c r="I921" s="20">
        <f>IF(G921="","",G921-H921)</f>
        <v/>
      </c>
      <c r="J921" s="20">
        <f>IF(G921="","",G921+H921)</f>
        <v/>
      </c>
      <c r="K921" s="20">
        <f>IF($A921="","",Master_Data!G921)</f>
        <v/>
      </c>
      <c r="L921" s="20">
        <f>IF($A921="","",Master_Data!G922)</f>
        <v/>
      </c>
      <c r="M921" s="20">
        <f>IF(AND(ISNUMBER(K921),ISNUMBER(L921)),L921-K921,"")</f>
        <v/>
      </c>
      <c r="N921" s="19">
        <f>IF(G921="","",IF(AND(ISNUMBER(K921),ISNUMBER(L921)),IF(OR(F921="GOC",F921="OWC",F921="GWC",F921="OWC_TRANSITION",F921="GOC_TRANSITION"),IF(L921&gt;=K921,"Supports","Conflicts"),"N/A"),"No Sw"))</f>
        <v/>
      </c>
      <c r="O921" s="20">
        <f>IF(G921="","",Settings!$B$6*IF(OR(F921="GOC",F921="OWC",F921="GWC"),1,0.7)+Settings!$B$7*IF(N921="Supports",1,IF(N921="Conflicts",0,0.5))+Settings!$B$8*IF(AND(Master_Data!R921&lt;&gt;"",Master_Data!S921&lt;&gt;"",Master_Data!R922&lt;&gt;"",Master_Data!S922&lt;&gt;""),1,0.5))</f>
        <v/>
      </c>
      <c r="P921" s="19">
        <f>IF(G921="","",IF(N921="Conflicts","SW_CONFLICT",IF(OR(F921="GOC",F921="OWC",F921="GWC"),"DIRECT_FLUID_TRANSITION","TRANSITION_INTERVAL")))</f>
        <v/>
      </c>
      <c r="Q921" s="19">
        <f>IF(G921="","",IF(N921="Conflicts","Investigate contact interpretation / saturation behaviour",IF(OR(F921="OWC",F921="GOC",F921="GWC"),"Candidate contact — validate with logs, pressure and dynamic evidence","Transition zone — do not force to a sharp contact")))</f>
        <v/>
      </c>
    </row>
    <row r="922">
      <c r="A922" s="19">
        <f>IF(AND(Master_Data!A922&lt;&gt;"",Master_Data!A922=Master_Data!A923),Master_Data!A922,"")</f>
        <v/>
      </c>
      <c r="B922" s="19">
        <f>IF($A922="","",Master_Data!B922)</f>
        <v/>
      </c>
      <c r="C922" s="19">
        <f>IF($A922="","",Master_Data!B923)</f>
        <v/>
      </c>
      <c r="D922" s="19">
        <f>IF($A922="","",Master_Data!Q922)</f>
        <v/>
      </c>
      <c r="E922" s="19">
        <f>IF($A922="","",Master_Data!Q923)</f>
        <v/>
      </c>
      <c r="F922" s="19">
        <f>IF($A922="","",IF(AND(D922="GAS",E922="OIL"),"GOC",IF(AND(D922="OIL",E922="WATER"),"OWC",IF(AND(D922="GAS",E922="WATER"),"GWC",IF(AND(D922="OIL",E922="OIL_WATER"),"OWC_TRANSITION",IF(AND(D922="OIL_WATER",E922="WATER"),"OWC_TRANSITION",IF(AND(D922="GAS",E922="GAS_WATER"),"GOC_TRANSITION",IF(AND(D922="GAS_WATER",E922="OIL"),"GOC_TRANSITION",IF(OR(D922="OIL_WATER",D922="GAS_WATER"),"TRANSITION_INTERVAL","")))))))))</f>
        <v/>
      </c>
      <c r="G922" s="20">
        <f>IF(OR(F922="",Master_Data!R922="",Master_Data!S922=""),"",IF(RIGHT(F922,10)="TRANSITION",AVERAGE(Master_Data!R922:Master_Data!S922),AVERAGE(Master_Data!S922,Master_Data!R923)))</f>
        <v/>
      </c>
      <c r="H922" s="20">
        <f>IF(G922="","",MAX(Settings!$B$4,Settings!$B$5*AVERAGE(IF(Master_Data!O922&lt;&gt;"",Master_Data!O922,Master_Data!H922),IF(Master_Data!O923&lt;&gt;"",Master_Data!O923,Master_Data!H923))))</f>
        <v/>
      </c>
      <c r="I922" s="20">
        <f>IF(G922="","",G922-H922)</f>
        <v/>
      </c>
      <c r="J922" s="20">
        <f>IF(G922="","",G922+H922)</f>
        <v/>
      </c>
      <c r="K922" s="20">
        <f>IF($A922="","",Master_Data!G922)</f>
        <v/>
      </c>
      <c r="L922" s="20">
        <f>IF($A922="","",Master_Data!G923)</f>
        <v/>
      </c>
      <c r="M922" s="20">
        <f>IF(AND(ISNUMBER(K922),ISNUMBER(L922)),L922-K922,"")</f>
        <v/>
      </c>
      <c r="N922" s="19">
        <f>IF(G922="","",IF(AND(ISNUMBER(K922),ISNUMBER(L922)),IF(OR(F922="GOC",F922="OWC",F922="GWC",F922="OWC_TRANSITION",F922="GOC_TRANSITION"),IF(L922&gt;=K922,"Supports","Conflicts"),"N/A"),"No Sw"))</f>
        <v/>
      </c>
      <c r="O922" s="20">
        <f>IF(G922="","",Settings!$B$6*IF(OR(F922="GOC",F922="OWC",F922="GWC"),1,0.7)+Settings!$B$7*IF(N922="Supports",1,IF(N922="Conflicts",0,0.5))+Settings!$B$8*IF(AND(Master_Data!R922&lt;&gt;"",Master_Data!S922&lt;&gt;"",Master_Data!R923&lt;&gt;"",Master_Data!S923&lt;&gt;""),1,0.5))</f>
        <v/>
      </c>
      <c r="P922" s="19">
        <f>IF(G922="","",IF(N922="Conflicts","SW_CONFLICT",IF(OR(F922="GOC",F922="OWC",F922="GWC"),"DIRECT_FLUID_TRANSITION","TRANSITION_INTERVAL")))</f>
        <v/>
      </c>
      <c r="Q922" s="19">
        <f>IF(G922="","",IF(N922="Conflicts","Investigate contact interpretation / saturation behaviour",IF(OR(F922="OWC",F922="GOC",F922="GWC"),"Candidate contact — validate with logs, pressure and dynamic evidence","Transition zone — do not force to a sharp contact")))</f>
        <v/>
      </c>
    </row>
    <row r="923">
      <c r="A923" s="19">
        <f>IF(AND(Master_Data!A923&lt;&gt;"",Master_Data!A923=Master_Data!A924),Master_Data!A923,"")</f>
        <v/>
      </c>
      <c r="B923" s="19">
        <f>IF($A923="","",Master_Data!B923)</f>
        <v/>
      </c>
      <c r="C923" s="19">
        <f>IF($A923="","",Master_Data!B924)</f>
        <v/>
      </c>
      <c r="D923" s="19">
        <f>IF($A923="","",Master_Data!Q923)</f>
        <v/>
      </c>
      <c r="E923" s="19">
        <f>IF($A923="","",Master_Data!Q924)</f>
        <v/>
      </c>
      <c r="F923" s="19">
        <f>IF($A923="","",IF(AND(D923="GAS",E923="OIL"),"GOC",IF(AND(D923="OIL",E923="WATER"),"OWC",IF(AND(D923="GAS",E923="WATER"),"GWC",IF(AND(D923="OIL",E923="OIL_WATER"),"OWC_TRANSITION",IF(AND(D923="OIL_WATER",E923="WATER"),"OWC_TRANSITION",IF(AND(D923="GAS",E923="GAS_WATER"),"GOC_TRANSITION",IF(AND(D923="GAS_WATER",E923="OIL"),"GOC_TRANSITION",IF(OR(D923="OIL_WATER",D923="GAS_WATER"),"TRANSITION_INTERVAL","")))))))))</f>
        <v/>
      </c>
      <c r="G923" s="20">
        <f>IF(OR(F923="",Master_Data!R923="",Master_Data!S923=""),"",IF(RIGHT(F923,10)="TRANSITION",AVERAGE(Master_Data!R923:Master_Data!S923),AVERAGE(Master_Data!S923,Master_Data!R924)))</f>
        <v/>
      </c>
      <c r="H923" s="20">
        <f>IF(G923="","",MAX(Settings!$B$4,Settings!$B$5*AVERAGE(IF(Master_Data!O923&lt;&gt;"",Master_Data!O923,Master_Data!H923),IF(Master_Data!O924&lt;&gt;"",Master_Data!O924,Master_Data!H924))))</f>
        <v/>
      </c>
      <c r="I923" s="20">
        <f>IF(G923="","",G923-H923)</f>
        <v/>
      </c>
      <c r="J923" s="20">
        <f>IF(G923="","",G923+H923)</f>
        <v/>
      </c>
      <c r="K923" s="20">
        <f>IF($A923="","",Master_Data!G923)</f>
        <v/>
      </c>
      <c r="L923" s="20">
        <f>IF($A923="","",Master_Data!G924)</f>
        <v/>
      </c>
      <c r="M923" s="20">
        <f>IF(AND(ISNUMBER(K923),ISNUMBER(L923)),L923-K923,"")</f>
        <v/>
      </c>
      <c r="N923" s="19">
        <f>IF(G923="","",IF(AND(ISNUMBER(K923),ISNUMBER(L923)),IF(OR(F923="GOC",F923="OWC",F923="GWC",F923="OWC_TRANSITION",F923="GOC_TRANSITION"),IF(L923&gt;=K923,"Supports","Conflicts"),"N/A"),"No Sw"))</f>
        <v/>
      </c>
      <c r="O923" s="20">
        <f>IF(G923="","",Settings!$B$6*IF(OR(F923="GOC",F923="OWC",F923="GWC"),1,0.7)+Settings!$B$7*IF(N923="Supports",1,IF(N923="Conflicts",0,0.5))+Settings!$B$8*IF(AND(Master_Data!R923&lt;&gt;"",Master_Data!S923&lt;&gt;"",Master_Data!R924&lt;&gt;"",Master_Data!S924&lt;&gt;""),1,0.5))</f>
        <v/>
      </c>
      <c r="P923" s="19">
        <f>IF(G923="","",IF(N923="Conflicts","SW_CONFLICT",IF(OR(F923="GOC",F923="OWC",F923="GWC"),"DIRECT_FLUID_TRANSITION","TRANSITION_INTERVAL")))</f>
        <v/>
      </c>
      <c r="Q923" s="19">
        <f>IF(G923="","",IF(N923="Conflicts","Investigate contact interpretation / saturation behaviour",IF(OR(F923="OWC",F923="GOC",F923="GWC"),"Candidate contact — validate with logs, pressure and dynamic evidence","Transition zone — do not force to a sharp contact")))</f>
        <v/>
      </c>
    </row>
    <row r="924">
      <c r="A924" s="19">
        <f>IF(AND(Master_Data!A924&lt;&gt;"",Master_Data!A924=Master_Data!A925),Master_Data!A924,"")</f>
        <v/>
      </c>
      <c r="B924" s="19">
        <f>IF($A924="","",Master_Data!B924)</f>
        <v/>
      </c>
      <c r="C924" s="19">
        <f>IF($A924="","",Master_Data!B925)</f>
        <v/>
      </c>
      <c r="D924" s="19">
        <f>IF($A924="","",Master_Data!Q924)</f>
        <v/>
      </c>
      <c r="E924" s="19">
        <f>IF($A924="","",Master_Data!Q925)</f>
        <v/>
      </c>
      <c r="F924" s="19">
        <f>IF($A924="","",IF(AND(D924="GAS",E924="OIL"),"GOC",IF(AND(D924="OIL",E924="WATER"),"OWC",IF(AND(D924="GAS",E924="WATER"),"GWC",IF(AND(D924="OIL",E924="OIL_WATER"),"OWC_TRANSITION",IF(AND(D924="OIL_WATER",E924="WATER"),"OWC_TRANSITION",IF(AND(D924="GAS",E924="GAS_WATER"),"GOC_TRANSITION",IF(AND(D924="GAS_WATER",E924="OIL"),"GOC_TRANSITION",IF(OR(D924="OIL_WATER",D924="GAS_WATER"),"TRANSITION_INTERVAL","")))))))))</f>
        <v/>
      </c>
      <c r="G924" s="20">
        <f>IF(OR(F924="",Master_Data!R924="",Master_Data!S924=""),"",IF(RIGHT(F924,10)="TRANSITION",AVERAGE(Master_Data!R924:Master_Data!S924),AVERAGE(Master_Data!S924,Master_Data!R925)))</f>
        <v/>
      </c>
      <c r="H924" s="20">
        <f>IF(G924="","",MAX(Settings!$B$4,Settings!$B$5*AVERAGE(IF(Master_Data!O924&lt;&gt;"",Master_Data!O924,Master_Data!H924),IF(Master_Data!O925&lt;&gt;"",Master_Data!O925,Master_Data!H925))))</f>
        <v/>
      </c>
      <c r="I924" s="20">
        <f>IF(G924="","",G924-H924)</f>
        <v/>
      </c>
      <c r="J924" s="20">
        <f>IF(G924="","",G924+H924)</f>
        <v/>
      </c>
      <c r="K924" s="20">
        <f>IF($A924="","",Master_Data!G924)</f>
        <v/>
      </c>
      <c r="L924" s="20">
        <f>IF($A924="","",Master_Data!G925)</f>
        <v/>
      </c>
      <c r="M924" s="20">
        <f>IF(AND(ISNUMBER(K924),ISNUMBER(L924)),L924-K924,"")</f>
        <v/>
      </c>
      <c r="N924" s="19">
        <f>IF(G924="","",IF(AND(ISNUMBER(K924),ISNUMBER(L924)),IF(OR(F924="GOC",F924="OWC",F924="GWC",F924="OWC_TRANSITION",F924="GOC_TRANSITION"),IF(L924&gt;=K924,"Supports","Conflicts"),"N/A"),"No Sw"))</f>
        <v/>
      </c>
      <c r="O924" s="20">
        <f>IF(G924="","",Settings!$B$6*IF(OR(F924="GOC",F924="OWC",F924="GWC"),1,0.7)+Settings!$B$7*IF(N924="Supports",1,IF(N924="Conflicts",0,0.5))+Settings!$B$8*IF(AND(Master_Data!R924&lt;&gt;"",Master_Data!S924&lt;&gt;"",Master_Data!R925&lt;&gt;"",Master_Data!S925&lt;&gt;""),1,0.5))</f>
        <v/>
      </c>
      <c r="P924" s="19">
        <f>IF(G924="","",IF(N924="Conflicts","SW_CONFLICT",IF(OR(F924="GOC",F924="OWC",F924="GWC"),"DIRECT_FLUID_TRANSITION","TRANSITION_INTERVAL")))</f>
        <v/>
      </c>
      <c r="Q924" s="19">
        <f>IF(G924="","",IF(N924="Conflicts","Investigate contact interpretation / saturation behaviour",IF(OR(F924="OWC",F924="GOC",F924="GWC"),"Candidate contact — validate with logs, pressure and dynamic evidence","Transition zone — do not force to a sharp contact")))</f>
        <v/>
      </c>
    </row>
    <row r="925">
      <c r="A925" s="19">
        <f>IF(AND(Master_Data!A925&lt;&gt;"",Master_Data!A925=Master_Data!A926),Master_Data!A925,"")</f>
        <v/>
      </c>
      <c r="B925" s="19">
        <f>IF($A925="","",Master_Data!B925)</f>
        <v/>
      </c>
      <c r="C925" s="19">
        <f>IF($A925="","",Master_Data!B926)</f>
        <v/>
      </c>
      <c r="D925" s="19">
        <f>IF($A925="","",Master_Data!Q925)</f>
        <v/>
      </c>
      <c r="E925" s="19">
        <f>IF($A925="","",Master_Data!Q926)</f>
        <v/>
      </c>
      <c r="F925" s="19">
        <f>IF($A925="","",IF(AND(D925="GAS",E925="OIL"),"GOC",IF(AND(D925="OIL",E925="WATER"),"OWC",IF(AND(D925="GAS",E925="WATER"),"GWC",IF(AND(D925="OIL",E925="OIL_WATER"),"OWC_TRANSITION",IF(AND(D925="OIL_WATER",E925="WATER"),"OWC_TRANSITION",IF(AND(D925="GAS",E925="GAS_WATER"),"GOC_TRANSITION",IF(AND(D925="GAS_WATER",E925="OIL"),"GOC_TRANSITION",IF(OR(D925="OIL_WATER",D925="GAS_WATER"),"TRANSITION_INTERVAL","")))))))))</f>
        <v/>
      </c>
      <c r="G925" s="20">
        <f>IF(OR(F925="",Master_Data!R925="",Master_Data!S925=""),"",IF(RIGHT(F925,10)="TRANSITION",AVERAGE(Master_Data!R925:Master_Data!S925),AVERAGE(Master_Data!S925,Master_Data!R926)))</f>
        <v/>
      </c>
      <c r="H925" s="20">
        <f>IF(G925="","",MAX(Settings!$B$4,Settings!$B$5*AVERAGE(IF(Master_Data!O925&lt;&gt;"",Master_Data!O925,Master_Data!H925),IF(Master_Data!O926&lt;&gt;"",Master_Data!O926,Master_Data!H926))))</f>
        <v/>
      </c>
      <c r="I925" s="20">
        <f>IF(G925="","",G925-H925)</f>
        <v/>
      </c>
      <c r="J925" s="20">
        <f>IF(G925="","",G925+H925)</f>
        <v/>
      </c>
      <c r="K925" s="20">
        <f>IF($A925="","",Master_Data!G925)</f>
        <v/>
      </c>
      <c r="L925" s="20">
        <f>IF($A925="","",Master_Data!G926)</f>
        <v/>
      </c>
      <c r="M925" s="20">
        <f>IF(AND(ISNUMBER(K925),ISNUMBER(L925)),L925-K925,"")</f>
        <v/>
      </c>
      <c r="N925" s="19">
        <f>IF(G925="","",IF(AND(ISNUMBER(K925),ISNUMBER(L925)),IF(OR(F925="GOC",F925="OWC",F925="GWC",F925="OWC_TRANSITION",F925="GOC_TRANSITION"),IF(L925&gt;=K925,"Supports","Conflicts"),"N/A"),"No Sw"))</f>
        <v/>
      </c>
      <c r="O925" s="20">
        <f>IF(G925="","",Settings!$B$6*IF(OR(F925="GOC",F925="OWC",F925="GWC"),1,0.7)+Settings!$B$7*IF(N925="Supports",1,IF(N925="Conflicts",0,0.5))+Settings!$B$8*IF(AND(Master_Data!R925&lt;&gt;"",Master_Data!S925&lt;&gt;"",Master_Data!R926&lt;&gt;"",Master_Data!S926&lt;&gt;""),1,0.5))</f>
        <v/>
      </c>
      <c r="P925" s="19">
        <f>IF(G925="","",IF(N925="Conflicts","SW_CONFLICT",IF(OR(F925="GOC",F925="OWC",F925="GWC"),"DIRECT_FLUID_TRANSITION","TRANSITION_INTERVAL")))</f>
        <v/>
      </c>
      <c r="Q925" s="19">
        <f>IF(G925="","",IF(N925="Conflicts","Investigate contact interpretation / saturation behaviour",IF(OR(F925="OWC",F925="GOC",F925="GWC"),"Candidate contact — validate with logs, pressure and dynamic evidence","Transition zone — do not force to a sharp contact")))</f>
        <v/>
      </c>
    </row>
    <row r="926">
      <c r="A926" s="19">
        <f>IF(AND(Master_Data!A926&lt;&gt;"",Master_Data!A926=Master_Data!A927),Master_Data!A926,"")</f>
        <v/>
      </c>
      <c r="B926" s="19">
        <f>IF($A926="","",Master_Data!B926)</f>
        <v/>
      </c>
      <c r="C926" s="19">
        <f>IF($A926="","",Master_Data!B927)</f>
        <v/>
      </c>
      <c r="D926" s="19">
        <f>IF($A926="","",Master_Data!Q926)</f>
        <v/>
      </c>
      <c r="E926" s="19">
        <f>IF($A926="","",Master_Data!Q927)</f>
        <v/>
      </c>
      <c r="F926" s="19">
        <f>IF($A926="","",IF(AND(D926="GAS",E926="OIL"),"GOC",IF(AND(D926="OIL",E926="WATER"),"OWC",IF(AND(D926="GAS",E926="WATER"),"GWC",IF(AND(D926="OIL",E926="OIL_WATER"),"OWC_TRANSITION",IF(AND(D926="OIL_WATER",E926="WATER"),"OWC_TRANSITION",IF(AND(D926="GAS",E926="GAS_WATER"),"GOC_TRANSITION",IF(AND(D926="GAS_WATER",E926="OIL"),"GOC_TRANSITION",IF(OR(D926="OIL_WATER",D926="GAS_WATER"),"TRANSITION_INTERVAL","")))))))))</f>
        <v/>
      </c>
      <c r="G926" s="20">
        <f>IF(OR(F926="",Master_Data!R926="",Master_Data!S926=""),"",IF(RIGHT(F926,10)="TRANSITION",AVERAGE(Master_Data!R926:Master_Data!S926),AVERAGE(Master_Data!S926,Master_Data!R927)))</f>
        <v/>
      </c>
      <c r="H926" s="20">
        <f>IF(G926="","",MAX(Settings!$B$4,Settings!$B$5*AVERAGE(IF(Master_Data!O926&lt;&gt;"",Master_Data!O926,Master_Data!H926),IF(Master_Data!O927&lt;&gt;"",Master_Data!O927,Master_Data!H927))))</f>
        <v/>
      </c>
      <c r="I926" s="20">
        <f>IF(G926="","",G926-H926)</f>
        <v/>
      </c>
      <c r="J926" s="20">
        <f>IF(G926="","",G926+H926)</f>
        <v/>
      </c>
      <c r="K926" s="20">
        <f>IF($A926="","",Master_Data!G926)</f>
        <v/>
      </c>
      <c r="L926" s="20">
        <f>IF($A926="","",Master_Data!G927)</f>
        <v/>
      </c>
      <c r="M926" s="20">
        <f>IF(AND(ISNUMBER(K926),ISNUMBER(L926)),L926-K926,"")</f>
        <v/>
      </c>
      <c r="N926" s="19">
        <f>IF(G926="","",IF(AND(ISNUMBER(K926),ISNUMBER(L926)),IF(OR(F926="GOC",F926="OWC",F926="GWC",F926="OWC_TRANSITION",F926="GOC_TRANSITION"),IF(L926&gt;=K926,"Supports","Conflicts"),"N/A"),"No Sw"))</f>
        <v/>
      </c>
      <c r="O926" s="20">
        <f>IF(G926="","",Settings!$B$6*IF(OR(F926="GOC",F926="OWC",F926="GWC"),1,0.7)+Settings!$B$7*IF(N926="Supports",1,IF(N926="Conflicts",0,0.5))+Settings!$B$8*IF(AND(Master_Data!R926&lt;&gt;"",Master_Data!S926&lt;&gt;"",Master_Data!R927&lt;&gt;"",Master_Data!S927&lt;&gt;""),1,0.5))</f>
        <v/>
      </c>
      <c r="P926" s="19">
        <f>IF(G926="","",IF(N926="Conflicts","SW_CONFLICT",IF(OR(F926="GOC",F926="OWC",F926="GWC"),"DIRECT_FLUID_TRANSITION","TRANSITION_INTERVAL")))</f>
        <v/>
      </c>
      <c r="Q926" s="19">
        <f>IF(G926="","",IF(N926="Conflicts","Investigate contact interpretation / saturation behaviour",IF(OR(F926="OWC",F926="GOC",F926="GWC"),"Candidate contact — validate with logs, pressure and dynamic evidence","Transition zone — do not force to a sharp contact")))</f>
        <v/>
      </c>
    </row>
    <row r="927">
      <c r="A927" s="19">
        <f>IF(AND(Master_Data!A927&lt;&gt;"",Master_Data!A927=Master_Data!A928),Master_Data!A927,"")</f>
        <v/>
      </c>
      <c r="B927" s="19">
        <f>IF($A927="","",Master_Data!B927)</f>
        <v/>
      </c>
      <c r="C927" s="19">
        <f>IF($A927="","",Master_Data!B928)</f>
        <v/>
      </c>
      <c r="D927" s="19">
        <f>IF($A927="","",Master_Data!Q927)</f>
        <v/>
      </c>
      <c r="E927" s="19">
        <f>IF($A927="","",Master_Data!Q928)</f>
        <v/>
      </c>
      <c r="F927" s="19">
        <f>IF($A927="","",IF(AND(D927="GAS",E927="OIL"),"GOC",IF(AND(D927="OIL",E927="WATER"),"OWC",IF(AND(D927="GAS",E927="WATER"),"GWC",IF(AND(D927="OIL",E927="OIL_WATER"),"OWC_TRANSITION",IF(AND(D927="OIL_WATER",E927="WATER"),"OWC_TRANSITION",IF(AND(D927="GAS",E927="GAS_WATER"),"GOC_TRANSITION",IF(AND(D927="GAS_WATER",E927="OIL"),"GOC_TRANSITION",IF(OR(D927="OIL_WATER",D927="GAS_WATER"),"TRANSITION_INTERVAL","")))))))))</f>
        <v/>
      </c>
      <c r="G927" s="20">
        <f>IF(OR(F927="",Master_Data!R927="",Master_Data!S927=""),"",IF(RIGHT(F927,10)="TRANSITION",AVERAGE(Master_Data!R927:Master_Data!S927),AVERAGE(Master_Data!S927,Master_Data!R928)))</f>
        <v/>
      </c>
      <c r="H927" s="20">
        <f>IF(G927="","",MAX(Settings!$B$4,Settings!$B$5*AVERAGE(IF(Master_Data!O927&lt;&gt;"",Master_Data!O927,Master_Data!H927),IF(Master_Data!O928&lt;&gt;"",Master_Data!O928,Master_Data!H928))))</f>
        <v/>
      </c>
      <c r="I927" s="20">
        <f>IF(G927="","",G927-H927)</f>
        <v/>
      </c>
      <c r="J927" s="20">
        <f>IF(G927="","",G927+H927)</f>
        <v/>
      </c>
      <c r="K927" s="20">
        <f>IF($A927="","",Master_Data!G927)</f>
        <v/>
      </c>
      <c r="L927" s="20">
        <f>IF($A927="","",Master_Data!G928)</f>
        <v/>
      </c>
      <c r="M927" s="20">
        <f>IF(AND(ISNUMBER(K927),ISNUMBER(L927)),L927-K927,"")</f>
        <v/>
      </c>
      <c r="N927" s="19">
        <f>IF(G927="","",IF(AND(ISNUMBER(K927),ISNUMBER(L927)),IF(OR(F927="GOC",F927="OWC",F927="GWC",F927="OWC_TRANSITION",F927="GOC_TRANSITION"),IF(L927&gt;=K927,"Supports","Conflicts"),"N/A"),"No Sw"))</f>
        <v/>
      </c>
      <c r="O927" s="20">
        <f>IF(G927="","",Settings!$B$6*IF(OR(F927="GOC",F927="OWC",F927="GWC"),1,0.7)+Settings!$B$7*IF(N927="Supports",1,IF(N927="Conflicts",0,0.5))+Settings!$B$8*IF(AND(Master_Data!R927&lt;&gt;"",Master_Data!S927&lt;&gt;"",Master_Data!R928&lt;&gt;"",Master_Data!S928&lt;&gt;""),1,0.5))</f>
        <v/>
      </c>
      <c r="P927" s="19">
        <f>IF(G927="","",IF(N927="Conflicts","SW_CONFLICT",IF(OR(F927="GOC",F927="OWC",F927="GWC"),"DIRECT_FLUID_TRANSITION","TRANSITION_INTERVAL")))</f>
        <v/>
      </c>
      <c r="Q927" s="19">
        <f>IF(G927="","",IF(N927="Conflicts","Investigate contact interpretation / saturation behaviour",IF(OR(F927="OWC",F927="GOC",F927="GWC"),"Candidate contact — validate with logs, pressure and dynamic evidence","Transition zone — do not force to a sharp contact")))</f>
        <v/>
      </c>
    </row>
    <row r="928">
      <c r="A928" s="19">
        <f>IF(AND(Master_Data!A928&lt;&gt;"",Master_Data!A928=Master_Data!A929),Master_Data!A928,"")</f>
        <v/>
      </c>
      <c r="B928" s="19">
        <f>IF($A928="","",Master_Data!B928)</f>
        <v/>
      </c>
      <c r="C928" s="19">
        <f>IF($A928="","",Master_Data!B929)</f>
        <v/>
      </c>
      <c r="D928" s="19">
        <f>IF($A928="","",Master_Data!Q928)</f>
        <v/>
      </c>
      <c r="E928" s="19">
        <f>IF($A928="","",Master_Data!Q929)</f>
        <v/>
      </c>
      <c r="F928" s="19">
        <f>IF($A928="","",IF(AND(D928="GAS",E928="OIL"),"GOC",IF(AND(D928="OIL",E928="WATER"),"OWC",IF(AND(D928="GAS",E928="WATER"),"GWC",IF(AND(D928="OIL",E928="OIL_WATER"),"OWC_TRANSITION",IF(AND(D928="OIL_WATER",E928="WATER"),"OWC_TRANSITION",IF(AND(D928="GAS",E928="GAS_WATER"),"GOC_TRANSITION",IF(AND(D928="GAS_WATER",E928="OIL"),"GOC_TRANSITION",IF(OR(D928="OIL_WATER",D928="GAS_WATER"),"TRANSITION_INTERVAL","")))))))))</f>
        <v/>
      </c>
      <c r="G928" s="20">
        <f>IF(OR(F928="",Master_Data!R928="",Master_Data!S928=""),"",IF(RIGHT(F928,10)="TRANSITION",AVERAGE(Master_Data!R928:Master_Data!S928),AVERAGE(Master_Data!S928,Master_Data!R929)))</f>
        <v/>
      </c>
      <c r="H928" s="20">
        <f>IF(G928="","",MAX(Settings!$B$4,Settings!$B$5*AVERAGE(IF(Master_Data!O928&lt;&gt;"",Master_Data!O928,Master_Data!H928),IF(Master_Data!O929&lt;&gt;"",Master_Data!O929,Master_Data!H929))))</f>
        <v/>
      </c>
      <c r="I928" s="20">
        <f>IF(G928="","",G928-H928)</f>
        <v/>
      </c>
      <c r="J928" s="20">
        <f>IF(G928="","",G928+H928)</f>
        <v/>
      </c>
      <c r="K928" s="20">
        <f>IF($A928="","",Master_Data!G928)</f>
        <v/>
      </c>
      <c r="L928" s="20">
        <f>IF($A928="","",Master_Data!G929)</f>
        <v/>
      </c>
      <c r="M928" s="20">
        <f>IF(AND(ISNUMBER(K928),ISNUMBER(L928)),L928-K928,"")</f>
        <v/>
      </c>
      <c r="N928" s="19">
        <f>IF(G928="","",IF(AND(ISNUMBER(K928),ISNUMBER(L928)),IF(OR(F928="GOC",F928="OWC",F928="GWC",F928="OWC_TRANSITION",F928="GOC_TRANSITION"),IF(L928&gt;=K928,"Supports","Conflicts"),"N/A"),"No Sw"))</f>
        <v/>
      </c>
      <c r="O928" s="20">
        <f>IF(G928="","",Settings!$B$6*IF(OR(F928="GOC",F928="OWC",F928="GWC"),1,0.7)+Settings!$B$7*IF(N928="Supports",1,IF(N928="Conflicts",0,0.5))+Settings!$B$8*IF(AND(Master_Data!R928&lt;&gt;"",Master_Data!S928&lt;&gt;"",Master_Data!R929&lt;&gt;"",Master_Data!S929&lt;&gt;""),1,0.5))</f>
        <v/>
      </c>
      <c r="P928" s="19">
        <f>IF(G928="","",IF(N928="Conflicts","SW_CONFLICT",IF(OR(F928="GOC",F928="OWC",F928="GWC"),"DIRECT_FLUID_TRANSITION","TRANSITION_INTERVAL")))</f>
        <v/>
      </c>
      <c r="Q928" s="19">
        <f>IF(G928="","",IF(N928="Conflicts","Investigate contact interpretation / saturation behaviour",IF(OR(F928="OWC",F928="GOC",F928="GWC"),"Candidate contact — validate with logs, pressure and dynamic evidence","Transition zone — do not force to a sharp contact")))</f>
        <v/>
      </c>
    </row>
    <row r="929">
      <c r="A929" s="19">
        <f>IF(AND(Master_Data!A929&lt;&gt;"",Master_Data!A929=Master_Data!A930),Master_Data!A929,"")</f>
        <v/>
      </c>
      <c r="B929" s="19">
        <f>IF($A929="","",Master_Data!B929)</f>
        <v/>
      </c>
      <c r="C929" s="19">
        <f>IF($A929="","",Master_Data!B930)</f>
        <v/>
      </c>
      <c r="D929" s="19">
        <f>IF($A929="","",Master_Data!Q929)</f>
        <v/>
      </c>
      <c r="E929" s="19">
        <f>IF($A929="","",Master_Data!Q930)</f>
        <v/>
      </c>
      <c r="F929" s="19">
        <f>IF($A929="","",IF(AND(D929="GAS",E929="OIL"),"GOC",IF(AND(D929="OIL",E929="WATER"),"OWC",IF(AND(D929="GAS",E929="WATER"),"GWC",IF(AND(D929="OIL",E929="OIL_WATER"),"OWC_TRANSITION",IF(AND(D929="OIL_WATER",E929="WATER"),"OWC_TRANSITION",IF(AND(D929="GAS",E929="GAS_WATER"),"GOC_TRANSITION",IF(AND(D929="GAS_WATER",E929="OIL"),"GOC_TRANSITION",IF(OR(D929="OIL_WATER",D929="GAS_WATER"),"TRANSITION_INTERVAL","")))))))))</f>
        <v/>
      </c>
      <c r="G929" s="20">
        <f>IF(OR(F929="",Master_Data!R929="",Master_Data!S929=""),"",IF(RIGHT(F929,10)="TRANSITION",AVERAGE(Master_Data!R929:Master_Data!S929),AVERAGE(Master_Data!S929,Master_Data!R930)))</f>
        <v/>
      </c>
      <c r="H929" s="20">
        <f>IF(G929="","",MAX(Settings!$B$4,Settings!$B$5*AVERAGE(IF(Master_Data!O929&lt;&gt;"",Master_Data!O929,Master_Data!H929),IF(Master_Data!O930&lt;&gt;"",Master_Data!O930,Master_Data!H930))))</f>
        <v/>
      </c>
      <c r="I929" s="20">
        <f>IF(G929="","",G929-H929)</f>
        <v/>
      </c>
      <c r="J929" s="20">
        <f>IF(G929="","",G929+H929)</f>
        <v/>
      </c>
      <c r="K929" s="20">
        <f>IF($A929="","",Master_Data!G929)</f>
        <v/>
      </c>
      <c r="L929" s="20">
        <f>IF($A929="","",Master_Data!G930)</f>
        <v/>
      </c>
      <c r="M929" s="20">
        <f>IF(AND(ISNUMBER(K929),ISNUMBER(L929)),L929-K929,"")</f>
        <v/>
      </c>
      <c r="N929" s="19">
        <f>IF(G929="","",IF(AND(ISNUMBER(K929),ISNUMBER(L929)),IF(OR(F929="GOC",F929="OWC",F929="GWC",F929="OWC_TRANSITION",F929="GOC_TRANSITION"),IF(L929&gt;=K929,"Supports","Conflicts"),"N/A"),"No Sw"))</f>
        <v/>
      </c>
      <c r="O929" s="20">
        <f>IF(G929="","",Settings!$B$6*IF(OR(F929="GOC",F929="OWC",F929="GWC"),1,0.7)+Settings!$B$7*IF(N929="Supports",1,IF(N929="Conflicts",0,0.5))+Settings!$B$8*IF(AND(Master_Data!R929&lt;&gt;"",Master_Data!S929&lt;&gt;"",Master_Data!R930&lt;&gt;"",Master_Data!S930&lt;&gt;""),1,0.5))</f>
        <v/>
      </c>
      <c r="P929" s="19">
        <f>IF(G929="","",IF(N929="Conflicts","SW_CONFLICT",IF(OR(F929="GOC",F929="OWC",F929="GWC"),"DIRECT_FLUID_TRANSITION","TRANSITION_INTERVAL")))</f>
        <v/>
      </c>
      <c r="Q929" s="19">
        <f>IF(G929="","",IF(N929="Conflicts","Investigate contact interpretation / saturation behaviour",IF(OR(F929="OWC",F929="GOC",F929="GWC"),"Candidate contact — validate with logs, pressure and dynamic evidence","Transition zone — do not force to a sharp contact")))</f>
        <v/>
      </c>
    </row>
    <row r="930">
      <c r="A930" s="19">
        <f>IF(AND(Master_Data!A930&lt;&gt;"",Master_Data!A930=Master_Data!A931),Master_Data!A930,"")</f>
        <v/>
      </c>
      <c r="B930" s="19">
        <f>IF($A930="","",Master_Data!B930)</f>
        <v/>
      </c>
      <c r="C930" s="19">
        <f>IF($A930="","",Master_Data!B931)</f>
        <v/>
      </c>
      <c r="D930" s="19">
        <f>IF($A930="","",Master_Data!Q930)</f>
        <v/>
      </c>
      <c r="E930" s="19">
        <f>IF($A930="","",Master_Data!Q931)</f>
        <v/>
      </c>
      <c r="F930" s="19">
        <f>IF($A930="","",IF(AND(D930="GAS",E930="OIL"),"GOC",IF(AND(D930="OIL",E930="WATER"),"OWC",IF(AND(D930="GAS",E930="WATER"),"GWC",IF(AND(D930="OIL",E930="OIL_WATER"),"OWC_TRANSITION",IF(AND(D930="OIL_WATER",E930="WATER"),"OWC_TRANSITION",IF(AND(D930="GAS",E930="GAS_WATER"),"GOC_TRANSITION",IF(AND(D930="GAS_WATER",E930="OIL"),"GOC_TRANSITION",IF(OR(D930="OIL_WATER",D930="GAS_WATER"),"TRANSITION_INTERVAL","")))))))))</f>
        <v/>
      </c>
      <c r="G930" s="20">
        <f>IF(OR(F930="",Master_Data!R930="",Master_Data!S930=""),"",IF(RIGHT(F930,10)="TRANSITION",AVERAGE(Master_Data!R930:Master_Data!S930),AVERAGE(Master_Data!S930,Master_Data!R931)))</f>
        <v/>
      </c>
      <c r="H930" s="20">
        <f>IF(G930="","",MAX(Settings!$B$4,Settings!$B$5*AVERAGE(IF(Master_Data!O930&lt;&gt;"",Master_Data!O930,Master_Data!H930),IF(Master_Data!O931&lt;&gt;"",Master_Data!O931,Master_Data!H931))))</f>
        <v/>
      </c>
      <c r="I930" s="20">
        <f>IF(G930="","",G930-H930)</f>
        <v/>
      </c>
      <c r="J930" s="20">
        <f>IF(G930="","",G930+H930)</f>
        <v/>
      </c>
      <c r="K930" s="20">
        <f>IF($A930="","",Master_Data!G930)</f>
        <v/>
      </c>
      <c r="L930" s="20">
        <f>IF($A930="","",Master_Data!G931)</f>
        <v/>
      </c>
      <c r="M930" s="20">
        <f>IF(AND(ISNUMBER(K930),ISNUMBER(L930)),L930-K930,"")</f>
        <v/>
      </c>
      <c r="N930" s="19">
        <f>IF(G930="","",IF(AND(ISNUMBER(K930),ISNUMBER(L930)),IF(OR(F930="GOC",F930="OWC",F930="GWC",F930="OWC_TRANSITION",F930="GOC_TRANSITION"),IF(L930&gt;=K930,"Supports","Conflicts"),"N/A"),"No Sw"))</f>
        <v/>
      </c>
      <c r="O930" s="20">
        <f>IF(G930="","",Settings!$B$6*IF(OR(F930="GOC",F930="OWC",F930="GWC"),1,0.7)+Settings!$B$7*IF(N930="Supports",1,IF(N930="Conflicts",0,0.5))+Settings!$B$8*IF(AND(Master_Data!R930&lt;&gt;"",Master_Data!S930&lt;&gt;"",Master_Data!R931&lt;&gt;"",Master_Data!S931&lt;&gt;""),1,0.5))</f>
        <v/>
      </c>
      <c r="P930" s="19">
        <f>IF(G930="","",IF(N930="Conflicts","SW_CONFLICT",IF(OR(F930="GOC",F930="OWC",F930="GWC"),"DIRECT_FLUID_TRANSITION","TRANSITION_INTERVAL")))</f>
        <v/>
      </c>
      <c r="Q930" s="19">
        <f>IF(G930="","",IF(N930="Conflicts","Investigate contact interpretation / saturation behaviour",IF(OR(F930="OWC",F930="GOC",F930="GWC"),"Candidate contact — validate with logs, pressure and dynamic evidence","Transition zone — do not force to a sharp contact")))</f>
        <v/>
      </c>
    </row>
    <row r="931">
      <c r="A931" s="19">
        <f>IF(AND(Master_Data!A931&lt;&gt;"",Master_Data!A931=Master_Data!A932),Master_Data!A931,"")</f>
        <v/>
      </c>
      <c r="B931" s="19">
        <f>IF($A931="","",Master_Data!B931)</f>
        <v/>
      </c>
      <c r="C931" s="19">
        <f>IF($A931="","",Master_Data!B932)</f>
        <v/>
      </c>
      <c r="D931" s="19">
        <f>IF($A931="","",Master_Data!Q931)</f>
        <v/>
      </c>
      <c r="E931" s="19">
        <f>IF($A931="","",Master_Data!Q932)</f>
        <v/>
      </c>
      <c r="F931" s="19">
        <f>IF($A931="","",IF(AND(D931="GAS",E931="OIL"),"GOC",IF(AND(D931="OIL",E931="WATER"),"OWC",IF(AND(D931="GAS",E931="WATER"),"GWC",IF(AND(D931="OIL",E931="OIL_WATER"),"OWC_TRANSITION",IF(AND(D931="OIL_WATER",E931="WATER"),"OWC_TRANSITION",IF(AND(D931="GAS",E931="GAS_WATER"),"GOC_TRANSITION",IF(AND(D931="GAS_WATER",E931="OIL"),"GOC_TRANSITION",IF(OR(D931="OIL_WATER",D931="GAS_WATER"),"TRANSITION_INTERVAL","")))))))))</f>
        <v/>
      </c>
      <c r="G931" s="20">
        <f>IF(OR(F931="",Master_Data!R931="",Master_Data!S931=""),"",IF(RIGHT(F931,10)="TRANSITION",AVERAGE(Master_Data!R931:Master_Data!S931),AVERAGE(Master_Data!S931,Master_Data!R932)))</f>
        <v/>
      </c>
      <c r="H931" s="20">
        <f>IF(G931="","",MAX(Settings!$B$4,Settings!$B$5*AVERAGE(IF(Master_Data!O931&lt;&gt;"",Master_Data!O931,Master_Data!H931),IF(Master_Data!O932&lt;&gt;"",Master_Data!O932,Master_Data!H932))))</f>
        <v/>
      </c>
      <c r="I931" s="20">
        <f>IF(G931="","",G931-H931)</f>
        <v/>
      </c>
      <c r="J931" s="20">
        <f>IF(G931="","",G931+H931)</f>
        <v/>
      </c>
      <c r="K931" s="20">
        <f>IF($A931="","",Master_Data!G931)</f>
        <v/>
      </c>
      <c r="L931" s="20">
        <f>IF($A931="","",Master_Data!G932)</f>
        <v/>
      </c>
      <c r="M931" s="20">
        <f>IF(AND(ISNUMBER(K931),ISNUMBER(L931)),L931-K931,"")</f>
        <v/>
      </c>
      <c r="N931" s="19">
        <f>IF(G931="","",IF(AND(ISNUMBER(K931),ISNUMBER(L931)),IF(OR(F931="GOC",F931="OWC",F931="GWC",F931="OWC_TRANSITION",F931="GOC_TRANSITION"),IF(L931&gt;=K931,"Supports","Conflicts"),"N/A"),"No Sw"))</f>
        <v/>
      </c>
      <c r="O931" s="20">
        <f>IF(G931="","",Settings!$B$6*IF(OR(F931="GOC",F931="OWC",F931="GWC"),1,0.7)+Settings!$B$7*IF(N931="Supports",1,IF(N931="Conflicts",0,0.5))+Settings!$B$8*IF(AND(Master_Data!R931&lt;&gt;"",Master_Data!S931&lt;&gt;"",Master_Data!R932&lt;&gt;"",Master_Data!S932&lt;&gt;""),1,0.5))</f>
        <v/>
      </c>
      <c r="P931" s="19">
        <f>IF(G931="","",IF(N931="Conflicts","SW_CONFLICT",IF(OR(F931="GOC",F931="OWC",F931="GWC"),"DIRECT_FLUID_TRANSITION","TRANSITION_INTERVAL")))</f>
        <v/>
      </c>
      <c r="Q931" s="19">
        <f>IF(G931="","",IF(N931="Conflicts","Investigate contact interpretation / saturation behaviour",IF(OR(F931="OWC",F931="GOC",F931="GWC"),"Candidate contact — validate with logs, pressure and dynamic evidence","Transition zone — do not force to a sharp contact")))</f>
        <v/>
      </c>
    </row>
    <row r="932">
      <c r="A932" s="19">
        <f>IF(AND(Master_Data!A932&lt;&gt;"",Master_Data!A932=Master_Data!A933),Master_Data!A932,"")</f>
        <v/>
      </c>
      <c r="B932" s="19">
        <f>IF($A932="","",Master_Data!B932)</f>
        <v/>
      </c>
      <c r="C932" s="19">
        <f>IF($A932="","",Master_Data!B933)</f>
        <v/>
      </c>
      <c r="D932" s="19">
        <f>IF($A932="","",Master_Data!Q932)</f>
        <v/>
      </c>
      <c r="E932" s="19">
        <f>IF($A932="","",Master_Data!Q933)</f>
        <v/>
      </c>
      <c r="F932" s="19">
        <f>IF($A932="","",IF(AND(D932="GAS",E932="OIL"),"GOC",IF(AND(D932="OIL",E932="WATER"),"OWC",IF(AND(D932="GAS",E932="WATER"),"GWC",IF(AND(D932="OIL",E932="OIL_WATER"),"OWC_TRANSITION",IF(AND(D932="OIL_WATER",E932="WATER"),"OWC_TRANSITION",IF(AND(D932="GAS",E932="GAS_WATER"),"GOC_TRANSITION",IF(AND(D932="GAS_WATER",E932="OIL"),"GOC_TRANSITION",IF(OR(D932="OIL_WATER",D932="GAS_WATER"),"TRANSITION_INTERVAL","")))))))))</f>
        <v/>
      </c>
      <c r="G932" s="20">
        <f>IF(OR(F932="",Master_Data!R932="",Master_Data!S932=""),"",IF(RIGHT(F932,10)="TRANSITION",AVERAGE(Master_Data!R932:Master_Data!S932),AVERAGE(Master_Data!S932,Master_Data!R933)))</f>
        <v/>
      </c>
      <c r="H932" s="20">
        <f>IF(G932="","",MAX(Settings!$B$4,Settings!$B$5*AVERAGE(IF(Master_Data!O932&lt;&gt;"",Master_Data!O932,Master_Data!H932),IF(Master_Data!O933&lt;&gt;"",Master_Data!O933,Master_Data!H933))))</f>
        <v/>
      </c>
      <c r="I932" s="20">
        <f>IF(G932="","",G932-H932)</f>
        <v/>
      </c>
      <c r="J932" s="20">
        <f>IF(G932="","",G932+H932)</f>
        <v/>
      </c>
      <c r="K932" s="20">
        <f>IF($A932="","",Master_Data!G932)</f>
        <v/>
      </c>
      <c r="L932" s="20">
        <f>IF($A932="","",Master_Data!G933)</f>
        <v/>
      </c>
      <c r="M932" s="20">
        <f>IF(AND(ISNUMBER(K932),ISNUMBER(L932)),L932-K932,"")</f>
        <v/>
      </c>
      <c r="N932" s="19">
        <f>IF(G932="","",IF(AND(ISNUMBER(K932),ISNUMBER(L932)),IF(OR(F932="GOC",F932="OWC",F932="GWC",F932="OWC_TRANSITION",F932="GOC_TRANSITION"),IF(L932&gt;=K932,"Supports","Conflicts"),"N/A"),"No Sw"))</f>
        <v/>
      </c>
      <c r="O932" s="20">
        <f>IF(G932="","",Settings!$B$6*IF(OR(F932="GOC",F932="OWC",F932="GWC"),1,0.7)+Settings!$B$7*IF(N932="Supports",1,IF(N932="Conflicts",0,0.5))+Settings!$B$8*IF(AND(Master_Data!R932&lt;&gt;"",Master_Data!S932&lt;&gt;"",Master_Data!R933&lt;&gt;"",Master_Data!S933&lt;&gt;""),1,0.5))</f>
        <v/>
      </c>
      <c r="P932" s="19">
        <f>IF(G932="","",IF(N932="Conflicts","SW_CONFLICT",IF(OR(F932="GOC",F932="OWC",F932="GWC"),"DIRECT_FLUID_TRANSITION","TRANSITION_INTERVAL")))</f>
        <v/>
      </c>
      <c r="Q932" s="19">
        <f>IF(G932="","",IF(N932="Conflicts","Investigate contact interpretation / saturation behaviour",IF(OR(F932="OWC",F932="GOC",F932="GWC"),"Candidate contact — validate with logs, pressure and dynamic evidence","Transition zone — do not force to a sharp contact")))</f>
        <v/>
      </c>
    </row>
    <row r="933">
      <c r="A933" s="19">
        <f>IF(AND(Master_Data!A933&lt;&gt;"",Master_Data!A933=Master_Data!A934),Master_Data!A933,"")</f>
        <v/>
      </c>
      <c r="B933" s="19">
        <f>IF($A933="","",Master_Data!B933)</f>
        <v/>
      </c>
      <c r="C933" s="19">
        <f>IF($A933="","",Master_Data!B934)</f>
        <v/>
      </c>
      <c r="D933" s="19">
        <f>IF($A933="","",Master_Data!Q933)</f>
        <v/>
      </c>
      <c r="E933" s="19">
        <f>IF($A933="","",Master_Data!Q934)</f>
        <v/>
      </c>
      <c r="F933" s="19">
        <f>IF($A933="","",IF(AND(D933="GAS",E933="OIL"),"GOC",IF(AND(D933="OIL",E933="WATER"),"OWC",IF(AND(D933="GAS",E933="WATER"),"GWC",IF(AND(D933="OIL",E933="OIL_WATER"),"OWC_TRANSITION",IF(AND(D933="OIL_WATER",E933="WATER"),"OWC_TRANSITION",IF(AND(D933="GAS",E933="GAS_WATER"),"GOC_TRANSITION",IF(AND(D933="GAS_WATER",E933="OIL"),"GOC_TRANSITION",IF(OR(D933="OIL_WATER",D933="GAS_WATER"),"TRANSITION_INTERVAL","")))))))))</f>
        <v/>
      </c>
      <c r="G933" s="20">
        <f>IF(OR(F933="",Master_Data!R933="",Master_Data!S933=""),"",IF(RIGHT(F933,10)="TRANSITION",AVERAGE(Master_Data!R933:Master_Data!S933),AVERAGE(Master_Data!S933,Master_Data!R934)))</f>
        <v/>
      </c>
      <c r="H933" s="20">
        <f>IF(G933="","",MAX(Settings!$B$4,Settings!$B$5*AVERAGE(IF(Master_Data!O933&lt;&gt;"",Master_Data!O933,Master_Data!H933),IF(Master_Data!O934&lt;&gt;"",Master_Data!O934,Master_Data!H934))))</f>
        <v/>
      </c>
      <c r="I933" s="20">
        <f>IF(G933="","",G933-H933)</f>
        <v/>
      </c>
      <c r="J933" s="20">
        <f>IF(G933="","",G933+H933)</f>
        <v/>
      </c>
      <c r="K933" s="20">
        <f>IF($A933="","",Master_Data!G933)</f>
        <v/>
      </c>
      <c r="L933" s="20">
        <f>IF($A933="","",Master_Data!G934)</f>
        <v/>
      </c>
      <c r="M933" s="20">
        <f>IF(AND(ISNUMBER(K933),ISNUMBER(L933)),L933-K933,"")</f>
        <v/>
      </c>
      <c r="N933" s="19">
        <f>IF(G933="","",IF(AND(ISNUMBER(K933),ISNUMBER(L933)),IF(OR(F933="GOC",F933="OWC",F933="GWC",F933="OWC_TRANSITION",F933="GOC_TRANSITION"),IF(L933&gt;=K933,"Supports","Conflicts"),"N/A"),"No Sw"))</f>
        <v/>
      </c>
      <c r="O933" s="20">
        <f>IF(G933="","",Settings!$B$6*IF(OR(F933="GOC",F933="OWC",F933="GWC"),1,0.7)+Settings!$B$7*IF(N933="Supports",1,IF(N933="Conflicts",0,0.5))+Settings!$B$8*IF(AND(Master_Data!R933&lt;&gt;"",Master_Data!S933&lt;&gt;"",Master_Data!R934&lt;&gt;"",Master_Data!S934&lt;&gt;""),1,0.5))</f>
        <v/>
      </c>
      <c r="P933" s="19">
        <f>IF(G933="","",IF(N933="Conflicts","SW_CONFLICT",IF(OR(F933="GOC",F933="OWC",F933="GWC"),"DIRECT_FLUID_TRANSITION","TRANSITION_INTERVAL")))</f>
        <v/>
      </c>
      <c r="Q933" s="19">
        <f>IF(G933="","",IF(N933="Conflicts","Investigate contact interpretation / saturation behaviour",IF(OR(F933="OWC",F933="GOC",F933="GWC"),"Candidate contact — validate with logs, pressure and dynamic evidence","Transition zone — do not force to a sharp contact")))</f>
        <v/>
      </c>
    </row>
    <row r="934">
      <c r="A934" s="19">
        <f>IF(AND(Master_Data!A934&lt;&gt;"",Master_Data!A934=Master_Data!A935),Master_Data!A934,"")</f>
        <v/>
      </c>
      <c r="B934" s="19">
        <f>IF($A934="","",Master_Data!B934)</f>
        <v/>
      </c>
      <c r="C934" s="19">
        <f>IF($A934="","",Master_Data!B935)</f>
        <v/>
      </c>
      <c r="D934" s="19">
        <f>IF($A934="","",Master_Data!Q934)</f>
        <v/>
      </c>
      <c r="E934" s="19">
        <f>IF($A934="","",Master_Data!Q935)</f>
        <v/>
      </c>
      <c r="F934" s="19">
        <f>IF($A934="","",IF(AND(D934="GAS",E934="OIL"),"GOC",IF(AND(D934="OIL",E934="WATER"),"OWC",IF(AND(D934="GAS",E934="WATER"),"GWC",IF(AND(D934="OIL",E934="OIL_WATER"),"OWC_TRANSITION",IF(AND(D934="OIL_WATER",E934="WATER"),"OWC_TRANSITION",IF(AND(D934="GAS",E934="GAS_WATER"),"GOC_TRANSITION",IF(AND(D934="GAS_WATER",E934="OIL"),"GOC_TRANSITION",IF(OR(D934="OIL_WATER",D934="GAS_WATER"),"TRANSITION_INTERVAL","")))))))))</f>
        <v/>
      </c>
      <c r="G934" s="20">
        <f>IF(OR(F934="",Master_Data!R934="",Master_Data!S934=""),"",IF(RIGHT(F934,10)="TRANSITION",AVERAGE(Master_Data!R934:Master_Data!S934),AVERAGE(Master_Data!S934,Master_Data!R935)))</f>
        <v/>
      </c>
      <c r="H934" s="20">
        <f>IF(G934="","",MAX(Settings!$B$4,Settings!$B$5*AVERAGE(IF(Master_Data!O934&lt;&gt;"",Master_Data!O934,Master_Data!H934),IF(Master_Data!O935&lt;&gt;"",Master_Data!O935,Master_Data!H935))))</f>
        <v/>
      </c>
      <c r="I934" s="20">
        <f>IF(G934="","",G934-H934)</f>
        <v/>
      </c>
      <c r="J934" s="20">
        <f>IF(G934="","",G934+H934)</f>
        <v/>
      </c>
      <c r="K934" s="20">
        <f>IF($A934="","",Master_Data!G934)</f>
        <v/>
      </c>
      <c r="L934" s="20">
        <f>IF($A934="","",Master_Data!G935)</f>
        <v/>
      </c>
      <c r="M934" s="20">
        <f>IF(AND(ISNUMBER(K934),ISNUMBER(L934)),L934-K934,"")</f>
        <v/>
      </c>
      <c r="N934" s="19">
        <f>IF(G934="","",IF(AND(ISNUMBER(K934),ISNUMBER(L934)),IF(OR(F934="GOC",F934="OWC",F934="GWC",F934="OWC_TRANSITION",F934="GOC_TRANSITION"),IF(L934&gt;=K934,"Supports","Conflicts"),"N/A"),"No Sw"))</f>
        <v/>
      </c>
      <c r="O934" s="20">
        <f>IF(G934="","",Settings!$B$6*IF(OR(F934="GOC",F934="OWC",F934="GWC"),1,0.7)+Settings!$B$7*IF(N934="Supports",1,IF(N934="Conflicts",0,0.5))+Settings!$B$8*IF(AND(Master_Data!R934&lt;&gt;"",Master_Data!S934&lt;&gt;"",Master_Data!R935&lt;&gt;"",Master_Data!S935&lt;&gt;""),1,0.5))</f>
        <v/>
      </c>
      <c r="P934" s="19">
        <f>IF(G934="","",IF(N934="Conflicts","SW_CONFLICT",IF(OR(F934="GOC",F934="OWC",F934="GWC"),"DIRECT_FLUID_TRANSITION","TRANSITION_INTERVAL")))</f>
        <v/>
      </c>
      <c r="Q934" s="19">
        <f>IF(G934="","",IF(N934="Conflicts","Investigate contact interpretation / saturation behaviour",IF(OR(F934="OWC",F934="GOC",F934="GWC"),"Candidate contact — validate with logs, pressure and dynamic evidence","Transition zone — do not force to a sharp contact")))</f>
        <v/>
      </c>
    </row>
    <row r="935">
      <c r="A935" s="19">
        <f>IF(AND(Master_Data!A935&lt;&gt;"",Master_Data!A935=Master_Data!A936),Master_Data!A935,"")</f>
        <v/>
      </c>
      <c r="B935" s="19">
        <f>IF($A935="","",Master_Data!B935)</f>
        <v/>
      </c>
      <c r="C935" s="19">
        <f>IF($A935="","",Master_Data!B936)</f>
        <v/>
      </c>
      <c r="D935" s="19">
        <f>IF($A935="","",Master_Data!Q935)</f>
        <v/>
      </c>
      <c r="E935" s="19">
        <f>IF($A935="","",Master_Data!Q936)</f>
        <v/>
      </c>
      <c r="F935" s="19">
        <f>IF($A935="","",IF(AND(D935="GAS",E935="OIL"),"GOC",IF(AND(D935="OIL",E935="WATER"),"OWC",IF(AND(D935="GAS",E935="WATER"),"GWC",IF(AND(D935="OIL",E935="OIL_WATER"),"OWC_TRANSITION",IF(AND(D935="OIL_WATER",E935="WATER"),"OWC_TRANSITION",IF(AND(D935="GAS",E935="GAS_WATER"),"GOC_TRANSITION",IF(AND(D935="GAS_WATER",E935="OIL"),"GOC_TRANSITION",IF(OR(D935="OIL_WATER",D935="GAS_WATER"),"TRANSITION_INTERVAL","")))))))))</f>
        <v/>
      </c>
      <c r="G935" s="20">
        <f>IF(OR(F935="",Master_Data!R935="",Master_Data!S935=""),"",IF(RIGHT(F935,10)="TRANSITION",AVERAGE(Master_Data!R935:Master_Data!S935),AVERAGE(Master_Data!S935,Master_Data!R936)))</f>
        <v/>
      </c>
      <c r="H935" s="20">
        <f>IF(G935="","",MAX(Settings!$B$4,Settings!$B$5*AVERAGE(IF(Master_Data!O935&lt;&gt;"",Master_Data!O935,Master_Data!H935),IF(Master_Data!O936&lt;&gt;"",Master_Data!O936,Master_Data!H936))))</f>
        <v/>
      </c>
      <c r="I935" s="20">
        <f>IF(G935="","",G935-H935)</f>
        <v/>
      </c>
      <c r="J935" s="20">
        <f>IF(G935="","",G935+H935)</f>
        <v/>
      </c>
      <c r="K935" s="20">
        <f>IF($A935="","",Master_Data!G935)</f>
        <v/>
      </c>
      <c r="L935" s="20">
        <f>IF($A935="","",Master_Data!G936)</f>
        <v/>
      </c>
      <c r="M935" s="20">
        <f>IF(AND(ISNUMBER(K935),ISNUMBER(L935)),L935-K935,"")</f>
        <v/>
      </c>
      <c r="N935" s="19">
        <f>IF(G935="","",IF(AND(ISNUMBER(K935),ISNUMBER(L935)),IF(OR(F935="GOC",F935="OWC",F935="GWC",F935="OWC_TRANSITION",F935="GOC_TRANSITION"),IF(L935&gt;=K935,"Supports","Conflicts"),"N/A"),"No Sw"))</f>
        <v/>
      </c>
      <c r="O935" s="20">
        <f>IF(G935="","",Settings!$B$6*IF(OR(F935="GOC",F935="OWC",F935="GWC"),1,0.7)+Settings!$B$7*IF(N935="Supports",1,IF(N935="Conflicts",0,0.5))+Settings!$B$8*IF(AND(Master_Data!R935&lt;&gt;"",Master_Data!S935&lt;&gt;"",Master_Data!R936&lt;&gt;"",Master_Data!S936&lt;&gt;""),1,0.5))</f>
        <v/>
      </c>
      <c r="P935" s="19">
        <f>IF(G935="","",IF(N935="Conflicts","SW_CONFLICT",IF(OR(F935="GOC",F935="OWC",F935="GWC"),"DIRECT_FLUID_TRANSITION","TRANSITION_INTERVAL")))</f>
        <v/>
      </c>
      <c r="Q935" s="19">
        <f>IF(G935="","",IF(N935="Conflicts","Investigate contact interpretation / saturation behaviour",IF(OR(F935="OWC",F935="GOC",F935="GWC"),"Candidate contact — validate with logs, pressure and dynamic evidence","Transition zone — do not force to a sharp contact")))</f>
        <v/>
      </c>
    </row>
    <row r="936">
      <c r="A936" s="19">
        <f>IF(AND(Master_Data!A936&lt;&gt;"",Master_Data!A936=Master_Data!A937),Master_Data!A936,"")</f>
        <v/>
      </c>
      <c r="B936" s="19">
        <f>IF($A936="","",Master_Data!B936)</f>
        <v/>
      </c>
      <c r="C936" s="19">
        <f>IF($A936="","",Master_Data!B937)</f>
        <v/>
      </c>
      <c r="D936" s="19">
        <f>IF($A936="","",Master_Data!Q936)</f>
        <v/>
      </c>
      <c r="E936" s="19">
        <f>IF($A936="","",Master_Data!Q937)</f>
        <v/>
      </c>
      <c r="F936" s="19">
        <f>IF($A936="","",IF(AND(D936="GAS",E936="OIL"),"GOC",IF(AND(D936="OIL",E936="WATER"),"OWC",IF(AND(D936="GAS",E936="WATER"),"GWC",IF(AND(D936="OIL",E936="OIL_WATER"),"OWC_TRANSITION",IF(AND(D936="OIL_WATER",E936="WATER"),"OWC_TRANSITION",IF(AND(D936="GAS",E936="GAS_WATER"),"GOC_TRANSITION",IF(AND(D936="GAS_WATER",E936="OIL"),"GOC_TRANSITION",IF(OR(D936="OIL_WATER",D936="GAS_WATER"),"TRANSITION_INTERVAL","")))))))))</f>
        <v/>
      </c>
      <c r="G936" s="20">
        <f>IF(OR(F936="",Master_Data!R936="",Master_Data!S936=""),"",IF(RIGHT(F936,10)="TRANSITION",AVERAGE(Master_Data!R936:Master_Data!S936),AVERAGE(Master_Data!S936,Master_Data!R937)))</f>
        <v/>
      </c>
      <c r="H936" s="20">
        <f>IF(G936="","",MAX(Settings!$B$4,Settings!$B$5*AVERAGE(IF(Master_Data!O936&lt;&gt;"",Master_Data!O936,Master_Data!H936),IF(Master_Data!O937&lt;&gt;"",Master_Data!O937,Master_Data!H937))))</f>
        <v/>
      </c>
      <c r="I936" s="20">
        <f>IF(G936="","",G936-H936)</f>
        <v/>
      </c>
      <c r="J936" s="20">
        <f>IF(G936="","",G936+H936)</f>
        <v/>
      </c>
      <c r="K936" s="20">
        <f>IF($A936="","",Master_Data!G936)</f>
        <v/>
      </c>
      <c r="L936" s="20">
        <f>IF($A936="","",Master_Data!G937)</f>
        <v/>
      </c>
      <c r="M936" s="20">
        <f>IF(AND(ISNUMBER(K936),ISNUMBER(L936)),L936-K936,"")</f>
        <v/>
      </c>
      <c r="N936" s="19">
        <f>IF(G936="","",IF(AND(ISNUMBER(K936),ISNUMBER(L936)),IF(OR(F936="GOC",F936="OWC",F936="GWC",F936="OWC_TRANSITION",F936="GOC_TRANSITION"),IF(L936&gt;=K936,"Supports","Conflicts"),"N/A"),"No Sw"))</f>
        <v/>
      </c>
      <c r="O936" s="20">
        <f>IF(G936="","",Settings!$B$6*IF(OR(F936="GOC",F936="OWC",F936="GWC"),1,0.7)+Settings!$B$7*IF(N936="Supports",1,IF(N936="Conflicts",0,0.5))+Settings!$B$8*IF(AND(Master_Data!R936&lt;&gt;"",Master_Data!S936&lt;&gt;"",Master_Data!R937&lt;&gt;"",Master_Data!S937&lt;&gt;""),1,0.5))</f>
        <v/>
      </c>
      <c r="P936" s="19">
        <f>IF(G936="","",IF(N936="Conflicts","SW_CONFLICT",IF(OR(F936="GOC",F936="OWC",F936="GWC"),"DIRECT_FLUID_TRANSITION","TRANSITION_INTERVAL")))</f>
        <v/>
      </c>
      <c r="Q936" s="19">
        <f>IF(G936="","",IF(N936="Conflicts","Investigate contact interpretation / saturation behaviour",IF(OR(F936="OWC",F936="GOC",F936="GWC"),"Candidate contact — validate with logs, pressure and dynamic evidence","Transition zone — do not force to a sharp contact")))</f>
        <v/>
      </c>
    </row>
    <row r="937">
      <c r="A937" s="19">
        <f>IF(AND(Master_Data!A937&lt;&gt;"",Master_Data!A937=Master_Data!A938),Master_Data!A937,"")</f>
        <v/>
      </c>
      <c r="B937" s="19">
        <f>IF($A937="","",Master_Data!B937)</f>
        <v/>
      </c>
      <c r="C937" s="19">
        <f>IF($A937="","",Master_Data!B938)</f>
        <v/>
      </c>
      <c r="D937" s="19">
        <f>IF($A937="","",Master_Data!Q937)</f>
        <v/>
      </c>
      <c r="E937" s="19">
        <f>IF($A937="","",Master_Data!Q938)</f>
        <v/>
      </c>
      <c r="F937" s="19">
        <f>IF($A937="","",IF(AND(D937="GAS",E937="OIL"),"GOC",IF(AND(D937="OIL",E937="WATER"),"OWC",IF(AND(D937="GAS",E937="WATER"),"GWC",IF(AND(D937="OIL",E937="OIL_WATER"),"OWC_TRANSITION",IF(AND(D937="OIL_WATER",E937="WATER"),"OWC_TRANSITION",IF(AND(D937="GAS",E937="GAS_WATER"),"GOC_TRANSITION",IF(AND(D937="GAS_WATER",E937="OIL"),"GOC_TRANSITION",IF(OR(D937="OIL_WATER",D937="GAS_WATER"),"TRANSITION_INTERVAL","")))))))))</f>
        <v/>
      </c>
      <c r="G937" s="20">
        <f>IF(OR(F937="",Master_Data!R937="",Master_Data!S937=""),"",IF(RIGHT(F937,10)="TRANSITION",AVERAGE(Master_Data!R937:Master_Data!S937),AVERAGE(Master_Data!S937,Master_Data!R938)))</f>
        <v/>
      </c>
      <c r="H937" s="20">
        <f>IF(G937="","",MAX(Settings!$B$4,Settings!$B$5*AVERAGE(IF(Master_Data!O937&lt;&gt;"",Master_Data!O937,Master_Data!H937),IF(Master_Data!O938&lt;&gt;"",Master_Data!O938,Master_Data!H938))))</f>
        <v/>
      </c>
      <c r="I937" s="20">
        <f>IF(G937="","",G937-H937)</f>
        <v/>
      </c>
      <c r="J937" s="20">
        <f>IF(G937="","",G937+H937)</f>
        <v/>
      </c>
      <c r="K937" s="20">
        <f>IF($A937="","",Master_Data!G937)</f>
        <v/>
      </c>
      <c r="L937" s="20">
        <f>IF($A937="","",Master_Data!G938)</f>
        <v/>
      </c>
      <c r="M937" s="20">
        <f>IF(AND(ISNUMBER(K937),ISNUMBER(L937)),L937-K937,"")</f>
        <v/>
      </c>
      <c r="N937" s="19">
        <f>IF(G937="","",IF(AND(ISNUMBER(K937),ISNUMBER(L937)),IF(OR(F937="GOC",F937="OWC",F937="GWC",F937="OWC_TRANSITION",F937="GOC_TRANSITION"),IF(L937&gt;=K937,"Supports","Conflicts"),"N/A"),"No Sw"))</f>
        <v/>
      </c>
      <c r="O937" s="20">
        <f>IF(G937="","",Settings!$B$6*IF(OR(F937="GOC",F937="OWC",F937="GWC"),1,0.7)+Settings!$B$7*IF(N937="Supports",1,IF(N937="Conflicts",0,0.5))+Settings!$B$8*IF(AND(Master_Data!R937&lt;&gt;"",Master_Data!S937&lt;&gt;"",Master_Data!R938&lt;&gt;"",Master_Data!S938&lt;&gt;""),1,0.5))</f>
        <v/>
      </c>
      <c r="P937" s="19">
        <f>IF(G937="","",IF(N937="Conflicts","SW_CONFLICT",IF(OR(F937="GOC",F937="OWC",F937="GWC"),"DIRECT_FLUID_TRANSITION","TRANSITION_INTERVAL")))</f>
        <v/>
      </c>
      <c r="Q937" s="19">
        <f>IF(G937="","",IF(N937="Conflicts","Investigate contact interpretation / saturation behaviour",IF(OR(F937="OWC",F937="GOC",F937="GWC"),"Candidate contact — validate with logs, pressure and dynamic evidence","Transition zone — do not force to a sharp contact")))</f>
        <v/>
      </c>
    </row>
    <row r="938">
      <c r="A938" s="19">
        <f>IF(AND(Master_Data!A938&lt;&gt;"",Master_Data!A938=Master_Data!A939),Master_Data!A938,"")</f>
        <v/>
      </c>
      <c r="B938" s="19">
        <f>IF($A938="","",Master_Data!B938)</f>
        <v/>
      </c>
      <c r="C938" s="19">
        <f>IF($A938="","",Master_Data!B939)</f>
        <v/>
      </c>
      <c r="D938" s="19">
        <f>IF($A938="","",Master_Data!Q938)</f>
        <v/>
      </c>
      <c r="E938" s="19">
        <f>IF($A938="","",Master_Data!Q939)</f>
        <v/>
      </c>
      <c r="F938" s="19">
        <f>IF($A938="","",IF(AND(D938="GAS",E938="OIL"),"GOC",IF(AND(D938="OIL",E938="WATER"),"OWC",IF(AND(D938="GAS",E938="WATER"),"GWC",IF(AND(D938="OIL",E938="OIL_WATER"),"OWC_TRANSITION",IF(AND(D938="OIL_WATER",E938="WATER"),"OWC_TRANSITION",IF(AND(D938="GAS",E938="GAS_WATER"),"GOC_TRANSITION",IF(AND(D938="GAS_WATER",E938="OIL"),"GOC_TRANSITION",IF(OR(D938="OIL_WATER",D938="GAS_WATER"),"TRANSITION_INTERVAL","")))))))))</f>
        <v/>
      </c>
      <c r="G938" s="20">
        <f>IF(OR(F938="",Master_Data!R938="",Master_Data!S938=""),"",IF(RIGHT(F938,10)="TRANSITION",AVERAGE(Master_Data!R938:Master_Data!S938),AVERAGE(Master_Data!S938,Master_Data!R939)))</f>
        <v/>
      </c>
      <c r="H938" s="20">
        <f>IF(G938="","",MAX(Settings!$B$4,Settings!$B$5*AVERAGE(IF(Master_Data!O938&lt;&gt;"",Master_Data!O938,Master_Data!H938),IF(Master_Data!O939&lt;&gt;"",Master_Data!O939,Master_Data!H939))))</f>
        <v/>
      </c>
      <c r="I938" s="20">
        <f>IF(G938="","",G938-H938)</f>
        <v/>
      </c>
      <c r="J938" s="20">
        <f>IF(G938="","",G938+H938)</f>
        <v/>
      </c>
      <c r="K938" s="20">
        <f>IF($A938="","",Master_Data!G938)</f>
        <v/>
      </c>
      <c r="L938" s="20">
        <f>IF($A938="","",Master_Data!G939)</f>
        <v/>
      </c>
      <c r="M938" s="20">
        <f>IF(AND(ISNUMBER(K938),ISNUMBER(L938)),L938-K938,"")</f>
        <v/>
      </c>
      <c r="N938" s="19">
        <f>IF(G938="","",IF(AND(ISNUMBER(K938),ISNUMBER(L938)),IF(OR(F938="GOC",F938="OWC",F938="GWC",F938="OWC_TRANSITION",F938="GOC_TRANSITION"),IF(L938&gt;=K938,"Supports","Conflicts"),"N/A"),"No Sw"))</f>
        <v/>
      </c>
      <c r="O938" s="20">
        <f>IF(G938="","",Settings!$B$6*IF(OR(F938="GOC",F938="OWC",F938="GWC"),1,0.7)+Settings!$B$7*IF(N938="Supports",1,IF(N938="Conflicts",0,0.5))+Settings!$B$8*IF(AND(Master_Data!R938&lt;&gt;"",Master_Data!S938&lt;&gt;"",Master_Data!R939&lt;&gt;"",Master_Data!S939&lt;&gt;""),1,0.5))</f>
        <v/>
      </c>
      <c r="P938" s="19">
        <f>IF(G938="","",IF(N938="Conflicts","SW_CONFLICT",IF(OR(F938="GOC",F938="OWC",F938="GWC"),"DIRECT_FLUID_TRANSITION","TRANSITION_INTERVAL")))</f>
        <v/>
      </c>
      <c r="Q938" s="19">
        <f>IF(G938="","",IF(N938="Conflicts","Investigate contact interpretation / saturation behaviour",IF(OR(F938="OWC",F938="GOC",F938="GWC"),"Candidate contact — validate with logs, pressure and dynamic evidence","Transition zone — do not force to a sharp contact")))</f>
        <v/>
      </c>
    </row>
    <row r="939">
      <c r="A939" s="19">
        <f>IF(AND(Master_Data!A939&lt;&gt;"",Master_Data!A939=Master_Data!A940),Master_Data!A939,"")</f>
        <v/>
      </c>
      <c r="B939" s="19">
        <f>IF($A939="","",Master_Data!B939)</f>
        <v/>
      </c>
      <c r="C939" s="19">
        <f>IF($A939="","",Master_Data!B940)</f>
        <v/>
      </c>
      <c r="D939" s="19">
        <f>IF($A939="","",Master_Data!Q939)</f>
        <v/>
      </c>
      <c r="E939" s="19">
        <f>IF($A939="","",Master_Data!Q940)</f>
        <v/>
      </c>
      <c r="F939" s="19">
        <f>IF($A939="","",IF(AND(D939="GAS",E939="OIL"),"GOC",IF(AND(D939="OIL",E939="WATER"),"OWC",IF(AND(D939="GAS",E939="WATER"),"GWC",IF(AND(D939="OIL",E939="OIL_WATER"),"OWC_TRANSITION",IF(AND(D939="OIL_WATER",E939="WATER"),"OWC_TRANSITION",IF(AND(D939="GAS",E939="GAS_WATER"),"GOC_TRANSITION",IF(AND(D939="GAS_WATER",E939="OIL"),"GOC_TRANSITION",IF(OR(D939="OIL_WATER",D939="GAS_WATER"),"TRANSITION_INTERVAL","")))))))))</f>
        <v/>
      </c>
      <c r="G939" s="20">
        <f>IF(OR(F939="",Master_Data!R939="",Master_Data!S939=""),"",IF(RIGHT(F939,10)="TRANSITION",AVERAGE(Master_Data!R939:Master_Data!S939),AVERAGE(Master_Data!S939,Master_Data!R940)))</f>
        <v/>
      </c>
      <c r="H939" s="20">
        <f>IF(G939="","",MAX(Settings!$B$4,Settings!$B$5*AVERAGE(IF(Master_Data!O939&lt;&gt;"",Master_Data!O939,Master_Data!H939),IF(Master_Data!O940&lt;&gt;"",Master_Data!O940,Master_Data!H940))))</f>
        <v/>
      </c>
      <c r="I939" s="20">
        <f>IF(G939="","",G939-H939)</f>
        <v/>
      </c>
      <c r="J939" s="20">
        <f>IF(G939="","",G939+H939)</f>
        <v/>
      </c>
      <c r="K939" s="20">
        <f>IF($A939="","",Master_Data!G939)</f>
        <v/>
      </c>
      <c r="L939" s="20">
        <f>IF($A939="","",Master_Data!G940)</f>
        <v/>
      </c>
      <c r="M939" s="20">
        <f>IF(AND(ISNUMBER(K939),ISNUMBER(L939)),L939-K939,"")</f>
        <v/>
      </c>
      <c r="N939" s="19">
        <f>IF(G939="","",IF(AND(ISNUMBER(K939),ISNUMBER(L939)),IF(OR(F939="GOC",F939="OWC",F939="GWC",F939="OWC_TRANSITION",F939="GOC_TRANSITION"),IF(L939&gt;=K939,"Supports","Conflicts"),"N/A"),"No Sw"))</f>
        <v/>
      </c>
      <c r="O939" s="20">
        <f>IF(G939="","",Settings!$B$6*IF(OR(F939="GOC",F939="OWC",F939="GWC"),1,0.7)+Settings!$B$7*IF(N939="Supports",1,IF(N939="Conflicts",0,0.5))+Settings!$B$8*IF(AND(Master_Data!R939&lt;&gt;"",Master_Data!S939&lt;&gt;"",Master_Data!R940&lt;&gt;"",Master_Data!S940&lt;&gt;""),1,0.5))</f>
        <v/>
      </c>
      <c r="P939" s="19">
        <f>IF(G939="","",IF(N939="Conflicts","SW_CONFLICT",IF(OR(F939="GOC",F939="OWC",F939="GWC"),"DIRECT_FLUID_TRANSITION","TRANSITION_INTERVAL")))</f>
        <v/>
      </c>
      <c r="Q939" s="19">
        <f>IF(G939="","",IF(N939="Conflicts","Investigate contact interpretation / saturation behaviour",IF(OR(F939="OWC",F939="GOC",F939="GWC"),"Candidate contact — validate with logs, pressure and dynamic evidence","Transition zone — do not force to a sharp contact")))</f>
        <v/>
      </c>
    </row>
    <row r="940">
      <c r="A940" s="19">
        <f>IF(AND(Master_Data!A940&lt;&gt;"",Master_Data!A940=Master_Data!A941),Master_Data!A940,"")</f>
        <v/>
      </c>
      <c r="B940" s="19">
        <f>IF($A940="","",Master_Data!B940)</f>
        <v/>
      </c>
      <c r="C940" s="19">
        <f>IF($A940="","",Master_Data!B941)</f>
        <v/>
      </c>
      <c r="D940" s="19">
        <f>IF($A940="","",Master_Data!Q940)</f>
        <v/>
      </c>
      <c r="E940" s="19">
        <f>IF($A940="","",Master_Data!Q941)</f>
        <v/>
      </c>
      <c r="F940" s="19">
        <f>IF($A940="","",IF(AND(D940="GAS",E940="OIL"),"GOC",IF(AND(D940="OIL",E940="WATER"),"OWC",IF(AND(D940="GAS",E940="WATER"),"GWC",IF(AND(D940="OIL",E940="OIL_WATER"),"OWC_TRANSITION",IF(AND(D940="OIL_WATER",E940="WATER"),"OWC_TRANSITION",IF(AND(D940="GAS",E940="GAS_WATER"),"GOC_TRANSITION",IF(AND(D940="GAS_WATER",E940="OIL"),"GOC_TRANSITION",IF(OR(D940="OIL_WATER",D940="GAS_WATER"),"TRANSITION_INTERVAL","")))))))))</f>
        <v/>
      </c>
      <c r="G940" s="20">
        <f>IF(OR(F940="",Master_Data!R940="",Master_Data!S940=""),"",IF(RIGHT(F940,10)="TRANSITION",AVERAGE(Master_Data!R940:Master_Data!S940),AVERAGE(Master_Data!S940,Master_Data!R941)))</f>
        <v/>
      </c>
      <c r="H940" s="20">
        <f>IF(G940="","",MAX(Settings!$B$4,Settings!$B$5*AVERAGE(IF(Master_Data!O940&lt;&gt;"",Master_Data!O940,Master_Data!H940),IF(Master_Data!O941&lt;&gt;"",Master_Data!O941,Master_Data!H941))))</f>
        <v/>
      </c>
      <c r="I940" s="20">
        <f>IF(G940="","",G940-H940)</f>
        <v/>
      </c>
      <c r="J940" s="20">
        <f>IF(G940="","",G940+H940)</f>
        <v/>
      </c>
      <c r="K940" s="20">
        <f>IF($A940="","",Master_Data!G940)</f>
        <v/>
      </c>
      <c r="L940" s="20">
        <f>IF($A940="","",Master_Data!G941)</f>
        <v/>
      </c>
      <c r="M940" s="20">
        <f>IF(AND(ISNUMBER(K940),ISNUMBER(L940)),L940-K940,"")</f>
        <v/>
      </c>
      <c r="N940" s="19">
        <f>IF(G940="","",IF(AND(ISNUMBER(K940),ISNUMBER(L940)),IF(OR(F940="GOC",F940="OWC",F940="GWC",F940="OWC_TRANSITION",F940="GOC_TRANSITION"),IF(L940&gt;=K940,"Supports","Conflicts"),"N/A"),"No Sw"))</f>
        <v/>
      </c>
      <c r="O940" s="20">
        <f>IF(G940="","",Settings!$B$6*IF(OR(F940="GOC",F940="OWC",F940="GWC"),1,0.7)+Settings!$B$7*IF(N940="Supports",1,IF(N940="Conflicts",0,0.5))+Settings!$B$8*IF(AND(Master_Data!R940&lt;&gt;"",Master_Data!S940&lt;&gt;"",Master_Data!R941&lt;&gt;"",Master_Data!S941&lt;&gt;""),1,0.5))</f>
        <v/>
      </c>
      <c r="P940" s="19">
        <f>IF(G940="","",IF(N940="Conflicts","SW_CONFLICT",IF(OR(F940="GOC",F940="OWC",F940="GWC"),"DIRECT_FLUID_TRANSITION","TRANSITION_INTERVAL")))</f>
        <v/>
      </c>
      <c r="Q940" s="19">
        <f>IF(G940="","",IF(N940="Conflicts","Investigate contact interpretation / saturation behaviour",IF(OR(F940="OWC",F940="GOC",F940="GWC"),"Candidate contact — validate with logs, pressure and dynamic evidence","Transition zone — do not force to a sharp contact")))</f>
        <v/>
      </c>
    </row>
    <row r="941">
      <c r="A941" s="19">
        <f>IF(AND(Master_Data!A941&lt;&gt;"",Master_Data!A941=Master_Data!A942),Master_Data!A941,"")</f>
        <v/>
      </c>
      <c r="B941" s="19">
        <f>IF($A941="","",Master_Data!B941)</f>
        <v/>
      </c>
      <c r="C941" s="19">
        <f>IF($A941="","",Master_Data!B942)</f>
        <v/>
      </c>
      <c r="D941" s="19">
        <f>IF($A941="","",Master_Data!Q941)</f>
        <v/>
      </c>
      <c r="E941" s="19">
        <f>IF($A941="","",Master_Data!Q942)</f>
        <v/>
      </c>
      <c r="F941" s="19">
        <f>IF($A941="","",IF(AND(D941="GAS",E941="OIL"),"GOC",IF(AND(D941="OIL",E941="WATER"),"OWC",IF(AND(D941="GAS",E941="WATER"),"GWC",IF(AND(D941="OIL",E941="OIL_WATER"),"OWC_TRANSITION",IF(AND(D941="OIL_WATER",E941="WATER"),"OWC_TRANSITION",IF(AND(D941="GAS",E941="GAS_WATER"),"GOC_TRANSITION",IF(AND(D941="GAS_WATER",E941="OIL"),"GOC_TRANSITION",IF(OR(D941="OIL_WATER",D941="GAS_WATER"),"TRANSITION_INTERVAL","")))))))))</f>
        <v/>
      </c>
      <c r="G941" s="20">
        <f>IF(OR(F941="",Master_Data!R941="",Master_Data!S941=""),"",IF(RIGHT(F941,10)="TRANSITION",AVERAGE(Master_Data!R941:Master_Data!S941),AVERAGE(Master_Data!S941,Master_Data!R942)))</f>
        <v/>
      </c>
      <c r="H941" s="20">
        <f>IF(G941="","",MAX(Settings!$B$4,Settings!$B$5*AVERAGE(IF(Master_Data!O941&lt;&gt;"",Master_Data!O941,Master_Data!H941),IF(Master_Data!O942&lt;&gt;"",Master_Data!O942,Master_Data!H942))))</f>
        <v/>
      </c>
      <c r="I941" s="20">
        <f>IF(G941="","",G941-H941)</f>
        <v/>
      </c>
      <c r="J941" s="20">
        <f>IF(G941="","",G941+H941)</f>
        <v/>
      </c>
      <c r="K941" s="20">
        <f>IF($A941="","",Master_Data!G941)</f>
        <v/>
      </c>
      <c r="L941" s="20">
        <f>IF($A941="","",Master_Data!G942)</f>
        <v/>
      </c>
      <c r="M941" s="20">
        <f>IF(AND(ISNUMBER(K941),ISNUMBER(L941)),L941-K941,"")</f>
        <v/>
      </c>
      <c r="N941" s="19">
        <f>IF(G941="","",IF(AND(ISNUMBER(K941),ISNUMBER(L941)),IF(OR(F941="GOC",F941="OWC",F941="GWC",F941="OWC_TRANSITION",F941="GOC_TRANSITION"),IF(L941&gt;=K941,"Supports","Conflicts"),"N/A"),"No Sw"))</f>
        <v/>
      </c>
      <c r="O941" s="20">
        <f>IF(G941="","",Settings!$B$6*IF(OR(F941="GOC",F941="OWC",F941="GWC"),1,0.7)+Settings!$B$7*IF(N941="Supports",1,IF(N941="Conflicts",0,0.5))+Settings!$B$8*IF(AND(Master_Data!R941&lt;&gt;"",Master_Data!S941&lt;&gt;"",Master_Data!R942&lt;&gt;"",Master_Data!S942&lt;&gt;""),1,0.5))</f>
        <v/>
      </c>
      <c r="P941" s="19">
        <f>IF(G941="","",IF(N941="Conflicts","SW_CONFLICT",IF(OR(F941="GOC",F941="OWC",F941="GWC"),"DIRECT_FLUID_TRANSITION","TRANSITION_INTERVAL")))</f>
        <v/>
      </c>
      <c r="Q941" s="19">
        <f>IF(G941="","",IF(N941="Conflicts","Investigate contact interpretation / saturation behaviour",IF(OR(F941="OWC",F941="GOC",F941="GWC"),"Candidate contact — validate with logs, pressure and dynamic evidence","Transition zone — do not force to a sharp contact")))</f>
        <v/>
      </c>
    </row>
    <row r="942">
      <c r="A942" s="19">
        <f>IF(AND(Master_Data!A942&lt;&gt;"",Master_Data!A942=Master_Data!A943),Master_Data!A942,"")</f>
        <v/>
      </c>
      <c r="B942" s="19">
        <f>IF($A942="","",Master_Data!B942)</f>
        <v/>
      </c>
      <c r="C942" s="19">
        <f>IF($A942="","",Master_Data!B943)</f>
        <v/>
      </c>
      <c r="D942" s="19">
        <f>IF($A942="","",Master_Data!Q942)</f>
        <v/>
      </c>
      <c r="E942" s="19">
        <f>IF($A942="","",Master_Data!Q943)</f>
        <v/>
      </c>
      <c r="F942" s="19">
        <f>IF($A942="","",IF(AND(D942="GAS",E942="OIL"),"GOC",IF(AND(D942="OIL",E942="WATER"),"OWC",IF(AND(D942="GAS",E942="WATER"),"GWC",IF(AND(D942="OIL",E942="OIL_WATER"),"OWC_TRANSITION",IF(AND(D942="OIL_WATER",E942="WATER"),"OWC_TRANSITION",IF(AND(D942="GAS",E942="GAS_WATER"),"GOC_TRANSITION",IF(AND(D942="GAS_WATER",E942="OIL"),"GOC_TRANSITION",IF(OR(D942="OIL_WATER",D942="GAS_WATER"),"TRANSITION_INTERVAL","")))))))))</f>
        <v/>
      </c>
      <c r="G942" s="20">
        <f>IF(OR(F942="",Master_Data!R942="",Master_Data!S942=""),"",IF(RIGHT(F942,10)="TRANSITION",AVERAGE(Master_Data!R942:Master_Data!S942),AVERAGE(Master_Data!S942,Master_Data!R943)))</f>
        <v/>
      </c>
      <c r="H942" s="20">
        <f>IF(G942="","",MAX(Settings!$B$4,Settings!$B$5*AVERAGE(IF(Master_Data!O942&lt;&gt;"",Master_Data!O942,Master_Data!H942),IF(Master_Data!O943&lt;&gt;"",Master_Data!O943,Master_Data!H943))))</f>
        <v/>
      </c>
      <c r="I942" s="20">
        <f>IF(G942="","",G942-H942)</f>
        <v/>
      </c>
      <c r="J942" s="20">
        <f>IF(G942="","",G942+H942)</f>
        <v/>
      </c>
      <c r="K942" s="20">
        <f>IF($A942="","",Master_Data!G942)</f>
        <v/>
      </c>
      <c r="L942" s="20">
        <f>IF($A942="","",Master_Data!G943)</f>
        <v/>
      </c>
      <c r="M942" s="20">
        <f>IF(AND(ISNUMBER(K942),ISNUMBER(L942)),L942-K942,"")</f>
        <v/>
      </c>
      <c r="N942" s="19">
        <f>IF(G942="","",IF(AND(ISNUMBER(K942),ISNUMBER(L942)),IF(OR(F942="GOC",F942="OWC",F942="GWC",F942="OWC_TRANSITION",F942="GOC_TRANSITION"),IF(L942&gt;=K942,"Supports","Conflicts"),"N/A"),"No Sw"))</f>
        <v/>
      </c>
      <c r="O942" s="20">
        <f>IF(G942="","",Settings!$B$6*IF(OR(F942="GOC",F942="OWC",F942="GWC"),1,0.7)+Settings!$B$7*IF(N942="Supports",1,IF(N942="Conflicts",0,0.5))+Settings!$B$8*IF(AND(Master_Data!R942&lt;&gt;"",Master_Data!S942&lt;&gt;"",Master_Data!R943&lt;&gt;"",Master_Data!S943&lt;&gt;""),1,0.5))</f>
        <v/>
      </c>
      <c r="P942" s="19">
        <f>IF(G942="","",IF(N942="Conflicts","SW_CONFLICT",IF(OR(F942="GOC",F942="OWC",F942="GWC"),"DIRECT_FLUID_TRANSITION","TRANSITION_INTERVAL")))</f>
        <v/>
      </c>
      <c r="Q942" s="19">
        <f>IF(G942="","",IF(N942="Conflicts","Investigate contact interpretation / saturation behaviour",IF(OR(F942="OWC",F942="GOC",F942="GWC"),"Candidate contact — validate with logs, pressure and dynamic evidence","Transition zone — do not force to a sharp contact")))</f>
        <v/>
      </c>
    </row>
    <row r="943">
      <c r="A943" s="19">
        <f>IF(AND(Master_Data!A943&lt;&gt;"",Master_Data!A943=Master_Data!A944),Master_Data!A943,"")</f>
        <v/>
      </c>
      <c r="B943" s="19">
        <f>IF($A943="","",Master_Data!B943)</f>
        <v/>
      </c>
      <c r="C943" s="19">
        <f>IF($A943="","",Master_Data!B944)</f>
        <v/>
      </c>
      <c r="D943" s="19">
        <f>IF($A943="","",Master_Data!Q943)</f>
        <v/>
      </c>
      <c r="E943" s="19">
        <f>IF($A943="","",Master_Data!Q944)</f>
        <v/>
      </c>
      <c r="F943" s="19">
        <f>IF($A943="","",IF(AND(D943="GAS",E943="OIL"),"GOC",IF(AND(D943="OIL",E943="WATER"),"OWC",IF(AND(D943="GAS",E943="WATER"),"GWC",IF(AND(D943="OIL",E943="OIL_WATER"),"OWC_TRANSITION",IF(AND(D943="OIL_WATER",E943="WATER"),"OWC_TRANSITION",IF(AND(D943="GAS",E943="GAS_WATER"),"GOC_TRANSITION",IF(AND(D943="GAS_WATER",E943="OIL"),"GOC_TRANSITION",IF(OR(D943="OIL_WATER",D943="GAS_WATER"),"TRANSITION_INTERVAL","")))))))))</f>
        <v/>
      </c>
      <c r="G943" s="20">
        <f>IF(OR(F943="",Master_Data!R943="",Master_Data!S943=""),"",IF(RIGHT(F943,10)="TRANSITION",AVERAGE(Master_Data!R943:Master_Data!S943),AVERAGE(Master_Data!S943,Master_Data!R944)))</f>
        <v/>
      </c>
      <c r="H943" s="20">
        <f>IF(G943="","",MAX(Settings!$B$4,Settings!$B$5*AVERAGE(IF(Master_Data!O943&lt;&gt;"",Master_Data!O943,Master_Data!H943),IF(Master_Data!O944&lt;&gt;"",Master_Data!O944,Master_Data!H944))))</f>
        <v/>
      </c>
      <c r="I943" s="20">
        <f>IF(G943="","",G943-H943)</f>
        <v/>
      </c>
      <c r="J943" s="20">
        <f>IF(G943="","",G943+H943)</f>
        <v/>
      </c>
      <c r="K943" s="20">
        <f>IF($A943="","",Master_Data!G943)</f>
        <v/>
      </c>
      <c r="L943" s="20">
        <f>IF($A943="","",Master_Data!G944)</f>
        <v/>
      </c>
      <c r="M943" s="20">
        <f>IF(AND(ISNUMBER(K943),ISNUMBER(L943)),L943-K943,"")</f>
        <v/>
      </c>
      <c r="N943" s="19">
        <f>IF(G943="","",IF(AND(ISNUMBER(K943),ISNUMBER(L943)),IF(OR(F943="GOC",F943="OWC",F943="GWC",F943="OWC_TRANSITION",F943="GOC_TRANSITION"),IF(L943&gt;=K943,"Supports","Conflicts"),"N/A"),"No Sw"))</f>
        <v/>
      </c>
      <c r="O943" s="20">
        <f>IF(G943="","",Settings!$B$6*IF(OR(F943="GOC",F943="OWC",F943="GWC"),1,0.7)+Settings!$B$7*IF(N943="Supports",1,IF(N943="Conflicts",0,0.5))+Settings!$B$8*IF(AND(Master_Data!R943&lt;&gt;"",Master_Data!S943&lt;&gt;"",Master_Data!R944&lt;&gt;"",Master_Data!S944&lt;&gt;""),1,0.5))</f>
        <v/>
      </c>
      <c r="P943" s="19">
        <f>IF(G943="","",IF(N943="Conflicts","SW_CONFLICT",IF(OR(F943="GOC",F943="OWC",F943="GWC"),"DIRECT_FLUID_TRANSITION","TRANSITION_INTERVAL")))</f>
        <v/>
      </c>
      <c r="Q943" s="19">
        <f>IF(G943="","",IF(N943="Conflicts","Investigate contact interpretation / saturation behaviour",IF(OR(F943="OWC",F943="GOC",F943="GWC"),"Candidate contact — validate with logs, pressure and dynamic evidence","Transition zone — do not force to a sharp contact")))</f>
        <v/>
      </c>
    </row>
    <row r="944">
      <c r="A944" s="19">
        <f>IF(AND(Master_Data!A944&lt;&gt;"",Master_Data!A944=Master_Data!A945),Master_Data!A944,"")</f>
        <v/>
      </c>
      <c r="B944" s="19">
        <f>IF($A944="","",Master_Data!B944)</f>
        <v/>
      </c>
      <c r="C944" s="19">
        <f>IF($A944="","",Master_Data!B945)</f>
        <v/>
      </c>
      <c r="D944" s="19">
        <f>IF($A944="","",Master_Data!Q944)</f>
        <v/>
      </c>
      <c r="E944" s="19">
        <f>IF($A944="","",Master_Data!Q945)</f>
        <v/>
      </c>
      <c r="F944" s="19">
        <f>IF($A944="","",IF(AND(D944="GAS",E944="OIL"),"GOC",IF(AND(D944="OIL",E944="WATER"),"OWC",IF(AND(D944="GAS",E944="WATER"),"GWC",IF(AND(D944="OIL",E944="OIL_WATER"),"OWC_TRANSITION",IF(AND(D944="OIL_WATER",E944="WATER"),"OWC_TRANSITION",IF(AND(D944="GAS",E944="GAS_WATER"),"GOC_TRANSITION",IF(AND(D944="GAS_WATER",E944="OIL"),"GOC_TRANSITION",IF(OR(D944="OIL_WATER",D944="GAS_WATER"),"TRANSITION_INTERVAL","")))))))))</f>
        <v/>
      </c>
      <c r="G944" s="20">
        <f>IF(OR(F944="",Master_Data!R944="",Master_Data!S944=""),"",IF(RIGHT(F944,10)="TRANSITION",AVERAGE(Master_Data!R944:Master_Data!S944),AVERAGE(Master_Data!S944,Master_Data!R945)))</f>
        <v/>
      </c>
      <c r="H944" s="20">
        <f>IF(G944="","",MAX(Settings!$B$4,Settings!$B$5*AVERAGE(IF(Master_Data!O944&lt;&gt;"",Master_Data!O944,Master_Data!H944),IF(Master_Data!O945&lt;&gt;"",Master_Data!O945,Master_Data!H945))))</f>
        <v/>
      </c>
      <c r="I944" s="20">
        <f>IF(G944="","",G944-H944)</f>
        <v/>
      </c>
      <c r="J944" s="20">
        <f>IF(G944="","",G944+H944)</f>
        <v/>
      </c>
      <c r="K944" s="20">
        <f>IF($A944="","",Master_Data!G944)</f>
        <v/>
      </c>
      <c r="L944" s="20">
        <f>IF($A944="","",Master_Data!G945)</f>
        <v/>
      </c>
      <c r="M944" s="20">
        <f>IF(AND(ISNUMBER(K944),ISNUMBER(L944)),L944-K944,"")</f>
        <v/>
      </c>
      <c r="N944" s="19">
        <f>IF(G944="","",IF(AND(ISNUMBER(K944),ISNUMBER(L944)),IF(OR(F944="GOC",F944="OWC",F944="GWC",F944="OWC_TRANSITION",F944="GOC_TRANSITION"),IF(L944&gt;=K944,"Supports","Conflicts"),"N/A"),"No Sw"))</f>
        <v/>
      </c>
      <c r="O944" s="20">
        <f>IF(G944="","",Settings!$B$6*IF(OR(F944="GOC",F944="OWC",F944="GWC"),1,0.7)+Settings!$B$7*IF(N944="Supports",1,IF(N944="Conflicts",0,0.5))+Settings!$B$8*IF(AND(Master_Data!R944&lt;&gt;"",Master_Data!S944&lt;&gt;"",Master_Data!R945&lt;&gt;"",Master_Data!S945&lt;&gt;""),1,0.5))</f>
        <v/>
      </c>
      <c r="P944" s="19">
        <f>IF(G944="","",IF(N944="Conflicts","SW_CONFLICT",IF(OR(F944="GOC",F944="OWC",F944="GWC"),"DIRECT_FLUID_TRANSITION","TRANSITION_INTERVAL")))</f>
        <v/>
      </c>
      <c r="Q944" s="19">
        <f>IF(G944="","",IF(N944="Conflicts","Investigate contact interpretation / saturation behaviour",IF(OR(F944="OWC",F944="GOC",F944="GWC"),"Candidate contact — validate with logs, pressure and dynamic evidence","Transition zone — do not force to a sharp contact")))</f>
        <v/>
      </c>
    </row>
    <row r="945">
      <c r="A945" s="19">
        <f>IF(AND(Master_Data!A945&lt;&gt;"",Master_Data!A945=Master_Data!A946),Master_Data!A945,"")</f>
        <v/>
      </c>
      <c r="B945" s="19">
        <f>IF($A945="","",Master_Data!B945)</f>
        <v/>
      </c>
      <c r="C945" s="19">
        <f>IF($A945="","",Master_Data!B946)</f>
        <v/>
      </c>
      <c r="D945" s="19">
        <f>IF($A945="","",Master_Data!Q945)</f>
        <v/>
      </c>
      <c r="E945" s="19">
        <f>IF($A945="","",Master_Data!Q946)</f>
        <v/>
      </c>
      <c r="F945" s="19">
        <f>IF($A945="","",IF(AND(D945="GAS",E945="OIL"),"GOC",IF(AND(D945="OIL",E945="WATER"),"OWC",IF(AND(D945="GAS",E945="WATER"),"GWC",IF(AND(D945="OIL",E945="OIL_WATER"),"OWC_TRANSITION",IF(AND(D945="OIL_WATER",E945="WATER"),"OWC_TRANSITION",IF(AND(D945="GAS",E945="GAS_WATER"),"GOC_TRANSITION",IF(AND(D945="GAS_WATER",E945="OIL"),"GOC_TRANSITION",IF(OR(D945="OIL_WATER",D945="GAS_WATER"),"TRANSITION_INTERVAL","")))))))))</f>
        <v/>
      </c>
      <c r="G945" s="20">
        <f>IF(OR(F945="",Master_Data!R945="",Master_Data!S945=""),"",IF(RIGHT(F945,10)="TRANSITION",AVERAGE(Master_Data!R945:Master_Data!S945),AVERAGE(Master_Data!S945,Master_Data!R946)))</f>
        <v/>
      </c>
      <c r="H945" s="20">
        <f>IF(G945="","",MAX(Settings!$B$4,Settings!$B$5*AVERAGE(IF(Master_Data!O945&lt;&gt;"",Master_Data!O945,Master_Data!H945),IF(Master_Data!O946&lt;&gt;"",Master_Data!O946,Master_Data!H946))))</f>
        <v/>
      </c>
      <c r="I945" s="20">
        <f>IF(G945="","",G945-H945)</f>
        <v/>
      </c>
      <c r="J945" s="20">
        <f>IF(G945="","",G945+H945)</f>
        <v/>
      </c>
      <c r="K945" s="20">
        <f>IF($A945="","",Master_Data!G945)</f>
        <v/>
      </c>
      <c r="L945" s="20">
        <f>IF($A945="","",Master_Data!G946)</f>
        <v/>
      </c>
      <c r="M945" s="20">
        <f>IF(AND(ISNUMBER(K945),ISNUMBER(L945)),L945-K945,"")</f>
        <v/>
      </c>
      <c r="N945" s="19">
        <f>IF(G945="","",IF(AND(ISNUMBER(K945),ISNUMBER(L945)),IF(OR(F945="GOC",F945="OWC",F945="GWC",F945="OWC_TRANSITION",F945="GOC_TRANSITION"),IF(L945&gt;=K945,"Supports","Conflicts"),"N/A"),"No Sw"))</f>
        <v/>
      </c>
      <c r="O945" s="20">
        <f>IF(G945="","",Settings!$B$6*IF(OR(F945="GOC",F945="OWC",F945="GWC"),1,0.7)+Settings!$B$7*IF(N945="Supports",1,IF(N945="Conflicts",0,0.5))+Settings!$B$8*IF(AND(Master_Data!R945&lt;&gt;"",Master_Data!S945&lt;&gt;"",Master_Data!R946&lt;&gt;"",Master_Data!S946&lt;&gt;""),1,0.5))</f>
        <v/>
      </c>
      <c r="P945" s="19">
        <f>IF(G945="","",IF(N945="Conflicts","SW_CONFLICT",IF(OR(F945="GOC",F945="OWC",F945="GWC"),"DIRECT_FLUID_TRANSITION","TRANSITION_INTERVAL")))</f>
        <v/>
      </c>
      <c r="Q945" s="19">
        <f>IF(G945="","",IF(N945="Conflicts","Investigate contact interpretation / saturation behaviour",IF(OR(F945="OWC",F945="GOC",F945="GWC"),"Candidate contact — validate with logs, pressure and dynamic evidence","Transition zone — do not force to a sharp contact")))</f>
        <v/>
      </c>
    </row>
    <row r="946">
      <c r="A946" s="19">
        <f>IF(AND(Master_Data!A946&lt;&gt;"",Master_Data!A946=Master_Data!A947),Master_Data!A946,"")</f>
        <v/>
      </c>
      <c r="B946" s="19">
        <f>IF($A946="","",Master_Data!B946)</f>
        <v/>
      </c>
      <c r="C946" s="19">
        <f>IF($A946="","",Master_Data!B947)</f>
        <v/>
      </c>
      <c r="D946" s="19">
        <f>IF($A946="","",Master_Data!Q946)</f>
        <v/>
      </c>
      <c r="E946" s="19">
        <f>IF($A946="","",Master_Data!Q947)</f>
        <v/>
      </c>
      <c r="F946" s="19">
        <f>IF($A946="","",IF(AND(D946="GAS",E946="OIL"),"GOC",IF(AND(D946="OIL",E946="WATER"),"OWC",IF(AND(D946="GAS",E946="WATER"),"GWC",IF(AND(D946="OIL",E946="OIL_WATER"),"OWC_TRANSITION",IF(AND(D946="OIL_WATER",E946="WATER"),"OWC_TRANSITION",IF(AND(D946="GAS",E946="GAS_WATER"),"GOC_TRANSITION",IF(AND(D946="GAS_WATER",E946="OIL"),"GOC_TRANSITION",IF(OR(D946="OIL_WATER",D946="GAS_WATER"),"TRANSITION_INTERVAL","")))))))))</f>
        <v/>
      </c>
      <c r="G946" s="20">
        <f>IF(OR(F946="",Master_Data!R946="",Master_Data!S946=""),"",IF(RIGHT(F946,10)="TRANSITION",AVERAGE(Master_Data!R946:Master_Data!S946),AVERAGE(Master_Data!S946,Master_Data!R947)))</f>
        <v/>
      </c>
      <c r="H946" s="20">
        <f>IF(G946="","",MAX(Settings!$B$4,Settings!$B$5*AVERAGE(IF(Master_Data!O946&lt;&gt;"",Master_Data!O946,Master_Data!H946),IF(Master_Data!O947&lt;&gt;"",Master_Data!O947,Master_Data!H947))))</f>
        <v/>
      </c>
      <c r="I946" s="20">
        <f>IF(G946="","",G946-H946)</f>
        <v/>
      </c>
      <c r="J946" s="20">
        <f>IF(G946="","",G946+H946)</f>
        <v/>
      </c>
      <c r="K946" s="20">
        <f>IF($A946="","",Master_Data!G946)</f>
        <v/>
      </c>
      <c r="L946" s="20">
        <f>IF($A946="","",Master_Data!G947)</f>
        <v/>
      </c>
      <c r="M946" s="20">
        <f>IF(AND(ISNUMBER(K946),ISNUMBER(L946)),L946-K946,"")</f>
        <v/>
      </c>
      <c r="N946" s="19">
        <f>IF(G946="","",IF(AND(ISNUMBER(K946),ISNUMBER(L946)),IF(OR(F946="GOC",F946="OWC",F946="GWC",F946="OWC_TRANSITION",F946="GOC_TRANSITION"),IF(L946&gt;=K946,"Supports","Conflicts"),"N/A"),"No Sw"))</f>
        <v/>
      </c>
      <c r="O946" s="20">
        <f>IF(G946="","",Settings!$B$6*IF(OR(F946="GOC",F946="OWC",F946="GWC"),1,0.7)+Settings!$B$7*IF(N946="Supports",1,IF(N946="Conflicts",0,0.5))+Settings!$B$8*IF(AND(Master_Data!R946&lt;&gt;"",Master_Data!S946&lt;&gt;"",Master_Data!R947&lt;&gt;"",Master_Data!S947&lt;&gt;""),1,0.5))</f>
        <v/>
      </c>
      <c r="P946" s="19">
        <f>IF(G946="","",IF(N946="Conflicts","SW_CONFLICT",IF(OR(F946="GOC",F946="OWC",F946="GWC"),"DIRECT_FLUID_TRANSITION","TRANSITION_INTERVAL")))</f>
        <v/>
      </c>
      <c r="Q946" s="19">
        <f>IF(G946="","",IF(N946="Conflicts","Investigate contact interpretation / saturation behaviour",IF(OR(F946="OWC",F946="GOC",F946="GWC"),"Candidate contact — validate with logs, pressure and dynamic evidence","Transition zone — do not force to a sharp contact")))</f>
        <v/>
      </c>
    </row>
    <row r="947">
      <c r="A947" s="19">
        <f>IF(AND(Master_Data!A947&lt;&gt;"",Master_Data!A947=Master_Data!A948),Master_Data!A947,"")</f>
        <v/>
      </c>
      <c r="B947" s="19">
        <f>IF($A947="","",Master_Data!B947)</f>
        <v/>
      </c>
      <c r="C947" s="19">
        <f>IF($A947="","",Master_Data!B948)</f>
        <v/>
      </c>
      <c r="D947" s="19">
        <f>IF($A947="","",Master_Data!Q947)</f>
        <v/>
      </c>
      <c r="E947" s="19">
        <f>IF($A947="","",Master_Data!Q948)</f>
        <v/>
      </c>
      <c r="F947" s="19">
        <f>IF($A947="","",IF(AND(D947="GAS",E947="OIL"),"GOC",IF(AND(D947="OIL",E947="WATER"),"OWC",IF(AND(D947="GAS",E947="WATER"),"GWC",IF(AND(D947="OIL",E947="OIL_WATER"),"OWC_TRANSITION",IF(AND(D947="OIL_WATER",E947="WATER"),"OWC_TRANSITION",IF(AND(D947="GAS",E947="GAS_WATER"),"GOC_TRANSITION",IF(AND(D947="GAS_WATER",E947="OIL"),"GOC_TRANSITION",IF(OR(D947="OIL_WATER",D947="GAS_WATER"),"TRANSITION_INTERVAL","")))))))))</f>
        <v/>
      </c>
      <c r="G947" s="20">
        <f>IF(OR(F947="",Master_Data!R947="",Master_Data!S947=""),"",IF(RIGHT(F947,10)="TRANSITION",AVERAGE(Master_Data!R947:Master_Data!S947),AVERAGE(Master_Data!S947,Master_Data!R948)))</f>
        <v/>
      </c>
      <c r="H947" s="20">
        <f>IF(G947="","",MAX(Settings!$B$4,Settings!$B$5*AVERAGE(IF(Master_Data!O947&lt;&gt;"",Master_Data!O947,Master_Data!H947),IF(Master_Data!O948&lt;&gt;"",Master_Data!O948,Master_Data!H948))))</f>
        <v/>
      </c>
      <c r="I947" s="20">
        <f>IF(G947="","",G947-H947)</f>
        <v/>
      </c>
      <c r="J947" s="20">
        <f>IF(G947="","",G947+H947)</f>
        <v/>
      </c>
      <c r="K947" s="20">
        <f>IF($A947="","",Master_Data!G947)</f>
        <v/>
      </c>
      <c r="L947" s="20">
        <f>IF($A947="","",Master_Data!G948)</f>
        <v/>
      </c>
      <c r="M947" s="20">
        <f>IF(AND(ISNUMBER(K947),ISNUMBER(L947)),L947-K947,"")</f>
        <v/>
      </c>
      <c r="N947" s="19">
        <f>IF(G947="","",IF(AND(ISNUMBER(K947),ISNUMBER(L947)),IF(OR(F947="GOC",F947="OWC",F947="GWC",F947="OWC_TRANSITION",F947="GOC_TRANSITION"),IF(L947&gt;=K947,"Supports","Conflicts"),"N/A"),"No Sw"))</f>
        <v/>
      </c>
      <c r="O947" s="20">
        <f>IF(G947="","",Settings!$B$6*IF(OR(F947="GOC",F947="OWC",F947="GWC"),1,0.7)+Settings!$B$7*IF(N947="Supports",1,IF(N947="Conflicts",0,0.5))+Settings!$B$8*IF(AND(Master_Data!R947&lt;&gt;"",Master_Data!S947&lt;&gt;"",Master_Data!R948&lt;&gt;"",Master_Data!S948&lt;&gt;""),1,0.5))</f>
        <v/>
      </c>
      <c r="P947" s="19">
        <f>IF(G947="","",IF(N947="Conflicts","SW_CONFLICT",IF(OR(F947="GOC",F947="OWC",F947="GWC"),"DIRECT_FLUID_TRANSITION","TRANSITION_INTERVAL")))</f>
        <v/>
      </c>
      <c r="Q947" s="19">
        <f>IF(G947="","",IF(N947="Conflicts","Investigate contact interpretation / saturation behaviour",IF(OR(F947="OWC",F947="GOC",F947="GWC"),"Candidate contact — validate with logs, pressure and dynamic evidence","Transition zone — do not force to a sharp contact")))</f>
        <v/>
      </c>
    </row>
    <row r="948">
      <c r="A948" s="19">
        <f>IF(AND(Master_Data!A948&lt;&gt;"",Master_Data!A948=Master_Data!A949),Master_Data!A948,"")</f>
        <v/>
      </c>
      <c r="B948" s="19">
        <f>IF($A948="","",Master_Data!B948)</f>
        <v/>
      </c>
      <c r="C948" s="19">
        <f>IF($A948="","",Master_Data!B949)</f>
        <v/>
      </c>
      <c r="D948" s="19">
        <f>IF($A948="","",Master_Data!Q948)</f>
        <v/>
      </c>
      <c r="E948" s="19">
        <f>IF($A948="","",Master_Data!Q949)</f>
        <v/>
      </c>
      <c r="F948" s="19">
        <f>IF($A948="","",IF(AND(D948="GAS",E948="OIL"),"GOC",IF(AND(D948="OIL",E948="WATER"),"OWC",IF(AND(D948="GAS",E948="WATER"),"GWC",IF(AND(D948="OIL",E948="OIL_WATER"),"OWC_TRANSITION",IF(AND(D948="OIL_WATER",E948="WATER"),"OWC_TRANSITION",IF(AND(D948="GAS",E948="GAS_WATER"),"GOC_TRANSITION",IF(AND(D948="GAS_WATER",E948="OIL"),"GOC_TRANSITION",IF(OR(D948="OIL_WATER",D948="GAS_WATER"),"TRANSITION_INTERVAL","")))))))))</f>
        <v/>
      </c>
      <c r="G948" s="20">
        <f>IF(OR(F948="",Master_Data!R948="",Master_Data!S948=""),"",IF(RIGHT(F948,10)="TRANSITION",AVERAGE(Master_Data!R948:Master_Data!S948),AVERAGE(Master_Data!S948,Master_Data!R949)))</f>
        <v/>
      </c>
      <c r="H948" s="20">
        <f>IF(G948="","",MAX(Settings!$B$4,Settings!$B$5*AVERAGE(IF(Master_Data!O948&lt;&gt;"",Master_Data!O948,Master_Data!H948),IF(Master_Data!O949&lt;&gt;"",Master_Data!O949,Master_Data!H949))))</f>
        <v/>
      </c>
      <c r="I948" s="20">
        <f>IF(G948="","",G948-H948)</f>
        <v/>
      </c>
      <c r="J948" s="20">
        <f>IF(G948="","",G948+H948)</f>
        <v/>
      </c>
      <c r="K948" s="20">
        <f>IF($A948="","",Master_Data!G948)</f>
        <v/>
      </c>
      <c r="L948" s="20">
        <f>IF($A948="","",Master_Data!G949)</f>
        <v/>
      </c>
      <c r="M948" s="20">
        <f>IF(AND(ISNUMBER(K948),ISNUMBER(L948)),L948-K948,"")</f>
        <v/>
      </c>
      <c r="N948" s="19">
        <f>IF(G948="","",IF(AND(ISNUMBER(K948),ISNUMBER(L948)),IF(OR(F948="GOC",F948="OWC",F948="GWC",F948="OWC_TRANSITION",F948="GOC_TRANSITION"),IF(L948&gt;=K948,"Supports","Conflicts"),"N/A"),"No Sw"))</f>
        <v/>
      </c>
      <c r="O948" s="20">
        <f>IF(G948="","",Settings!$B$6*IF(OR(F948="GOC",F948="OWC",F948="GWC"),1,0.7)+Settings!$B$7*IF(N948="Supports",1,IF(N948="Conflicts",0,0.5))+Settings!$B$8*IF(AND(Master_Data!R948&lt;&gt;"",Master_Data!S948&lt;&gt;"",Master_Data!R949&lt;&gt;"",Master_Data!S949&lt;&gt;""),1,0.5))</f>
        <v/>
      </c>
      <c r="P948" s="19">
        <f>IF(G948="","",IF(N948="Conflicts","SW_CONFLICT",IF(OR(F948="GOC",F948="OWC",F948="GWC"),"DIRECT_FLUID_TRANSITION","TRANSITION_INTERVAL")))</f>
        <v/>
      </c>
      <c r="Q948" s="19">
        <f>IF(G948="","",IF(N948="Conflicts","Investigate contact interpretation / saturation behaviour",IF(OR(F948="OWC",F948="GOC",F948="GWC"),"Candidate contact — validate with logs, pressure and dynamic evidence","Transition zone — do not force to a sharp contact")))</f>
        <v/>
      </c>
    </row>
    <row r="949">
      <c r="A949" s="19">
        <f>IF(AND(Master_Data!A949&lt;&gt;"",Master_Data!A949=Master_Data!A950),Master_Data!A949,"")</f>
        <v/>
      </c>
      <c r="B949" s="19">
        <f>IF($A949="","",Master_Data!B949)</f>
        <v/>
      </c>
      <c r="C949" s="19">
        <f>IF($A949="","",Master_Data!B950)</f>
        <v/>
      </c>
      <c r="D949" s="19">
        <f>IF($A949="","",Master_Data!Q949)</f>
        <v/>
      </c>
      <c r="E949" s="19">
        <f>IF($A949="","",Master_Data!Q950)</f>
        <v/>
      </c>
      <c r="F949" s="19">
        <f>IF($A949="","",IF(AND(D949="GAS",E949="OIL"),"GOC",IF(AND(D949="OIL",E949="WATER"),"OWC",IF(AND(D949="GAS",E949="WATER"),"GWC",IF(AND(D949="OIL",E949="OIL_WATER"),"OWC_TRANSITION",IF(AND(D949="OIL_WATER",E949="WATER"),"OWC_TRANSITION",IF(AND(D949="GAS",E949="GAS_WATER"),"GOC_TRANSITION",IF(AND(D949="GAS_WATER",E949="OIL"),"GOC_TRANSITION",IF(OR(D949="OIL_WATER",D949="GAS_WATER"),"TRANSITION_INTERVAL","")))))))))</f>
        <v/>
      </c>
      <c r="G949" s="20">
        <f>IF(OR(F949="",Master_Data!R949="",Master_Data!S949=""),"",IF(RIGHT(F949,10)="TRANSITION",AVERAGE(Master_Data!R949:Master_Data!S949),AVERAGE(Master_Data!S949,Master_Data!R950)))</f>
        <v/>
      </c>
      <c r="H949" s="20">
        <f>IF(G949="","",MAX(Settings!$B$4,Settings!$B$5*AVERAGE(IF(Master_Data!O949&lt;&gt;"",Master_Data!O949,Master_Data!H949),IF(Master_Data!O950&lt;&gt;"",Master_Data!O950,Master_Data!H950))))</f>
        <v/>
      </c>
      <c r="I949" s="20">
        <f>IF(G949="","",G949-H949)</f>
        <v/>
      </c>
      <c r="J949" s="20">
        <f>IF(G949="","",G949+H949)</f>
        <v/>
      </c>
      <c r="K949" s="20">
        <f>IF($A949="","",Master_Data!G949)</f>
        <v/>
      </c>
      <c r="L949" s="20">
        <f>IF($A949="","",Master_Data!G950)</f>
        <v/>
      </c>
      <c r="M949" s="20">
        <f>IF(AND(ISNUMBER(K949),ISNUMBER(L949)),L949-K949,"")</f>
        <v/>
      </c>
      <c r="N949" s="19">
        <f>IF(G949="","",IF(AND(ISNUMBER(K949),ISNUMBER(L949)),IF(OR(F949="GOC",F949="OWC",F949="GWC",F949="OWC_TRANSITION",F949="GOC_TRANSITION"),IF(L949&gt;=K949,"Supports","Conflicts"),"N/A"),"No Sw"))</f>
        <v/>
      </c>
      <c r="O949" s="20">
        <f>IF(G949="","",Settings!$B$6*IF(OR(F949="GOC",F949="OWC",F949="GWC"),1,0.7)+Settings!$B$7*IF(N949="Supports",1,IF(N949="Conflicts",0,0.5))+Settings!$B$8*IF(AND(Master_Data!R949&lt;&gt;"",Master_Data!S949&lt;&gt;"",Master_Data!R950&lt;&gt;"",Master_Data!S950&lt;&gt;""),1,0.5))</f>
        <v/>
      </c>
      <c r="P949" s="19">
        <f>IF(G949="","",IF(N949="Conflicts","SW_CONFLICT",IF(OR(F949="GOC",F949="OWC",F949="GWC"),"DIRECT_FLUID_TRANSITION","TRANSITION_INTERVAL")))</f>
        <v/>
      </c>
      <c r="Q949" s="19">
        <f>IF(G949="","",IF(N949="Conflicts","Investigate contact interpretation / saturation behaviour",IF(OR(F949="OWC",F949="GOC",F949="GWC"),"Candidate contact — validate with logs, pressure and dynamic evidence","Transition zone — do not force to a sharp contact")))</f>
        <v/>
      </c>
    </row>
    <row r="950">
      <c r="A950" s="19">
        <f>IF(AND(Master_Data!A950&lt;&gt;"",Master_Data!A950=Master_Data!A951),Master_Data!A950,"")</f>
        <v/>
      </c>
      <c r="B950" s="19">
        <f>IF($A950="","",Master_Data!B950)</f>
        <v/>
      </c>
      <c r="C950" s="19">
        <f>IF($A950="","",Master_Data!B951)</f>
        <v/>
      </c>
      <c r="D950" s="19">
        <f>IF($A950="","",Master_Data!Q950)</f>
        <v/>
      </c>
      <c r="E950" s="19">
        <f>IF($A950="","",Master_Data!Q951)</f>
        <v/>
      </c>
      <c r="F950" s="19">
        <f>IF($A950="","",IF(AND(D950="GAS",E950="OIL"),"GOC",IF(AND(D950="OIL",E950="WATER"),"OWC",IF(AND(D950="GAS",E950="WATER"),"GWC",IF(AND(D950="OIL",E950="OIL_WATER"),"OWC_TRANSITION",IF(AND(D950="OIL_WATER",E950="WATER"),"OWC_TRANSITION",IF(AND(D950="GAS",E950="GAS_WATER"),"GOC_TRANSITION",IF(AND(D950="GAS_WATER",E950="OIL"),"GOC_TRANSITION",IF(OR(D950="OIL_WATER",D950="GAS_WATER"),"TRANSITION_INTERVAL","")))))))))</f>
        <v/>
      </c>
      <c r="G950" s="20">
        <f>IF(OR(F950="",Master_Data!R950="",Master_Data!S950=""),"",IF(RIGHT(F950,10)="TRANSITION",AVERAGE(Master_Data!R950:Master_Data!S950),AVERAGE(Master_Data!S950,Master_Data!R951)))</f>
        <v/>
      </c>
      <c r="H950" s="20">
        <f>IF(G950="","",MAX(Settings!$B$4,Settings!$B$5*AVERAGE(IF(Master_Data!O950&lt;&gt;"",Master_Data!O950,Master_Data!H950),IF(Master_Data!O951&lt;&gt;"",Master_Data!O951,Master_Data!H951))))</f>
        <v/>
      </c>
      <c r="I950" s="20">
        <f>IF(G950="","",G950-H950)</f>
        <v/>
      </c>
      <c r="J950" s="20">
        <f>IF(G950="","",G950+H950)</f>
        <v/>
      </c>
      <c r="K950" s="20">
        <f>IF($A950="","",Master_Data!G950)</f>
        <v/>
      </c>
      <c r="L950" s="20">
        <f>IF($A950="","",Master_Data!G951)</f>
        <v/>
      </c>
      <c r="M950" s="20">
        <f>IF(AND(ISNUMBER(K950),ISNUMBER(L950)),L950-K950,"")</f>
        <v/>
      </c>
      <c r="N950" s="19">
        <f>IF(G950="","",IF(AND(ISNUMBER(K950),ISNUMBER(L950)),IF(OR(F950="GOC",F950="OWC",F950="GWC",F950="OWC_TRANSITION",F950="GOC_TRANSITION"),IF(L950&gt;=K950,"Supports","Conflicts"),"N/A"),"No Sw"))</f>
        <v/>
      </c>
      <c r="O950" s="20">
        <f>IF(G950="","",Settings!$B$6*IF(OR(F950="GOC",F950="OWC",F950="GWC"),1,0.7)+Settings!$B$7*IF(N950="Supports",1,IF(N950="Conflicts",0,0.5))+Settings!$B$8*IF(AND(Master_Data!R950&lt;&gt;"",Master_Data!S950&lt;&gt;"",Master_Data!R951&lt;&gt;"",Master_Data!S951&lt;&gt;""),1,0.5))</f>
        <v/>
      </c>
      <c r="P950" s="19">
        <f>IF(G950="","",IF(N950="Conflicts","SW_CONFLICT",IF(OR(F950="GOC",F950="OWC",F950="GWC"),"DIRECT_FLUID_TRANSITION","TRANSITION_INTERVAL")))</f>
        <v/>
      </c>
      <c r="Q950" s="19">
        <f>IF(G950="","",IF(N950="Conflicts","Investigate contact interpretation / saturation behaviour",IF(OR(F950="OWC",F950="GOC",F950="GWC"),"Candidate contact — validate with logs, pressure and dynamic evidence","Transition zone — do not force to a sharp contact")))</f>
        <v/>
      </c>
    </row>
    <row r="951">
      <c r="A951" s="19">
        <f>IF(AND(Master_Data!A951&lt;&gt;"",Master_Data!A951=Master_Data!A952),Master_Data!A951,"")</f>
        <v/>
      </c>
      <c r="B951" s="19">
        <f>IF($A951="","",Master_Data!B951)</f>
        <v/>
      </c>
      <c r="C951" s="19">
        <f>IF($A951="","",Master_Data!B952)</f>
        <v/>
      </c>
      <c r="D951" s="19">
        <f>IF($A951="","",Master_Data!Q951)</f>
        <v/>
      </c>
      <c r="E951" s="19">
        <f>IF($A951="","",Master_Data!Q952)</f>
        <v/>
      </c>
      <c r="F951" s="19">
        <f>IF($A951="","",IF(AND(D951="GAS",E951="OIL"),"GOC",IF(AND(D951="OIL",E951="WATER"),"OWC",IF(AND(D951="GAS",E951="WATER"),"GWC",IF(AND(D951="OIL",E951="OIL_WATER"),"OWC_TRANSITION",IF(AND(D951="OIL_WATER",E951="WATER"),"OWC_TRANSITION",IF(AND(D951="GAS",E951="GAS_WATER"),"GOC_TRANSITION",IF(AND(D951="GAS_WATER",E951="OIL"),"GOC_TRANSITION",IF(OR(D951="OIL_WATER",D951="GAS_WATER"),"TRANSITION_INTERVAL","")))))))))</f>
        <v/>
      </c>
      <c r="G951" s="20">
        <f>IF(OR(F951="",Master_Data!R951="",Master_Data!S951=""),"",IF(RIGHT(F951,10)="TRANSITION",AVERAGE(Master_Data!R951:Master_Data!S951),AVERAGE(Master_Data!S951,Master_Data!R952)))</f>
        <v/>
      </c>
      <c r="H951" s="20">
        <f>IF(G951="","",MAX(Settings!$B$4,Settings!$B$5*AVERAGE(IF(Master_Data!O951&lt;&gt;"",Master_Data!O951,Master_Data!H951),IF(Master_Data!O952&lt;&gt;"",Master_Data!O952,Master_Data!H952))))</f>
        <v/>
      </c>
      <c r="I951" s="20">
        <f>IF(G951="","",G951-H951)</f>
        <v/>
      </c>
      <c r="J951" s="20">
        <f>IF(G951="","",G951+H951)</f>
        <v/>
      </c>
      <c r="K951" s="20">
        <f>IF($A951="","",Master_Data!G951)</f>
        <v/>
      </c>
      <c r="L951" s="20">
        <f>IF($A951="","",Master_Data!G952)</f>
        <v/>
      </c>
      <c r="M951" s="20">
        <f>IF(AND(ISNUMBER(K951),ISNUMBER(L951)),L951-K951,"")</f>
        <v/>
      </c>
      <c r="N951" s="19">
        <f>IF(G951="","",IF(AND(ISNUMBER(K951),ISNUMBER(L951)),IF(OR(F951="GOC",F951="OWC",F951="GWC",F951="OWC_TRANSITION",F951="GOC_TRANSITION"),IF(L951&gt;=K951,"Supports","Conflicts"),"N/A"),"No Sw"))</f>
        <v/>
      </c>
      <c r="O951" s="20">
        <f>IF(G951="","",Settings!$B$6*IF(OR(F951="GOC",F951="OWC",F951="GWC"),1,0.7)+Settings!$B$7*IF(N951="Supports",1,IF(N951="Conflicts",0,0.5))+Settings!$B$8*IF(AND(Master_Data!R951&lt;&gt;"",Master_Data!S951&lt;&gt;"",Master_Data!R952&lt;&gt;"",Master_Data!S952&lt;&gt;""),1,0.5))</f>
        <v/>
      </c>
      <c r="P951" s="19">
        <f>IF(G951="","",IF(N951="Conflicts","SW_CONFLICT",IF(OR(F951="GOC",F951="OWC",F951="GWC"),"DIRECT_FLUID_TRANSITION","TRANSITION_INTERVAL")))</f>
        <v/>
      </c>
      <c r="Q951" s="19">
        <f>IF(G951="","",IF(N951="Conflicts","Investigate contact interpretation / saturation behaviour",IF(OR(F951="OWC",F951="GOC",F951="GWC"),"Candidate contact — validate with logs, pressure and dynamic evidence","Transition zone — do not force to a sharp contact")))</f>
        <v/>
      </c>
    </row>
    <row r="952">
      <c r="A952" s="19">
        <f>IF(AND(Master_Data!A952&lt;&gt;"",Master_Data!A952=Master_Data!A953),Master_Data!A952,"")</f>
        <v/>
      </c>
      <c r="B952" s="19">
        <f>IF($A952="","",Master_Data!B952)</f>
        <v/>
      </c>
      <c r="C952" s="19">
        <f>IF($A952="","",Master_Data!B953)</f>
        <v/>
      </c>
      <c r="D952" s="19">
        <f>IF($A952="","",Master_Data!Q952)</f>
        <v/>
      </c>
      <c r="E952" s="19">
        <f>IF($A952="","",Master_Data!Q953)</f>
        <v/>
      </c>
      <c r="F952" s="19">
        <f>IF($A952="","",IF(AND(D952="GAS",E952="OIL"),"GOC",IF(AND(D952="OIL",E952="WATER"),"OWC",IF(AND(D952="GAS",E952="WATER"),"GWC",IF(AND(D952="OIL",E952="OIL_WATER"),"OWC_TRANSITION",IF(AND(D952="OIL_WATER",E952="WATER"),"OWC_TRANSITION",IF(AND(D952="GAS",E952="GAS_WATER"),"GOC_TRANSITION",IF(AND(D952="GAS_WATER",E952="OIL"),"GOC_TRANSITION",IF(OR(D952="OIL_WATER",D952="GAS_WATER"),"TRANSITION_INTERVAL","")))))))))</f>
        <v/>
      </c>
      <c r="G952" s="20">
        <f>IF(OR(F952="",Master_Data!R952="",Master_Data!S952=""),"",IF(RIGHT(F952,10)="TRANSITION",AVERAGE(Master_Data!R952:Master_Data!S952),AVERAGE(Master_Data!S952,Master_Data!R953)))</f>
        <v/>
      </c>
      <c r="H952" s="20">
        <f>IF(G952="","",MAX(Settings!$B$4,Settings!$B$5*AVERAGE(IF(Master_Data!O952&lt;&gt;"",Master_Data!O952,Master_Data!H952),IF(Master_Data!O953&lt;&gt;"",Master_Data!O953,Master_Data!H953))))</f>
        <v/>
      </c>
      <c r="I952" s="20">
        <f>IF(G952="","",G952-H952)</f>
        <v/>
      </c>
      <c r="J952" s="20">
        <f>IF(G952="","",G952+H952)</f>
        <v/>
      </c>
      <c r="K952" s="20">
        <f>IF($A952="","",Master_Data!G952)</f>
        <v/>
      </c>
      <c r="L952" s="20">
        <f>IF($A952="","",Master_Data!G953)</f>
        <v/>
      </c>
      <c r="M952" s="20">
        <f>IF(AND(ISNUMBER(K952),ISNUMBER(L952)),L952-K952,"")</f>
        <v/>
      </c>
      <c r="N952" s="19">
        <f>IF(G952="","",IF(AND(ISNUMBER(K952),ISNUMBER(L952)),IF(OR(F952="GOC",F952="OWC",F952="GWC",F952="OWC_TRANSITION",F952="GOC_TRANSITION"),IF(L952&gt;=K952,"Supports","Conflicts"),"N/A"),"No Sw"))</f>
        <v/>
      </c>
      <c r="O952" s="20">
        <f>IF(G952="","",Settings!$B$6*IF(OR(F952="GOC",F952="OWC",F952="GWC"),1,0.7)+Settings!$B$7*IF(N952="Supports",1,IF(N952="Conflicts",0,0.5))+Settings!$B$8*IF(AND(Master_Data!R952&lt;&gt;"",Master_Data!S952&lt;&gt;"",Master_Data!R953&lt;&gt;"",Master_Data!S953&lt;&gt;""),1,0.5))</f>
        <v/>
      </c>
      <c r="P952" s="19">
        <f>IF(G952="","",IF(N952="Conflicts","SW_CONFLICT",IF(OR(F952="GOC",F952="OWC",F952="GWC"),"DIRECT_FLUID_TRANSITION","TRANSITION_INTERVAL")))</f>
        <v/>
      </c>
      <c r="Q952" s="19">
        <f>IF(G952="","",IF(N952="Conflicts","Investigate contact interpretation / saturation behaviour",IF(OR(F952="OWC",F952="GOC",F952="GWC"),"Candidate contact — validate with logs, pressure and dynamic evidence","Transition zone — do not force to a sharp contact")))</f>
        <v/>
      </c>
    </row>
    <row r="953">
      <c r="A953" s="19">
        <f>IF(AND(Master_Data!A953&lt;&gt;"",Master_Data!A953=Master_Data!A954),Master_Data!A953,"")</f>
        <v/>
      </c>
      <c r="B953" s="19">
        <f>IF($A953="","",Master_Data!B953)</f>
        <v/>
      </c>
      <c r="C953" s="19">
        <f>IF($A953="","",Master_Data!B954)</f>
        <v/>
      </c>
      <c r="D953" s="19">
        <f>IF($A953="","",Master_Data!Q953)</f>
        <v/>
      </c>
      <c r="E953" s="19">
        <f>IF($A953="","",Master_Data!Q954)</f>
        <v/>
      </c>
      <c r="F953" s="19">
        <f>IF($A953="","",IF(AND(D953="GAS",E953="OIL"),"GOC",IF(AND(D953="OIL",E953="WATER"),"OWC",IF(AND(D953="GAS",E953="WATER"),"GWC",IF(AND(D953="OIL",E953="OIL_WATER"),"OWC_TRANSITION",IF(AND(D953="OIL_WATER",E953="WATER"),"OWC_TRANSITION",IF(AND(D953="GAS",E953="GAS_WATER"),"GOC_TRANSITION",IF(AND(D953="GAS_WATER",E953="OIL"),"GOC_TRANSITION",IF(OR(D953="OIL_WATER",D953="GAS_WATER"),"TRANSITION_INTERVAL","")))))))))</f>
        <v/>
      </c>
      <c r="G953" s="20">
        <f>IF(OR(F953="",Master_Data!R953="",Master_Data!S953=""),"",IF(RIGHT(F953,10)="TRANSITION",AVERAGE(Master_Data!R953:Master_Data!S953),AVERAGE(Master_Data!S953,Master_Data!R954)))</f>
        <v/>
      </c>
      <c r="H953" s="20">
        <f>IF(G953="","",MAX(Settings!$B$4,Settings!$B$5*AVERAGE(IF(Master_Data!O953&lt;&gt;"",Master_Data!O953,Master_Data!H953),IF(Master_Data!O954&lt;&gt;"",Master_Data!O954,Master_Data!H954))))</f>
        <v/>
      </c>
      <c r="I953" s="20">
        <f>IF(G953="","",G953-H953)</f>
        <v/>
      </c>
      <c r="J953" s="20">
        <f>IF(G953="","",G953+H953)</f>
        <v/>
      </c>
      <c r="K953" s="20">
        <f>IF($A953="","",Master_Data!G953)</f>
        <v/>
      </c>
      <c r="L953" s="20">
        <f>IF($A953="","",Master_Data!G954)</f>
        <v/>
      </c>
      <c r="M953" s="20">
        <f>IF(AND(ISNUMBER(K953),ISNUMBER(L953)),L953-K953,"")</f>
        <v/>
      </c>
      <c r="N953" s="19">
        <f>IF(G953="","",IF(AND(ISNUMBER(K953),ISNUMBER(L953)),IF(OR(F953="GOC",F953="OWC",F953="GWC",F953="OWC_TRANSITION",F953="GOC_TRANSITION"),IF(L953&gt;=K953,"Supports","Conflicts"),"N/A"),"No Sw"))</f>
        <v/>
      </c>
      <c r="O953" s="20">
        <f>IF(G953="","",Settings!$B$6*IF(OR(F953="GOC",F953="OWC",F953="GWC"),1,0.7)+Settings!$B$7*IF(N953="Supports",1,IF(N953="Conflicts",0,0.5))+Settings!$B$8*IF(AND(Master_Data!R953&lt;&gt;"",Master_Data!S953&lt;&gt;"",Master_Data!R954&lt;&gt;"",Master_Data!S954&lt;&gt;""),1,0.5))</f>
        <v/>
      </c>
      <c r="P953" s="19">
        <f>IF(G953="","",IF(N953="Conflicts","SW_CONFLICT",IF(OR(F953="GOC",F953="OWC",F953="GWC"),"DIRECT_FLUID_TRANSITION","TRANSITION_INTERVAL")))</f>
        <v/>
      </c>
      <c r="Q953" s="19">
        <f>IF(G953="","",IF(N953="Conflicts","Investigate contact interpretation / saturation behaviour",IF(OR(F953="OWC",F953="GOC",F953="GWC"),"Candidate contact — validate with logs, pressure and dynamic evidence","Transition zone — do not force to a sharp contact")))</f>
        <v/>
      </c>
    </row>
    <row r="954">
      <c r="A954" s="19">
        <f>IF(AND(Master_Data!A954&lt;&gt;"",Master_Data!A954=Master_Data!A955),Master_Data!A954,"")</f>
        <v/>
      </c>
      <c r="B954" s="19">
        <f>IF($A954="","",Master_Data!B954)</f>
        <v/>
      </c>
      <c r="C954" s="19">
        <f>IF($A954="","",Master_Data!B955)</f>
        <v/>
      </c>
      <c r="D954" s="19">
        <f>IF($A954="","",Master_Data!Q954)</f>
        <v/>
      </c>
      <c r="E954" s="19">
        <f>IF($A954="","",Master_Data!Q955)</f>
        <v/>
      </c>
      <c r="F954" s="19">
        <f>IF($A954="","",IF(AND(D954="GAS",E954="OIL"),"GOC",IF(AND(D954="OIL",E954="WATER"),"OWC",IF(AND(D954="GAS",E954="WATER"),"GWC",IF(AND(D954="OIL",E954="OIL_WATER"),"OWC_TRANSITION",IF(AND(D954="OIL_WATER",E954="WATER"),"OWC_TRANSITION",IF(AND(D954="GAS",E954="GAS_WATER"),"GOC_TRANSITION",IF(AND(D954="GAS_WATER",E954="OIL"),"GOC_TRANSITION",IF(OR(D954="OIL_WATER",D954="GAS_WATER"),"TRANSITION_INTERVAL","")))))))))</f>
        <v/>
      </c>
      <c r="G954" s="20">
        <f>IF(OR(F954="",Master_Data!R954="",Master_Data!S954=""),"",IF(RIGHT(F954,10)="TRANSITION",AVERAGE(Master_Data!R954:Master_Data!S954),AVERAGE(Master_Data!S954,Master_Data!R955)))</f>
        <v/>
      </c>
      <c r="H954" s="20">
        <f>IF(G954="","",MAX(Settings!$B$4,Settings!$B$5*AVERAGE(IF(Master_Data!O954&lt;&gt;"",Master_Data!O954,Master_Data!H954),IF(Master_Data!O955&lt;&gt;"",Master_Data!O955,Master_Data!H955))))</f>
        <v/>
      </c>
      <c r="I954" s="20">
        <f>IF(G954="","",G954-H954)</f>
        <v/>
      </c>
      <c r="J954" s="20">
        <f>IF(G954="","",G954+H954)</f>
        <v/>
      </c>
      <c r="K954" s="20">
        <f>IF($A954="","",Master_Data!G954)</f>
        <v/>
      </c>
      <c r="L954" s="20">
        <f>IF($A954="","",Master_Data!G955)</f>
        <v/>
      </c>
      <c r="M954" s="20">
        <f>IF(AND(ISNUMBER(K954),ISNUMBER(L954)),L954-K954,"")</f>
        <v/>
      </c>
      <c r="N954" s="19">
        <f>IF(G954="","",IF(AND(ISNUMBER(K954),ISNUMBER(L954)),IF(OR(F954="GOC",F954="OWC",F954="GWC",F954="OWC_TRANSITION",F954="GOC_TRANSITION"),IF(L954&gt;=K954,"Supports","Conflicts"),"N/A"),"No Sw"))</f>
        <v/>
      </c>
      <c r="O954" s="20">
        <f>IF(G954="","",Settings!$B$6*IF(OR(F954="GOC",F954="OWC",F954="GWC"),1,0.7)+Settings!$B$7*IF(N954="Supports",1,IF(N954="Conflicts",0,0.5))+Settings!$B$8*IF(AND(Master_Data!R954&lt;&gt;"",Master_Data!S954&lt;&gt;"",Master_Data!R955&lt;&gt;"",Master_Data!S955&lt;&gt;""),1,0.5))</f>
        <v/>
      </c>
      <c r="P954" s="19">
        <f>IF(G954="","",IF(N954="Conflicts","SW_CONFLICT",IF(OR(F954="GOC",F954="OWC",F954="GWC"),"DIRECT_FLUID_TRANSITION","TRANSITION_INTERVAL")))</f>
        <v/>
      </c>
      <c r="Q954" s="19">
        <f>IF(G954="","",IF(N954="Conflicts","Investigate contact interpretation / saturation behaviour",IF(OR(F954="OWC",F954="GOC",F954="GWC"),"Candidate contact — validate with logs, pressure and dynamic evidence","Transition zone — do not force to a sharp contact")))</f>
        <v/>
      </c>
    </row>
    <row r="955">
      <c r="A955" s="19">
        <f>IF(AND(Master_Data!A955&lt;&gt;"",Master_Data!A955=Master_Data!A956),Master_Data!A955,"")</f>
        <v/>
      </c>
      <c r="B955" s="19">
        <f>IF($A955="","",Master_Data!B955)</f>
        <v/>
      </c>
      <c r="C955" s="19">
        <f>IF($A955="","",Master_Data!B956)</f>
        <v/>
      </c>
      <c r="D955" s="19">
        <f>IF($A955="","",Master_Data!Q955)</f>
        <v/>
      </c>
      <c r="E955" s="19">
        <f>IF($A955="","",Master_Data!Q956)</f>
        <v/>
      </c>
      <c r="F955" s="19">
        <f>IF($A955="","",IF(AND(D955="GAS",E955="OIL"),"GOC",IF(AND(D955="OIL",E955="WATER"),"OWC",IF(AND(D955="GAS",E955="WATER"),"GWC",IF(AND(D955="OIL",E955="OIL_WATER"),"OWC_TRANSITION",IF(AND(D955="OIL_WATER",E955="WATER"),"OWC_TRANSITION",IF(AND(D955="GAS",E955="GAS_WATER"),"GOC_TRANSITION",IF(AND(D955="GAS_WATER",E955="OIL"),"GOC_TRANSITION",IF(OR(D955="OIL_WATER",D955="GAS_WATER"),"TRANSITION_INTERVAL","")))))))))</f>
        <v/>
      </c>
      <c r="G955" s="20">
        <f>IF(OR(F955="",Master_Data!R955="",Master_Data!S955=""),"",IF(RIGHT(F955,10)="TRANSITION",AVERAGE(Master_Data!R955:Master_Data!S955),AVERAGE(Master_Data!S955,Master_Data!R956)))</f>
        <v/>
      </c>
      <c r="H955" s="20">
        <f>IF(G955="","",MAX(Settings!$B$4,Settings!$B$5*AVERAGE(IF(Master_Data!O955&lt;&gt;"",Master_Data!O955,Master_Data!H955),IF(Master_Data!O956&lt;&gt;"",Master_Data!O956,Master_Data!H956))))</f>
        <v/>
      </c>
      <c r="I955" s="20">
        <f>IF(G955="","",G955-H955)</f>
        <v/>
      </c>
      <c r="J955" s="20">
        <f>IF(G955="","",G955+H955)</f>
        <v/>
      </c>
      <c r="K955" s="20">
        <f>IF($A955="","",Master_Data!G955)</f>
        <v/>
      </c>
      <c r="L955" s="20">
        <f>IF($A955="","",Master_Data!G956)</f>
        <v/>
      </c>
      <c r="M955" s="20">
        <f>IF(AND(ISNUMBER(K955),ISNUMBER(L955)),L955-K955,"")</f>
        <v/>
      </c>
      <c r="N955" s="19">
        <f>IF(G955="","",IF(AND(ISNUMBER(K955),ISNUMBER(L955)),IF(OR(F955="GOC",F955="OWC",F955="GWC",F955="OWC_TRANSITION",F955="GOC_TRANSITION"),IF(L955&gt;=K955,"Supports","Conflicts"),"N/A"),"No Sw"))</f>
        <v/>
      </c>
      <c r="O955" s="20">
        <f>IF(G955="","",Settings!$B$6*IF(OR(F955="GOC",F955="OWC",F955="GWC"),1,0.7)+Settings!$B$7*IF(N955="Supports",1,IF(N955="Conflicts",0,0.5))+Settings!$B$8*IF(AND(Master_Data!R955&lt;&gt;"",Master_Data!S955&lt;&gt;"",Master_Data!R956&lt;&gt;"",Master_Data!S956&lt;&gt;""),1,0.5))</f>
        <v/>
      </c>
      <c r="P955" s="19">
        <f>IF(G955="","",IF(N955="Conflicts","SW_CONFLICT",IF(OR(F955="GOC",F955="OWC",F955="GWC"),"DIRECT_FLUID_TRANSITION","TRANSITION_INTERVAL")))</f>
        <v/>
      </c>
      <c r="Q955" s="19">
        <f>IF(G955="","",IF(N955="Conflicts","Investigate contact interpretation / saturation behaviour",IF(OR(F955="OWC",F955="GOC",F955="GWC"),"Candidate contact — validate with logs, pressure and dynamic evidence","Transition zone — do not force to a sharp contact")))</f>
        <v/>
      </c>
    </row>
    <row r="956">
      <c r="A956" s="19">
        <f>IF(AND(Master_Data!A956&lt;&gt;"",Master_Data!A956=Master_Data!A957),Master_Data!A956,"")</f>
        <v/>
      </c>
      <c r="B956" s="19">
        <f>IF($A956="","",Master_Data!B956)</f>
        <v/>
      </c>
      <c r="C956" s="19">
        <f>IF($A956="","",Master_Data!B957)</f>
        <v/>
      </c>
      <c r="D956" s="19">
        <f>IF($A956="","",Master_Data!Q956)</f>
        <v/>
      </c>
      <c r="E956" s="19">
        <f>IF($A956="","",Master_Data!Q957)</f>
        <v/>
      </c>
      <c r="F956" s="19">
        <f>IF($A956="","",IF(AND(D956="GAS",E956="OIL"),"GOC",IF(AND(D956="OIL",E956="WATER"),"OWC",IF(AND(D956="GAS",E956="WATER"),"GWC",IF(AND(D956="OIL",E956="OIL_WATER"),"OWC_TRANSITION",IF(AND(D956="OIL_WATER",E956="WATER"),"OWC_TRANSITION",IF(AND(D956="GAS",E956="GAS_WATER"),"GOC_TRANSITION",IF(AND(D956="GAS_WATER",E956="OIL"),"GOC_TRANSITION",IF(OR(D956="OIL_WATER",D956="GAS_WATER"),"TRANSITION_INTERVAL","")))))))))</f>
        <v/>
      </c>
      <c r="G956" s="20">
        <f>IF(OR(F956="",Master_Data!R956="",Master_Data!S956=""),"",IF(RIGHT(F956,10)="TRANSITION",AVERAGE(Master_Data!R956:Master_Data!S956),AVERAGE(Master_Data!S956,Master_Data!R957)))</f>
        <v/>
      </c>
      <c r="H956" s="20">
        <f>IF(G956="","",MAX(Settings!$B$4,Settings!$B$5*AVERAGE(IF(Master_Data!O956&lt;&gt;"",Master_Data!O956,Master_Data!H956),IF(Master_Data!O957&lt;&gt;"",Master_Data!O957,Master_Data!H957))))</f>
        <v/>
      </c>
      <c r="I956" s="20">
        <f>IF(G956="","",G956-H956)</f>
        <v/>
      </c>
      <c r="J956" s="20">
        <f>IF(G956="","",G956+H956)</f>
        <v/>
      </c>
      <c r="K956" s="20">
        <f>IF($A956="","",Master_Data!G956)</f>
        <v/>
      </c>
      <c r="L956" s="20">
        <f>IF($A956="","",Master_Data!G957)</f>
        <v/>
      </c>
      <c r="M956" s="20">
        <f>IF(AND(ISNUMBER(K956),ISNUMBER(L956)),L956-K956,"")</f>
        <v/>
      </c>
      <c r="N956" s="19">
        <f>IF(G956="","",IF(AND(ISNUMBER(K956),ISNUMBER(L956)),IF(OR(F956="GOC",F956="OWC",F956="GWC",F956="OWC_TRANSITION",F956="GOC_TRANSITION"),IF(L956&gt;=K956,"Supports","Conflicts"),"N/A"),"No Sw"))</f>
        <v/>
      </c>
      <c r="O956" s="20">
        <f>IF(G956="","",Settings!$B$6*IF(OR(F956="GOC",F956="OWC",F956="GWC"),1,0.7)+Settings!$B$7*IF(N956="Supports",1,IF(N956="Conflicts",0,0.5))+Settings!$B$8*IF(AND(Master_Data!R956&lt;&gt;"",Master_Data!S956&lt;&gt;"",Master_Data!R957&lt;&gt;"",Master_Data!S957&lt;&gt;""),1,0.5))</f>
        <v/>
      </c>
      <c r="P956" s="19">
        <f>IF(G956="","",IF(N956="Conflicts","SW_CONFLICT",IF(OR(F956="GOC",F956="OWC",F956="GWC"),"DIRECT_FLUID_TRANSITION","TRANSITION_INTERVAL")))</f>
        <v/>
      </c>
      <c r="Q956" s="19">
        <f>IF(G956="","",IF(N956="Conflicts","Investigate contact interpretation / saturation behaviour",IF(OR(F956="OWC",F956="GOC",F956="GWC"),"Candidate contact — validate with logs, pressure and dynamic evidence","Transition zone — do not force to a sharp contact")))</f>
        <v/>
      </c>
    </row>
    <row r="957">
      <c r="A957" s="19">
        <f>IF(AND(Master_Data!A957&lt;&gt;"",Master_Data!A957=Master_Data!A958),Master_Data!A957,"")</f>
        <v/>
      </c>
      <c r="B957" s="19">
        <f>IF($A957="","",Master_Data!B957)</f>
        <v/>
      </c>
      <c r="C957" s="19">
        <f>IF($A957="","",Master_Data!B958)</f>
        <v/>
      </c>
      <c r="D957" s="19">
        <f>IF($A957="","",Master_Data!Q957)</f>
        <v/>
      </c>
      <c r="E957" s="19">
        <f>IF($A957="","",Master_Data!Q958)</f>
        <v/>
      </c>
      <c r="F957" s="19">
        <f>IF($A957="","",IF(AND(D957="GAS",E957="OIL"),"GOC",IF(AND(D957="OIL",E957="WATER"),"OWC",IF(AND(D957="GAS",E957="WATER"),"GWC",IF(AND(D957="OIL",E957="OIL_WATER"),"OWC_TRANSITION",IF(AND(D957="OIL_WATER",E957="WATER"),"OWC_TRANSITION",IF(AND(D957="GAS",E957="GAS_WATER"),"GOC_TRANSITION",IF(AND(D957="GAS_WATER",E957="OIL"),"GOC_TRANSITION",IF(OR(D957="OIL_WATER",D957="GAS_WATER"),"TRANSITION_INTERVAL","")))))))))</f>
        <v/>
      </c>
      <c r="G957" s="20">
        <f>IF(OR(F957="",Master_Data!R957="",Master_Data!S957=""),"",IF(RIGHT(F957,10)="TRANSITION",AVERAGE(Master_Data!R957:Master_Data!S957),AVERAGE(Master_Data!S957,Master_Data!R958)))</f>
        <v/>
      </c>
      <c r="H957" s="20">
        <f>IF(G957="","",MAX(Settings!$B$4,Settings!$B$5*AVERAGE(IF(Master_Data!O957&lt;&gt;"",Master_Data!O957,Master_Data!H957),IF(Master_Data!O958&lt;&gt;"",Master_Data!O958,Master_Data!H958))))</f>
        <v/>
      </c>
      <c r="I957" s="20">
        <f>IF(G957="","",G957-H957)</f>
        <v/>
      </c>
      <c r="J957" s="20">
        <f>IF(G957="","",G957+H957)</f>
        <v/>
      </c>
      <c r="K957" s="20">
        <f>IF($A957="","",Master_Data!G957)</f>
        <v/>
      </c>
      <c r="L957" s="20">
        <f>IF($A957="","",Master_Data!G958)</f>
        <v/>
      </c>
      <c r="M957" s="20">
        <f>IF(AND(ISNUMBER(K957),ISNUMBER(L957)),L957-K957,"")</f>
        <v/>
      </c>
      <c r="N957" s="19">
        <f>IF(G957="","",IF(AND(ISNUMBER(K957),ISNUMBER(L957)),IF(OR(F957="GOC",F957="OWC",F957="GWC",F957="OWC_TRANSITION",F957="GOC_TRANSITION"),IF(L957&gt;=K957,"Supports","Conflicts"),"N/A"),"No Sw"))</f>
        <v/>
      </c>
      <c r="O957" s="20">
        <f>IF(G957="","",Settings!$B$6*IF(OR(F957="GOC",F957="OWC",F957="GWC"),1,0.7)+Settings!$B$7*IF(N957="Supports",1,IF(N957="Conflicts",0,0.5))+Settings!$B$8*IF(AND(Master_Data!R957&lt;&gt;"",Master_Data!S957&lt;&gt;"",Master_Data!R958&lt;&gt;"",Master_Data!S958&lt;&gt;""),1,0.5))</f>
        <v/>
      </c>
      <c r="P957" s="19">
        <f>IF(G957="","",IF(N957="Conflicts","SW_CONFLICT",IF(OR(F957="GOC",F957="OWC",F957="GWC"),"DIRECT_FLUID_TRANSITION","TRANSITION_INTERVAL")))</f>
        <v/>
      </c>
      <c r="Q957" s="19">
        <f>IF(G957="","",IF(N957="Conflicts","Investigate contact interpretation / saturation behaviour",IF(OR(F957="OWC",F957="GOC",F957="GWC"),"Candidate contact — validate with logs, pressure and dynamic evidence","Transition zone — do not force to a sharp contact")))</f>
        <v/>
      </c>
    </row>
    <row r="958">
      <c r="A958" s="19">
        <f>IF(AND(Master_Data!A958&lt;&gt;"",Master_Data!A958=Master_Data!A959),Master_Data!A958,"")</f>
        <v/>
      </c>
      <c r="B958" s="19">
        <f>IF($A958="","",Master_Data!B958)</f>
        <v/>
      </c>
      <c r="C958" s="19">
        <f>IF($A958="","",Master_Data!B959)</f>
        <v/>
      </c>
      <c r="D958" s="19">
        <f>IF($A958="","",Master_Data!Q958)</f>
        <v/>
      </c>
      <c r="E958" s="19">
        <f>IF($A958="","",Master_Data!Q959)</f>
        <v/>
      </c>
      <c r="F958" s="19">
        <f>IF($A958="","",IF(AND(D958="GAS",E958="OIL"),"GOC",IF(AND(D958="OIL",E958="WATER"),"OWC",IF(AND(D958="GAS",E958="WATER"),"GWC",IF(AND(D958="OIL",E958="OIL_WATER"),"OWC_TRANSITION",IF(AND(D958="OIL_WATER",E958="WATER"),"OWC_TRANSITION",IF(AND(D958="GAS",E958="GAS_WATER"),"GOC_TRANSITION",IF(AND(D958="GAS_WATER",E958="OIL"),"GOC_TRANSITION",IF(OR(D958="OIL_WATER",D958="GAS_WATER"),"TRANSITION_INTERVAL","")))))))))</f>
        <v/>
      </c>
      <c r="G958" s="20">
        <f>IF(OR(F958="",Master_Data!R958="",Master_Data!S958=""),"",IF(RIGHT(F958,10)="TRANSITION",AVERAGE(Master_Data!R958:Master_Data!S958),AVERAGE(Master_Data!S958,Master_Data!R959)))</f>
        <v/>
      </c>
      <c r="H958" s="20">
        <f>IF(G958="","",MAX(Settings!$B$4,Settings!$B$5*AVERAGE(IF(Master_Data!O958&lt;&gt;"",Master_Data!O958,Master_Data!H958),IF(Master_Data!O959&lt;&gt;"",Master_Data!O959,Master_Data!H959))))</f>
        <v/>
      </c>
      <c r="I958" s="20">
        <f>IF(G958="","",G958-H958)</f>
        <v/>
      </c>
      <c r="J958" s="20">
        <f>IF(G958="","",G958+H958)</f>
        <v/>
      </c>
      <c r="K958" s="20">
        <f>IF($A958="","",Master_Data!G958)</f>
        <v/>
      </c>
      <c r="L958" s="20">
        <f>IF($A958="","",Master_Data!G959)</f>
        <v/>
      </c>
      <c r="M958" s="20">
        <f>IF(AND(ISNUMBER(K958),ISNUMBER(L958)),L958-K958,"")</f>
        <v/>
      </c>
      <c r="N958" s="19">
        <f>IF(G958="","",IF(AND(ISNUMBER(K958),ISNUMBER(L958)),IF(OR(F958="GOC",F958="OWC",F958="GWC",F958="OWC_TRANSITION",F958="GOC_TRANSITION"),IF(L958&gt;=K958,"Supports","Conflicts"),"N/A"),"No Sw"))</f>
        <v/>
      </c>
      <c r="O958" s="20">
        <f>IF(G958="","",Settings!$B$6*IF(OR(F958="GOC",F958="OWC",F958="GWC"),1,0.7)+Settings!$B$7*IF(N958="Supports",1,IF(N958="Conflicts",0,0.5))+Settings!$B$8*IF(AND(Master_Data!R958&lt;&gt;"",Master_Data!S958&lt;&gt;"",Master_Data!R959&lt;&gt;"",Master_Data!S959&lt;&gt;""),1,0.5))</f>
        <v/>
      </c>
      <c r="P958" s="19">
        <f>IF(G958="","",IF(N958="Conflicts","SW_CONFLICT",IF(OR(F958="GOC",F958="OWC",F958="GWC"),"DIRECT_FLUID_TRANSITION","TRANSITION_INTERVAL")))</f>
        <v/>
      </c>
      <c r="Q958" s="19">
        <f>IF(G958="","",IF(N958="Conflicts","Investigate contact interpretation / saturation behaviour",IF(OR(F958="OWC",F958="GOC",F958="GWC"),"Candidate contact — validate with logs, pressure and dynamic evidence","Transition zone — do not force to a sharp contact")))</f>
        <v/>
      </c>
    </row>
    <row r="959">
      <c r="A959" s="19">
        <f>IF(AND(Master_Data!A959&lt;&gt;"",Master_Data!A959=Master_Data!A960),Master_Data!A959,"")</f>
        <v/>
      </c>
      <c r="B959" s="19">
        <f>IF($A959="","",Master_Data!B959)</f>
        <v/>
      </c>
      <c r="C959" s="19">
        <f>IF($A959="","",Master_Data!B960)</f>
        <v/>
      </c>
      <c r="D959" s="19">
        <f>IF($A959="","",Master_Data!Q959)</f>
        <v/>
      </c>
      <c r="E959" s="19">
        <f>IF($A959="","",Master_Data!Q960)</f>
        <v/>
      </c>
      <c r="F959" s="19">
        <f>IF($A959="","",IF(AND(D959="GAS",E959="OIL"),"GOC",IF(AND(D959="OIL",E959="WATER"),"OWC",IF(AND(D959="GAS",E959="WATER"),"GWC",IF(AND(D959="OIL",E959="OIL_WATER"),"OWC_TRANSITION",IF(AND(D959="OIL_WATER",E959="WATER"),"OWC_TRANSITION",IF(AND(D959="GAS",E959="GAS_WATER"),"GOC_TRANSITION",IF(AND(D959="GAS_WATER",E959="OIL"),"GOC_TRANSITION",IF(OR(D959="OIL_WATER",D959="GAS_WATER"),"TRANSITION_INTERVAL","")))))))))</f>
        <v/>
      </c>
      <c r="G959" s="20">
        <f>IF(OR(F959="",Master_Data!R959="",Master_Data!S959=""),"",IF(RIGHT(F959,10)="TRANSITION",AVERAGE(Master_Data!R959:Master_Data!S959),AVERAGE(Master_Data!S959,Master_Data!R960)))</f>
        <v/>
      </c>
      <c r="H959" s="20">
        <f>IF(G959="","",MAX(Settings!$B$4,Settings!$B$5*AVERAGE(IF(Master_Data!O959&lt;&gt;"",Master_Data!O959,Master_Data!H959),IF(Master_Data!O960&lt;&gt;"",Master_Data!O960,Master_Data!H960))))</f>
        <v/>
      </c>
      <c r="I959" s="20">
        <f>IF(G959="","",G959-H959)</f>
        <v/>
      </c>
      <c r="J959" s="20">
        <f>IF(G959="","",G959+H959)</f>
        <v/>
      </c>
      <c r="K959" s="20">
        <f>IF($A959="","",Master_Data!G959)</f>
        <v/>
      </c>
      <c r="L959" s="20">
        <f>IF($A959="","",Master_Data!G960)</f>
        <v/>
      </c>
      <c r="M959" s="20">
        <f>IF(AND(ISNUMBER(K959),ISNUMBER(L959)),L959-K959,"")</f>
        <v/>
      </c>
      <c r="N959" s="19">
        <f>IF(G959="","",IF(AND(ISNUMBER(K959),ISNUMBER(L959)),IF(OR(F959="GOC",F959="OWC",F959="GWC",F959="OWC_TRANSITION",F959="GOC_TRANSITION"),IF(L959&gt;=K959,"Supports","Conflicts"),"N/A"),"No Sw"))</f>
        <v/>
      </c>
      <c r="O959" s="20">
        <f>IF(G959="","",Settings!$B$6*IF(OR(F959="GOC",F959="OWC",F959="GWC"),1,0.7)+Settings!$B$7*IF(N959="Supports",1,IF(N959="Conflicts",0,0.5))+Settings!$B$8*IF(AND(Master_Data!R959&lt;&gt;"",Master_Data!S959&lt;&gt;"",Master_Data!R960&lt;&gt;"",Master_Data!S960&lt;&gt;""),1,0.5))</f>
        <v/>
      </c>
      <c r="P959" s="19">
        <f>IF(G959="","",IF(N959="Conflicts","SW_CONFLICT",IF(OR(F959="GOC",F959="OWC",F959="GWC"),"DIRECT_FLUID_TRANSITION","TRANSITION_INTERVAL")))</f>
        <v/>
      </c>
      <c r="Q959" s="19">
        <f>IF(G959="","",IF(N959="Conflicts","Investigate contact interpretation / saturation behaviour",IF(OR(F959="OWC",F959="GOC",F959="GWC"),"Candidate contact — validate with logs, pressure and dynamic evidence","Transition zone — do not force to a sharp contact")))</f>
        <v/>
      </c>
    </row>
    <row r="960">
      <c r="A960" s="19">
        <f>IF(AND(Master_Data!A960&lt;&gt;"",Master_Data!A960=Master_Data!A961),Master_Data!A960,"")</f>
        <v/>
      </c>
      <c r="B960" s="19">
        <f>IF($A960="","",Master_Data!B960)</f>
        <v/>
      </c>
      <c r="C960" s="19">
        <f>IF($A960="","",Master_Data!B961)</f>
        <v/>
      </c>
      <c r="D960" s="19">
        <f>IF($A960="","",Master_Data!Q960)</f>
        <v/>
      </c>
      <c r="E960" s="19">
        <f>IF($A960="","",Master_Data!Q961)</f>
        <v/>
      </c>
      <c r="F960" s="19">
        <f>IF($A960="","",IF(AND(D960="GAS",E960="OIL"),"GOC",IF(AND(D960="OIL",E960="WATER"),"OWC",IF(AND(D960="GAS",E960="WATER"),"GWC",IF(AND(D960="OIL",E960="OIL_WATER"),"OWC_TRANSITION",IF(AND(D960="OIL_WATER",E960="WATER"),"OWC_TRANSITION",IF(AND(D960="GAS",E960="GAS_WATER"),"GOC_TRANSITION",IF(AND(D960="GAS_WATER",E960="OIL"),"GOC_TRANSITION",IF(OR(D960="OIL_WATER",D960="GAS_WATER"),"TRANSITION_INTERVAL","")))))))))</f>
        <v/>
      </c>
      <c r="G960" s="20">
        <f>IF(OR(F960="",Master_Data!R960="",Master_Data!S960=""),"",IF(RIGHT(F960,10)="TRANSITION",AVERAGE(Master_Data!R960:Master_Data!S960),AVERAGE(Master_Data!S960,Master_Data!R961)))</f>
        <v/>
      </c>
      <c r="H960" s="20">
        <f>IF(G960="","",MAX(Settings!$B$4,Settings!$B$5*AVERAGE(IF(Master_Data!O960&lt;&gt;"",Master_Data!O960,Master_Data!H960),IF(Master_Data!O961&lt;&gt;"",Master_Data!O961,Master_Data!H961))))</f>
        <v/>
      </c>
      <c r="I960" s="20">
        <f>IF(G960="","",G960-H960)</f>
        <v/>
      </c>
      <c r="J960" s="20">
        <f>IF(G960="","",G960+H960)</f>
        <v/>
      </c>
      <c r="K960" s="20">
        <f>IF($A960="","",Master_Data!G960)</f>
        <v/>
      </c>
      <c r="L960" s="20">
        <f>IF($A960="","",Master_Data!G961)</f>
        <v/>
      </c>
      <c r="M960" s="20">
        <f>IF(AND(ISNUMBER(K960),ISNUMBER(L960)),L960-K960,"")</f>
        <v/>
      </c>
      <c r="N960" s="19">
        <f>IF(G960="","",IF(AND(ISNUMBER(K960),ISNUMBER(L960)),IF(OR(F960="GOC",F960="OWC",F960="GWC",F960="OWC_TRANSITION",F960="GOC_TRANSITION"),IF(L960&gt;=K960,"Supports","Conflicts"),"N/A"),"No Sw"))</f>
        <v/>
      </c>
      <c r="O960" s="20">
        <f>IF(G960="","",Settings!$B$6*IF(OR(F960="GOC",F960="OWC",F960="GWC"),1,0.7)+Settings!$B$7*IF(N960="Supports",1,IF(N960="Conflicts",0,0.5))+Settings!$B$8*IF(AND(Master_Data!R960&lt;&gt;"",Master_Data!S960&lt;&gt;"",Master_Data!R961&lt;&gt;"",Master_Data!S961&lt;&gt;""),1,0.5))</f>
        <v/>
      </c>
      <c r="P960" s="19">
        <f>IF(G960="","",IF(N960="Conflicts","SW_CONFLICT",IF(OR(F960="GOC",F960="OWC",F960="GWC"),"DIRECT_FLUID_TRANSITION","TRANSITION_INTERVAL")))</f>
        <v/>
      </c>
      <c r="Q960" s="19">
        <f>IF(G960="","",IF(N960="Conflicts","Investigate contact interpretation / saturation behaviour",IF(OR(F960="OWC",F960="GOC",F960="GWC"),"Candidate contact — validate with logs, pressure and dynamic evidence","Transition zone — do not force to a sharp contact")))</f>
        <v/>
      </c>
    </row>
    <row r="961">
      <c r="A961" s="19">
        <f>IF(AND(Master_Data!A961&lt;&gt;"",Master_Data!A961=Master_Data!A962),Master_Data!A961,"")</f>
        <v/>
      </c>
      <c r="B961" s="19">
        <f>IF($A961="","",Master_Data!B961)</f>
        <v/>
      </c>
      <c r="C961" s="19">
        <f>IF($A961="","",Master_Data!B962)</f>
        <v/>
      </c>
      <c r="D961" s="19">
        <f>IF($A961="","",Master_Data!Q961)</f>
        <v/>
      </c>
      <c r="E961" s="19">
        <f>IF($A961="","",Master_Data!Q962)</f>
        <v/>
      </c>
      <c r="F961" s="19">
        <f>IF($A961="","",IF(AND(D961="GAS",E961="OIL"),"GOC",IF(AND(D961="OIL",E961="WATER"),"OWC",IF(AND(D961="GAS",E961="WATER"),"GWC",IF(AND(D961="OIL",E961="OIL_WATER"),"OWC_TRANSITION",IF(AND(D961="OIL_WATER",E961="WATER"),"OWC_TRANSITION",IF(AND(D961="GAS",E961="GAS_WATER"),"GOC_TRANSITION",IF(AND(D961="GAS_WATER",E961="OIL"),"GOC_TRANSITION",IF(OR(D961="OIL_WATER",D961="GAS_WATER"),"TRANSITION_INTERVAL","")))))))))</f>
        <v/>
      </c>
      <c r="G961" s="20">
        <f>IF(OR(F961="",Master_Data!R961="",Master_Data!S961=""),"",IF(RIGHT(F961,10)="TRANSITION",AVERAGE(Master_Data!R961:Master_Data!S961),AVERAGE(Master_Data!S961,Master_Data!R962)))</f>
        <v/>
      </c>
      <c r="H961" s="20">
        <f>IF(G961="","",MAX(Settings!$B$4,Settings!$B$5*AVERAGE(IF(Master_Data!O961&lt;&gt;"",Master_Data!O961,Master_Data!H961),IF(Master_Data!O962&lt;&gt;"",Master_Data!O962,Master_Data!H962))))</f>
        <v/>
      </c>
      <c r="I961" s="20">
        <f>IF(G961="","",G961-H961)</f>
        <v/>
      </c>
      <c r="J961" s="20">
        <f>IF(G961="","",G961+H961)</f>
        <v/>
      </c>
      <c r="K961" s="20">
        <f>IF($A961="","",Master_Data!G961)</f>
        <v/>
      </c>
      <c r="L961" s="20">
        <f>IF($A961="","",Master_Data!G962)</f>
        <v/>
      </c>
      <c r="M961" s="20">
        <f>IF(AND(ISNUMBER(K961),ISNUMBER(L961)),L961-K961,"")</f>
        <v/>
      </c>
      <c r="N961" s="19">
        <f>IF(G961="","",IF(AND(ISNUMBER(K961),ISNUMBER(L961)),IF(OR(F961="GOC",F961="OWC",F961="GWC",F961="OWC_TRANSITION",F961="GOC_TRANSITION"),IF(L961&gt;=K961,"Supports","Conflicts"),"N/A"),"No Sw"))</f>
        <v/>
      </c>
      <c r="O961" s="20">
        <f>IF(G961="","",Settings!$B$6*IF(OR(F961="GOC",F961="OWC",F961="GWC"),1,0.7)+Settings!$B$7*IF(N961="Supports",1,IF(N961="Conflicts",0,0.5))+Settings!$B$8*IF(AND(Master_Data!R961&lt;&gt;"",Master_Data!S961&lt;&gt;"",Master_Data!R962&lt;&gt;"",Master_Data!S962&lt;&gt;""),1,0.5))</f>
        <v/>
      </c>
      <c r="P961" s="19">
        <f>IF(G961="","",IF(N961="Conflicts","SW_CONFLICT",IF(OR(F961="GOC",F961="OWC",F961="GWC"),"DIRECT_FLUID_TRANSITION","TRANSITION_INTERVAL")))</f>
        <v/>
      </c>
      <c r="Q961" s="19">
        <f>IF(G961="","",IF(N961="Conflicts","Investigate contact interpretation / saturation behaviour",IF(OR(F961="OWC",F961="GOC",F961="GWC"),"Candidate contact — validate with logs, pressure and dynamic evidence","Transition zone — do not force to a sharp contact")))</f>
        <v/>
      </c>
    </row>
    <row r="962">
      <c r="A962" s="19">
        <f>IF(AND(Master_Data!A962&lt;&gt;"",Master_Data!A962=Master_Data!A963),Master_Data!A962,"")</f>
        <v/>
      </c>
      <c r="B962" s="19">
        <f>IF($A962="","",Master_Data!B962)</f>
        <v/>
      </c>
      <c r="C962" s="19">
        <f>IF($A962="","",Master_Data!B963)</f>
        <v/>
      </c>
      <c r="D962" s="19">
        <f>IF($A962="","",Master_Data!Q962)</f>
        <v/>
      </c>
      <c r="E962" s="19">
        <f>IF($A962="","",Master_Data!Q963)</f>
        <v/>
      </c>
      <c r="F962" s="19">
        <f>IF($A962="","",IF(AND(D962="GAS",E962="OIL"),"GOC",IF(AND(D962="OIL",E962="WATER"),"OWC",IF(AND(D962="GAS",E962="WATER"),"GWC",IF(AND(D962="OIL",E962="OIL_WATER"),"OWC_TRANSITION",IF(AND(D962="OIL_WATER",E962="WATER"),"OWC_TRANSITION",IF(AND(D962="GAS",E962="GAS_WATER"),"GOC_TRANSITION",IF(AND(D962="GAS_WATER",E962="OIL"),"GOC_TRANSITION",IF(OR(D962="OIL_WATER",D962="GAS_WATER"),"TRANSITION_INTERVAL","")))))))))</f>
        <v/>
      </c>
      <c r="G962" s="20">
        <f>IF(OR(F962="",Master_Data!R962="",Master_Data!S962=""),"",IF(RIGHT(F962,10)="TRANSITION",AVERAGE(Master_Data!R962:Master_Data!S962),AVERAGE(Master_Data!S962,Master_Data!R963)))</f>
        <v/>
      </c>
      <c r="H962" s="20">
        <f>IF(G962="","",MAX(Settings!$B$4,Settings!$B$5*AVERAGE(IF(Master_Data!O962&lt;&gt;"",Master_Data!O962,Master_Data!H962),IF(Master_Data!O963&lt;&gt;"",Master_Data!O963,Master_Data!H963))))</f>
        <v/>
      </c>
      <c r="I962" s="20">
        <f>IF(G962="","",G962-H962)</f>
        <v/>
      </c>
      <c r="J962" s="20">
        <f>IF(G962="","",G962+H962)</f>
        <v/>
      </c>
      <c r="K962" s="20">
        <f>IF($A962="","",Master_Data!G962)</f>
        <v/>
      </c>
      <c r="L962" s="20">
        <f>IF($A962="","",Master_Data!G963)</f>
        <v/>
      </c>
      <c r="M962" s="20">
        <f>IF(AND(ISNUMBER(K962),ISNUMBER(L962)),L962-K962,"")</f>
        <v/>
      </c>
      <c r="N962" s="19">
        <f>IF(G962="","",IF(AND(ISNUMBER(K962),ISNUMBER(L962)),IF(OR(F962="GOC",F962="OWC",F962="GWC",F962="OWC_TRANSITION",F962="GOC_TRANSITION"),IF(L962&gt;=K962,"Supports","Conflicts"),"N/A"),"No Sw"))</f>
        <v/>
      </c>
      <c r="O962" s="20">
        <f>IF(G962="","",Settings!$B$6*IF(OR(F962="GOC",F962="OWC",F962="GWC"),1,0.7)+Settings!$B$7*IF(N962="Supports",1,IF(N962="Conflicts",0,0.5))+Settings!$B$8*IF(AND(Master_Data!R962&lt;&gt;"",Master_Data!S962&lt;&gt;"",Master_Data!R963&lt;&gt;"",Master_Data!S963&lt;&gt;""),1,0.5))</f>
        <v/>
      </c>
      <c r="P962" s="19">
        <f>IF(G962="","",IF(N962="Conflicts","SW_CONFLICT",IF(OR(F962="GOC",F962="OWC",F962="GWC"),"DIRECT_FLUID_TRANSITION","TRANSITION_INTERVAL")))</f>
        <v/>
      </c>
      <c r="Q962" s="19">
        <f>IF(G962="","",IF(N962="Conflicts","Investigate contact interpretation / saturation behaviour",IF(OR(F962="OWC",F962="GOC",F962="GWC"),"Candidate contact — validate with logs, pressure and dynamic evidence","Transition zone — do not force to a sharp contact")))</f>
        <v/>
      </c>
    </row>
    <row r="963">
      <c r="A963" s="19">
        <f>IF(AND(Master_Data!A963&lt;&gt;"",Master_Data!A963=Master_Data!A964),Master_Data!A963,"")</f>
        <v/>
      </c>
      <c r="B963" s="19">
        <f>IF($A963="","",Master_Data!B963)</f>
        <v/>
      </c>
      <c r="C963" s="19">
        <f>IF($A963="","",Master_Data!B964)</f>
        <v/>
      </c>
      <c r="D963" s="19">
        <f>IF($A963="","",Master_Data!Q963)</f>
        <v/>
      </c>
      <c r="E963" s="19">
        <f>IF($A963="","",Master_Data!Q964)</f>
        <v/>
      </c>
      <c r="F963" s="19">
        <f>IF($A963="","",IF(AND(D963="GAS",E963="OIL"),"GOC",IF(AND(D963="OIL",E963="WATER"),"OWC",IF(AND(D963="GAS",E963="WATER"),"GWC",IF(AND(D963="OIL",E963="OIL_WATER"),"OWC_TRANSITION",IF(AND(D963="OIL_WATER",E963="WATER"),"OWC_TRANSITION",IF(AND(D963="GAS",E963="GAS_WATER"),"GOC_TRANSITION",IF(AND(D963="GAS_WATER",E963="OIL"),"GOC_TRANSITION",IF(OR(D963="OIL_WATER",D963="GAS_WATER"),"TRANSITION_INTERVAL","")))))))))</f>
        <v/>
      </c>
      <c r="G963" s="20">
        <f>IF(OR(F963="",Master_Data!R963="",Master_Data!S963=""),"",IF(RIGHT(F963,10)="TRANSITION",AVERAGE(Master_Data!R963:Master_Data!S963),AVERAGE(Master_Data!S963,Master_Data!R964)))</f>
        <v/>
      </c>
      <c r="H963" s="20">
        <f>IF(G963="","",MAX(Settings!$B$4,Settings!$B$5*AVERAGE(IF(Master_Data!O963&lt;&gt;"",Master_Data!O963,Master_Data!H963),IF(Master_Data!O964&lt;&gt;"",Master_Data!O964,Master_Data!H964))))</f>
        <v/>
      </c>
      <c r="I963" s="20">
        <f>IF(G963="","",G963-H963)</f>
        <v/>
      </c>
      <c r="J963" s="20">
        <f>IF(G963="","",G963+H963)</f>
        <v/>
      </c>
      <c r="K963" s="20">
        <f>IF($A963="","",Master_Data!G963)</f>
        <v/>
      </c>
      <c r="L963" s="20">
        <f>IF($A963="","",Master_Data!G964)</f>
        <v/>
      </c>
      <c r="M963" s="20">
        <f>IF(AND(ISNUMBER(K963),ISNUMBER(L963)),L963-K963,"")</f>
        <v/>
      </c>
      <c r="N963" s="19">
        <f>IF(G963="","",IF(AND(ISNUMBER(K963),ISNUMBER(L963)),IF(OR(F963="GOC",F963="OWC",F963="GWC",F963="OWC_TRANSITION",F963="GOC_TRANSITION"),IF(L963&gt;=K963,"Supports","Conflicts"),"N/A"),"No Sw"))</f>
        <v/>
      </c>
      <c r="O963" s="20">
        <f>IF(G963="","",Settings!$B$6*IF(OR(F963="GOC",F963="OWC",F963="GWC"),1,0.7)+Settings!$B$7*IF(N963="Supports",1,IF(N963="Conflicts",0,0.5))+Settings!$B$8*IF(AND(Master_Data!R963&lt;&gt;"",Master_Data!S963&lt;&gt;"",Master_Data!R964&lt;&gt;"",Master_Data!S964&lt;&gt;""),1,0.5))</f>
        <v/>
      </c>
      <c r="P963" s="19">
        <f>IF(G963="","",IF(N963="Conflicts","SW_CONFLICT",IF(OR(F963="GOC",F963="OWC",F963="GWC"),"DIRECT_FLUID_TRANSITION","TRANSITION_INTERVAL")))</f>
        <v/>
      </c>
      <c r="Q963" s="19">
        <f>IF(G963="","",IF(N963="Conflicts","Investigate contact interpretation / saturation behaviour",IF(OR(F963="OWC",F963="GOC",F963="GWC"),"Candidate contact — validate with logs, pressure and dynamic evidence","Transition zone — do not force to a sharp contact")))</f>
        <v/>
      </c>
    </row>
    <row r="964">
      <c r="A964" s="19">
        <f>IF(AND(Master_Data!A964&lt;&gt;"",Master_Data!A964=Master_Data!A965),Master_Data!A964,"")</f>
        <v/>
      </c>
      <c r="B964" s="19">
        <f>IF($A964="","",Master_Data!B964)</f>
        <v/>
      </c>
      <c r="C964" s="19">
        <f>IF($A964="","",Master_Data!B965)</f>
        <v/>
      </c>
      <c r="D964" s="19">
        <f>IF($A964="","",Master_Data!Q964)</f>
        <v/>
      </c>
      <c r="E964" s="19">
        <f>IF($A964="","",Master_Data!Q965)</f>
        <v/>
      </c>
      <c r="F964" s="19">
        <f>IF($A964="","",IF(AND(D964="GAS",E964="OIL"),"GOC",IF(AND(D964="OIL",E964="WATER"),"OWC",IF(AND(D964="GAS",E964="WATER"),"GWC",IF(AND(D964="OIL",E964="OIL_WATER"),"OWC_TRANSITION",IF(AND(D964="OIL_WATER",E964="WATER"),"OWC_TRANSITION",IF(AND(D964="GAS",E964="GAS_WATER"),"GOC_TRANSITION",IF(AND(D964="GAS_WATER",E964="OIL"),"GOC_TRANSITION",IF(OR(D964="OIL_WATER",D964="GAS_WATER"),"TRANSITION_INTERVAL","")))))))))</f>
        <v/>
      </c>
      <c r="G964" s="20">
        <f>IF(OR(F964="",Master_Data!R964="",Master_Data!S964=""),"",IF(RIGHT(F964,10)="TRANSITION",AVERAGE(Master_Data!R964:Master_Data!S964),AVERAGE(Master_Data!S964,Master_Data!R965)))</f>
        <v/>
      </c>
      <c r="H964" s="20">
        <f>IF(G964="","",MAX(Settings!$B$4,Settings!$B$5*AVERAGE(IF(Master_Data!O964&lt;&gt;"",Master_Data!O964,Master_Data!H964),IF(Master_Data!O965&lt;&gt;"",Master_Data!O965,Master_Data!H965))))</f>
        <v/>
      </c>
      <c r="I964" s="20">
        <f>IF(G964="","",G964-H964)</f>
        <v/>
      </c>
      <c r="J964" s="20">
        <f>IF(G964="","",G964+H964)</f>
        <v/>
      </c>
      <c r="K964" s="20">
        <f>IF($A964="","",Master_Data!G964)</f>
        <v/>
      </c>
      <c r="L964" s="20">
        <f>IF($A964="","",Master_Data!G965)</f>
        <v/>
      </c>
      <c r="M964" s="20">
        <f>IF(AND(ISNUMBER(K964),ISNUMBER(L964)),L964-K964,"")</f>
        <v/>
      </c>
      <c r="N964" s="19">
        <f>IF(G964="","",IF(AND(ISNUMBER(K964),ISNUMBER(L964)),IF(OR(F964="GOC",F964="OWC",F964="GWC",F964="OWC_TRANSITION",F964="GOC_TRANSITION"),IF(L964&gt;=K964,"Supports","Conflicts"),"N/A"),"No Sw"))</f>
        <v/>
      </c>
      <c r="O964" s="20">
        <f>IF(G964="","",Settings!$B$6*IF(OR(F964="GOC",F964="OWC",F964="GWC"),1,0.7)+Settings!$B$7*IF(N964="Supports",1,IF(N964="Conflicts",0,0.5))+Settings!$B$8*IF(AND(Master_Data!R964&lt;&gt;"",Master_Data!S964&lt;&gt;"",Master_Data!R965&lt;&gt;"",Master_Data!S965&lt;&gt;""),1,0.5))</f>
        <v/>
      </c>
      <c r="P964" s="19">
        <f>IF(G964="","",IF(N964="Conflicts","SW_CONFLICT",IF(OR(F964="GOC",F964="OWC",F964="GWC"),"DIRECT_FLUID_TRANSITION","TRANSITION_INTERVAL")))</f>
        <v/>
      </c>
      <c r="Q964" s="19">
        <f>IF(G964="","",IF(N964="Conflicts","Investigate contact interpretation / saturation behaviour",IF(OR(F964="OWC",F964="GOC",F964="GWC"),"Candidate contact — validate with logs, pressure and dynamic evidence","Transition zone — do not force to a sharp contact")))</f>
        <v/>
      </c>
    </row>
    <row r="965">
      <c r="A965" s="19">
        <f>IF(AND(Master_Data!A965&lt;&gt;"",Master_Data!A965=Master_Data!A966),Master_Data!A965,"")</f>
        <v/>
      </c>
      <c r="B965" s="19">
        <f>IF($A965="","",Master_Data!B965)</f>
        <v/>
      </c>
      <c r="C965" s="19">
        <f>IF($A965="","",Master_Data!B966)</f>
        <v/>
      </c>
      <c r="D965" s="19">
        <f>IF($A965="","",Master_Data!Q965)</f>
        <v/>
      </c>
      <c r="E965" s="19">
        <f>IF($A965="","",Master_Data!Q966)</f>
        <v/>
      </c>
      <c r="F965" s="19">
        <f>IF($A965="","",IF(AND(D965="GAS",E965="OIL"),"GOC",IF(AND(D965="OIL",E965="WATER"),"OWC",IF(AND(D965="GAS",E965="WATER"),"GWC",IF(AND(D965="OIL",E965="OIL_WATER"),"OWC_TRANSITION",IF(AND(D965="OIL_WATER",E965="WATER"),"OWC_TRANSITION",IF(AND(D965="GAS",E965="GAS_WATER"),"GOC_TRANSITION",IF(AND(D965="GAS_WATER",E965="OIL"),"GOC_TRANSITION",IF(OR(D965="OIL_WATER",D965="GAS_WATER"),"TRANSITION_INTERVAL","")))))))))</f>
        <v/>
      </c>
      <c r="G965" s="20">
        <f>IF(OR(F965="",Master_Data!R965="",Master_Data!S965=""),"",IF(RIGHT(F965,10)="TRANSITION",AVERAGE(Master_Data!R965:Master_Data!S965),AVERAGE(Master_Data!S965,Master_Data!R966)))</f>
        <v/>
      </c>
      <c r="H965" s="20">
        <f>IF(G965="","",MAX(Settings!$B$4,Settings!$B$5*AVERAGE(IF(Master_Data!O965&lt;&gt;"",Master_Data!O965,Master_Data!H965),IF(Master_Data!O966&lt;&gt;"",Master_Data!O966,Master_Data!H966))))</f>
        <v/>
      </c>
      <c r="I965" s="20">
        <f>IF(G965="","",G965-H965)</f>
        <v/>
      </c>
      <c r="J965" s="20">
        <f>IF(G965="","",G965+H965)</f>
        <v/>
      </c>
      <c r="K965" s="20">
        <f>IF($A965="","",Master_Data!G965)</f>
        <v/>
      </c>
      <c r="L965" s="20">
        <f>IF($A965="","",Master_Data!G966)</f>
        <v/>
      </c>
      <c r="M965" s="20">
        <f>IF(AND(ISNUMBER(K965),ISNUMBER(L965)),L965-K965,"")</f>
        <v/>
      </c>
      <c r="N965" s="19">
        <f>IF(G965="","",IF(AND(ISNUMBER(K965),ISNUMBER(L965)),IF(OR(F965="GOC",F965="OWC",F965="GWC",F965="OWC_TRANSITION",F965="GOC_TRANSITION"),IF(L965&gt;=K965,"Supports","Conflicts"),"N/A"),"No Sw"))</f>
        <v/>
      </c>
      <c r="O965" s="20">
        <f>IF(G965="","",Settings!$B$6*IF(OR(F965="GOC",F965="OWC",F965="GWC"),1,0.7)+Settings!$B$7*IF(N965="Supports",1,IF(N965="Conflicts",0,0.5))+Settings!$B$8*IF(AND(Master_Data!R965&lt;&gt;"",Master_Data!S965&lt;&gt;"",Master_Data!R966&lt;&gt;"",Master_Data!S966&lt;&gt;""),1,0.5))</f>
        <v/>
      </c>
      <c r="P965" s="19">
        <f>IF(G965="","",IF(N965="Conflicts","SW_CONFLICT",IF(OR(F965="GOC",F965="OWC",F965="GWC"),"DIRECT_FLUID_TRANSITION","TRANSITION_INTERVAL")))</f>
        <v/>
      </c>
      <c r="Q965" s="19">
        <f>IF(G965="","",IF(N965="Conflicts","Investigate contact interpretation / saturation behaviour",IF(OR(F965="OWC",F965="GOC",F965="GWC"),"Candidate contact — validate with logs, pressure and dynamic evidence","Transition zone — do not force to a sharp contact")))</f>
        <v/>
      </c>
    </row>
    <row r="966">
      <c r="A966" s="19">
        <f>IF(AND(Master_Data!A966&lt;&gt;"",Master_Data!A966=Master_Data!A967),Master_Data!A966,"")</f>
        <v/>
      </c>
      <c r="B966" s="19">
        <f>IF($A966="","",Master_Data!B966)</f>
        <v/>
      </c>
      <c r="C966" s="19">
        <f>IF($A966="","",Master_Data!B967)</f>
        <v/>
      </c>
      <c r="D966" s="19">
        <f>IF($A966="","",Master_Data!Q966)</f>
        <v/>
      </c>
      <c r="E966" s="19">
        <f>IF($A966="","",Master_Data!Q967)</f>
        <v/>
      </c>
      <c r="F966" s="19">
        <f>IF($A966="","",IF(AND(D966="GAS",E966="OIL"),"GOC",IF(AND(D966="OIL",E966="WATER"),"OWC",IF(AND(D966="GAS",E966="WATER"),"GWC",IF(AND(D966="OIL",E966="OIL_WATER"),"OWC_TRANSITION",IF(AND(D966="OIL_WATER",E966="WATER"),"OWC_TRANSITION",IF(AND(D966="GAS",E966="GAS_WATER"),"GOC_TRANSITION",IF(AND(D966="GAS_WATER",E966="OIL"),"GOC_TRANSITION",IF(OR(D966="OIL_WATER",D966="GAS_WATER"),"TRANSITION_INTERVAL","")))))))))</f>
        <v/>
      </c>
      <c r="G966" s="20">
        <f>IF(OR(F966="",Master_Data!R966="",Master_Data!S966=""),"",IF(RIGHT(F966,10)="TRANSITION",AVERAGE(Master_Data!R966:Master_Data!S966),AVERAGE(Master_Data!S966,Master_Data!R967)))</f>
        <v/>
      </c>
      <c r="H966" s="20">
        <f>IF(G966="","",MAX(Settings!$B$4,Settings!$B$5*AVERAGE(IF(Master_Data!O966&lt;&gt;"",Master_Data!O966,Master_Data!H966),IF(Master_Data!O967&lt;&gt;"",Master_Data!O967,Master_Data!H967))))</f>
        <v/>
      </c>
      <c r="I966" s="20">
        <f>IF(G966="","",G966-H966)</f>
        <v/>
      </c>
      <c r="J966" s="20">
        <f>IF(G966="","",G966+H966)</f>
        <v/>
      </c>
      <c r="K966" s="20">
        <f>IF($A966="","",Master_Data!G966)</f>
        <v/>
      </c>
      <c r="L966" s="20">
        <f>IF($A966="","",Master_Data!G967)</f>
        <v/>
      </c>
      <c r="M966" s="20">
        <f>IF(AND(ISNUMBER(K966),ISNUMBER(L966)),L966-K966,"")</f>
        <v/>
      </c>
      <c r="N966" s="19">
        <f>IF(G966="","",IF(AND(ISNUMBER(K966),ISNUMBER(L966)),IF(OR(F966="GOC",F966="OWC",F966="GWC",F966="OWC_TRANSITION",F966="GOC_TRANSITION"),IF(L966&gt;=K966,"Supports","Conflicts"),"N/A"),"No Sw"))</f>
        <v/>
      </c>
      <c r="O966" s="20">
        <f>IF(G966="","",Settings!$B$6*IF(OR(F966="GOC",F966="OWC",F966="GWC"),1,0.7)+Settings!$B$7*IF(N966="Supports",1,IF(N966="Conflicts",0,0.5))+Settings!$B$8*IF(AND(Master_Data!R966&lt;&gt;"",Master_Data!S966&lt;&gt;"",Master_Data!R967&lt;&gt;"",Master_Data!S967&lt;&gt;""),1,0.5))</f>
        <v/>
      </c>
      <c r="P966" s="19">
        <f>IF(G966="","",IF(N966="Conflicts","SW_CONFLICT",IF(OR(F966="GOC",F966="OWC",F966="GWC"),"DIRECT_FLUID_TRANSITION","TRANSITION_INTERVAL")))</f>
        <v/>
      </c>
      <c r="Q966" s="19">
        <f>IF(G966="","",IF(N966="Conflicts","Investigate contact interpretation / saturation behaviour",IF(OR(F966="OWC",F966="GOC",F966="GWC"),"Candidate contact — validate with logs, pressure and dynamic evidence","Transition zone — do not force to a sharp contact")))</f>
        <v/>
      </c>
    </row>
    <row r="967">
      <c r="A967" s="19">
        <f>IF(AND(Master_Data!A967&lt;&gt;"",Master_Data!A967=Master_Data!A968),Master_Data!A967,"")</f>
        <v/>
      </c>
      <c r="B967" s="19">
        <f>IF($A967="","",Master_Data!B967)</f>
        <v/>
      </c>
      <c r="C967" s="19">
        <f>IF($A967="","",Master_Data!B968)</f>
        <v/>
      </c>
      <c r="D967" s="19">
        <f>IF($A967="","",Master_Data!Q967)</f>
        <v/>
      </c>
      <c r="E967" s="19">
        <f>IF($A967="","",Master_Data!Q968)</f>
        <v/>
      </c>
      <c r="F967" s="19">
        <f>IF($A967="","",IF(AND(D967="GAS",E967="OIL"),"GOC",IF(AND(D967="OIL",E967="WATER"),"OWC",IF(AND(D967="GAS",E967="WATER"),"GWC",IF(AND(D967="OIL",E967="OIL_WATER"),"OWC_TRANSITION",IF(AND(D967="OIL_WATER",E967="WATER"),"OWC_TRANSITION",IF(AND(D967="GAS",E967="GAS_WATER"),"GOC_TRANSITION",IF(AND(D967="GAS_WATER",E967="OIL"),"GOC_TRANSITION",IF(OR(D967="OIL_WATER",D967="GAS_WATER"),"TRANSITION_INTERVAL","")))))))))</f>
        <v/>
      </c>
      <c r="G967" s="20">
        <f>IF(OR(F967="",Master_Data!R967="",Master_Data!S967=""),"",IF(RIGHT(F967,10)="TRANSITION",AVERAGE(Master_Data!R967:Master_Data!S967),AVERAGE(Master_Data!S967,Master_Data!R968)))</f>
        <v/>
      </c>
      <c r="H967" s="20">
        <f>IF(G967="","",MAX(Settings!$B$4,Settings!$B$5*AVERAGE(IF(Master_Data!O967&lt;&gt;"",Master_Data!O967,Master_Data!H967),IF(Master_Data!O968&lt;&gt;"",Master_Data!O968,Master_Data!H968))))</f>
        <v/>
      </c>
      <c r="I967" s="20">
        <f>IF(G967="","",G967-H967)</f>
        <v/>
      </c>
      <c r="J967" s="20">
        <f>IF(G967="","",G967+H967)</f>
        <v/>
      </c>
      <c r="K967" s="20">
        <f>IF($A967="","",Master_Data!G967)</f>
        <v/>
      </c>
      <c r="L967" s="20">
        <f>IF($A967="","",Master_Data!G968)</f>
        <v/>
      </c>
      <c r="M967" s="20">
        <f>IF(AND(ISNUMBER(K967),ISNUMBER(L967)),L967-K967,"")</f>
        <v/>
      </c>
      <c r="N967" s="19">
        <f>IF(G967="","",IF(AND(ISNUMBER(K967),ISNUMBER(L967)),IF(OR(F967="GOC",F967="OWC",F967="GWC",F967="OWC_TRANSITION",F967="GOC_TRANSITION"),IF(L967&gt;=K967,"Supports","Conflicts"),"N/A"),"No Sw"))</f>
        <v/>
      </c>
      <c r="O967" s="20">
        <f>IF(G967="","",Settings!$B$6*IF(OR(F967="GOC",F967="OWC",F967="GWC"),1,0.7)+Settings!$B$7*IF(N967="Supports",1,IF(N967="Conflicts",0,0.5))+Settings!$B$8*IF(AND(Master_Data!R967&lt;&gt;"",Master_Data!S967&lt;&gt;"",Master_Data!R968&lt;&gt;"",Master_Data!S968&lt;&gt;""),1,0.5))</f>
        <v/>
      </c>
      <c r="P967" s="19">
        <f>IF(G967="","",IF(N967="Conflicts","SW_CONFLICT",IF(OR(F967="GOC",F967="OWC",F967="GWC"),"DIRECT_FLUID_TRANSITION","TRANSITION_INTERVAL")))</f>
        <v/>
      </c>
      <c r="Q967" s="19">
        <f>IF(G967="","",IF(N967="Conflicts","Investigate contact interpretation / saturation behaviour",IF(OR(F967="OWC",F967="GOC",F967="GWC"),"Candidate contact — validate with logs, pressure and dynamic evidence","Transition zone — do not force to a sharp contact")))</f>
        <v/>
      </c>
    </row>
    <row r="968">
      <c r="A968" s="19">
        <f>IF(AND(Master_Data!A968&lt;&gt;"",Master_Data!A968=Master_Data!A969),Master_Data!A968,"")</f>
        <v/>
      </c>
      <c r="B968" s="19">
        <f>IF($A968="","",Master_Data!B968)</f>
        <v/>
      </c>
      <c r="C968" s="19">
        <f>IF($A968="","",Master_Data!B969)</f>
        <v/>
      </c>
      <c r="D968" s="19">
        <f>IF($A968="","",Master_Data!Q968)</f>
        <v/>
      </c>
      <c r="E968" s="19">
        <f>IF($A968="","",Master_Data!Q969)</f>
        <v/>
      </c>
      <c r="F968" s="19">
        <f>IF($A968="","",IF(AND(D968="GAS",E968="OIL"),"GOC",IF(AND(D968="OIL",E968="WATER"),"OWC",IF(AND(D968="GAS",E968="WATER"),"GWC",IF(AND(D968="OIL",E968="OIL_WATER"),"OWC_TRANSITION",IF(AND(D968="OIL_WATER",E968="WATER"),"OWC_TRANSITION",IF(AND(D968="GAS",E968="GAS_WATER"),"GOC_TRANSITION",IF(AND(D968="GAS_WATER",E968="OIL"),"GOC_TRANSITION",IF(OR(D968="OIL_WATER",D968="GAS_WATER"),"TRANSITION_INTERVAL","")))))))))</f>
        <v/>
      </c>
      <c r="G968" s="20">
        <f>IF(OR(F968="",Master_Data!R968="",Master_Data!S968=""),"",IF(RIGHT(F968,10)="TRANSITION",AVERAGE(Master_Data!R968:Master_Data!S968),AVERAGE(Master_Data!S968,Master_Data!R969)))</f>
        <v/>
      </c>
      <c r="H968" s="20">
        <f>IF(G968="","",MAX(Settings!$B$4,Settings!$B$5*AVERAGE(IF(Master_Data!O968&lt;&gt;"",Master_Data!O968,Master_Data!H968),IF(Master_Data!O969&lt;&gt;"",Master_Data!O969,Master_Data!H969))))</f>
        <v/>
      </c>
      <c r="I968" s="20">
        <f>IF(G968="","",G968-H968)</f>
        <v/>
      </c>
      <c r="J968" s="20">
        <f>IF(G968="","",G968+H968)</f>
        <v/>
      </c>
      <c r="K968" s="20">
        <f>IF($A968="","",Master_Data!G968)</f>
        <v/>
      </c>
      <c r="L968" s="20">
        <f>IF($A968="","",Master_Data!G969)</f>
        <v/>
      </c>
      <c r="M968" s="20">
        <f>IF(AND(ISNUMBER(K968),ISNUMBER(L968)),L968-K968,"")</f>
        <v/>
      </c>
      <c r="N968" s="19">
        <f>IF(G968="","",IF(AND(ISNUMBER(K968),ISNUMBER(L968)),IF(OR(F968="GOC",F968="OWC",F968="GWC",F968="OWC_TRANSITION",F968="GOC_TRANSITION"),IF(L968&gt;=K968,"Supports","Conflicts"),"N/A"),"No Sw"))</f>
        <v/>
      </c>
      <c r="O968" s="20">
        <f>IF(G968="","",Settings!$B$6*IF(OR(F968="GOC",F968="OWC",F968="GWC"),1,0.7)+Settings!$B$7*IF(N968="Supports",1,IF(N968="Conflicts",0,0.5))+Settings!$B$8*IF(AND(Master_Data!R968&lt;&gt;"",Master_Data!S968&lt;&gt;"",Master_Data!R969&lt;&gt;"",Master_Data!S969&lt;&gt;""),1,0.5))</f>
        <v/>
      </c>
      <c r="P968" s="19">
        <f>IF(G968="","",IF(N968="Conflicts","SW_CONFLICT",IF(OR(F968="GOC",F968="OWC",F968="GWC"),"DIRECT_FLUID_TRANSITION","TRANSITION_INTERVAL")))</f>
        <v/>
      </c>
      <c r="Q968" s="19">
        <f>IF(G968="","",IF(N968="Conflicts","Investigate contact interpretation / saturation behaviour",IF(OR(F968="OWC",F968="GOC",F968="GWC"),"Candidate contact — validate with logs, pressure and dynamic evidence","Transition zone — do not force to a sharp contact")))</f>
        <v/>
      </c>
    </row>
    <row r="969">
      <c r="A969" s="19">
        <f>IF(AND(Master_Data!A969&lt;&gt;"",Master_Data!A969=Master_Data!A970),Master_Data!A969,"")</f>
        <v/>
      </c>
      <c r="B969" s="19">
        <f>IF($A969="","",Master_Data!B969)</f>
        <v/>
      </c>
      <c r="C969" s="19">
        <f>IF($A969="","",Master_Data!B970)</f>
        <v/>
      </c>
      <c r="D969" s="19">
        <f>IF($A969="","",Master_Data!Q969)</f>
        <v/>
      </c>
      <c r="E969" s="19">
        <f>IF($A969="","",Master_Data!Q970)</f>
        <v/>
      </c>
      <c r="F969" s="19">
        <f>IF($A969="","",IF(AND(D969="GAS",E969="OIL"),"GOC",IF(AND(D969="OIL",E969="WATER"),"OWC",IF(AND(D969="GAS",E969="WATER"),"GWC",IF(AND(D969="OIL",E969="OIL_WATER"),"OWC_TRANSITION",IF(AND(D969="OIL_WATER",E969="WATER"),"OWC_TRANSITION",IF(AND(D969="GAS",E969="GAS_WATER"),"GOC_TRANSITION",IF(AND(D969="GAS_WATER",E969="OIL"),"GOC_TRANSITION",IF(OR(D969="OIL_WATER",D969="GAS_WATER"),"TRANSITION_INTERVAL","")))))))))</f>
        <v/>
      </c>
      <c r="G969" s="20">
        <f>IF(OR(F969="",Master_Data!R969="",Master_Data!S969=""),"",IF(RIGHT(F969,10)="TRANSITION",AVERAGE(Master_Data!R969:Master_Data!S969),AVERAGE(Master_Data!S969,Master_Data!R970)))</f>
        <v/>
      </c>
      <c r="H969" s="20">
        <f>IF(G969="","",MAX(Settings!$B$4,Settings!$B$5*AVERAGE(IF(Master_Data!O969&lt;&gt;"",Master_Data!O969,Master_Data!H969),IF(Master_Data!O970&lt;&gt;"",Master_Data!O970,Master_Data!H970))))</f>
        <v/>
      </c>
      <c r="I969" s="20">
        <f>IF(G969="","",G969-H969)</f>
        <v/>
      </c>
      <c r="J969" s="20">
        <f>IF(G969="","",G969+H969)</f>
        <v/>
      </c>
      <c r="K969" s="20">
        <f>IF($A969="","",Master_Data!G969)</f>
        <v/>
      </c>
      <c r="L969" s="20">
        <f>IF($A969="","",Master_Data!G970)</f>
        <v/>
      </c>
      <c r="M969" s="20">
        <f>IF(AND(ISNUMBER(K969),ISNUMBER(L969)),L969-K969,"")</f>
        <v/>
      </c>
      <c r="N969" s="19">
        <f>IF(G969="","",IF(AND(ISNUMBER(K969),ISNUMBER(L969)),IF(OR(F969="GOC",F969="OWC",F969="GWC",F969="OWC_TRANSITION",F969="GOC_TRANSITION"),IF(L969&gt;=K969,"Supports","Conflicts"),"N/A"),"No Sw"))</f>
        <v/>
      </c>
      <c r="O969" s="20">
        <f>IF(G969="","",Settings!$B$6*IF(OR(F969="GOC",F969="OWC",F969="GWC"),1,0.7)+Settings!$B$7*IF(N969="Supports",1,IF(N969="Conflicts",0,0.5))+Settings!$B$8*IF(AND(Master_Data!R969&lt;&gt;"",Master_Data!S969&lt;&gt;"",Master_Data!R970&lt;&gt;"",Master_Data!S970&lt;&gt;""),1,0.5))</f>
        <v/>
      </c>
      <c r="P969" s="19">
        <f>IF(G969="","",IF(N969="Conflicts","SW_CONFLICT",IF(OR(F969="GOC",F969="OWC",F969="GWC"),"DIRECT_FLUID_TRANSITION","TRANSITION_INTERVAL")))</f>
        <v/>
      </c>
      <c r="Q969" s="19">
        <f>IF(G969="","",IF(N969="Conflicts","Investigate contact interpretation / saturation behaviour",IF(OR(F969="OWC",F969="GOC",F969="GWC"),"Candidate contact — validate with logs, pressure and dynamic evidence","Transition zone — do not force to a sharp contact")))</f>
        <v/>
      </c>
    </row>
    <row r="970">
      <c r="A970" s="19">
        <f>IF(AND(Master_Data!A970&lt;&gt;"",Master_Data!A970=Master_Data!A971),Master_Data!A970,"")</f>
        <v/>
      </c>
      <c r="B970" s="19">
        <f>IF($A970="","",Master_Data!B970)</f>
        <v/>
      </c>
      <c r="C970" s="19">
        <f>IF($A970="","",Master_Data!B971)</f>
        <v/>
      </c>
      <c r="D970" s="19">
        <f>IF($A970="","",Master_Data!Q970)</f>
        <v/>
      </c>
      <c r="E970" s="19">
        <f>IF($A970="","",Master_Data!Q971)</f>
        <v/>
      </c>
      <c r="F970" s="19">
        <f>IF($A970="","",IF(AND(D970="GAS",E970="OIL"),"GOC",IF(AND(D970="OIL",E970="WATER"),"OWC",IF(AND(D970="GAS",E970="WATER"),"GWC",IF(AND(D970="OIL",E970="OIL_WATER"),"OWC_TRANSITION",IF(AND(D970="OIL_WATER",E970="WATER"),"OWC_TRANSITION",IF(AND(D970="GAS",E970="GAS_WATER"),"GOC_TRANSITION",IF(AND(D970="GAS_WATER",E970="OIL"),"GOC_TRANSITION",IF(OR(D970="OIL_WATER",D970="GAS_WATER"),"TRANSITION_INTERVAL","")))))))))</f>
        <v/>
      </c>
      <c r="G970" s="20">
        <f>IF(OR(F970="",Master_Data!R970="",Master_Data!S970=""),"",IF(RIGHT(F970,10)="TRANSITION",AVERAGE(Master_Data!R970:Master_Data!S970),AVERAGE(Master_Data!S970,Master_Data!R971)))</f>
        <v/>
      </c>
      <c r="H970" s="20">
        <f>IF(G970="","",MAX(Settings!$B$4,Settings!$B$5*AVERAGE(IF(Master_Data!O970&lt;&gt;"",Master_Data!O970,Master_Data!H970),IF(Master_Data!O971&lt;&gt;"",Master_Data!O971,Master_Data!H971))))</f>
        <v/>
      </c>
      <c r="I970" s="20">
        <f>IF(G970="","",G970-H970)</f>
        <v/>
      </c>
      <c r="J970" s="20">
        <f>IF(G970="","",G970+H970)</f>
        <v/>
      </c>
      <c r="K970" s="20">
        <f>IF($A970="","",Master_Data!G970)</f>
        <v/>
      </c>
      <c r="L970" s="20">
        <f>IF($A970="","",Master_Data!G971)</f>
        <v/>
      </c>
      <c r="M970" s="20">
        <f>IF(AND(ISNUMBER(K970),ISNUMBER(L970)),L970-K970,"")</f>
        <v/>
      </c>
      <c r="N970" s="19">
        <f>IF(G970="","",IF(AND(ISNUMBER(K970),ISNUMBER(L970)),IF(OR(F970="GOC",F970="OWC",F970="GWC",F970="OWC_TRANSITION",F970="GOC_TRANSITION"),IF(L970&gt;=K970,"Supports","Conflicts"),"N/A"),"No Sw"))</f>
        <v/>
      </c>
      <c r="O970" s="20">
        <f>IF(G970="","",Settings!$B$6*IF(OR(F970="GOC",F970="OWC",F970="GWC"),1,0.7)+Settings!$B$7*IF(N970="Supports",1,IF(N970="Conflicts",0,0.5))+Settings!$B$8*IF(AND(Master_Data!R970&lt;&gt;"",Master_Data!S970&lt;&gt;"",Master_Data!R971&lt;&gt;"",Master_Data!S971&lt;&gt;""),1,0.5))</f>
        <v/>
      </c>
      <c r="P970" s="19">
        <f>IF(G970="","",IF(N970="Conflicts","SW_CONFLICT",IF(OR(F970="GOC",F970="OWC",F970="GWC"),"DIRECT_FLUID_TRANSITION","TRANSITION_INTERVAL")))</f>
        <v/>
      </c>
      <c r="Q970" s="19">
        <f>IF(G970="","",IF(N970="Conflicts","Investigate contact interpretation / saturation behaviour",IF(OR(F970="OWC",F970="GOC",F970="GWC"),"Candidate contact — validate with logs, pressure and dynamic evidence","Transition zone — do not force to a sharp contact")))</f>
        <v/>
      </c>
    </row>
    <row r="971">
      <c r="A971" s="19">
        <f>IF(AND(Master_Data!A971&lt;&gt;"",Master_Data!A971=Master_Data!A972),Master_Data!A971,"")</f>
        <v/>
      </c>
      <c r="B971" s="19">
        <f>IF($A971="","",Master_Data!B971)</f>
        <v/>
      </c>
      <c r="C971" s="19">
        <f>IF($A971="","",Master_Data!B972)</f>
        <v/>
      </c>
      <c r="D971" s="19">
        <f>IF($A971="","",Master_Data!Q971)</f>
        <v/>
      </c>
      <c r="E971" s="19">
        <f>IF($A971="","",Master_Data!Q972)</f>
        <v/>
      </c>
      <c r="F971" s="19">
        <f>IF($A971="","",IF(AND(D971="GAS",E971="OIL"),"GOC",IF(AND(D971="OIL",E971="WATER"),"OWC",IF(AND(D971="GAS",E971="WATER"),"GWC",IF(AND(D971="OIL",E971="OIL_WATER"),"OWC_TRANSITION",IF(AND(D971="OIL_WATER",E971="WATER"),"OWC_TRANSITION",IF(AND(D971="GAS",E971="GAS_WATER"),"GOC_TRANSITION",IF(AND(D971="GAS_WATER",E971="OIL"),"GOC_TRANSITION",IF(OR(D971="OIL_WATER",D971="GAS_WATER"),"TRANSITION_INTERVAL","")))))))))</f>
        <v/>
      </c>
      <c r="G971" s="20">
        <f>IF(OR(F971="",Master_Data!R971="",Master_Data!S971=""),"",IF(RIGHT(F971,10)="TRANSITION",AVERAGE(Master_Data!R971:Master_Data!S971),AVERAGE(Master_Data!S971,Master_Data!R972)))</f>
        <v/>
      </c>
      <c r="H971" s="20">
        <f>IF(G971="","",MAX(Settings!$B$4,Settings!$B$5*AVERAGE(IF(Master_Data!O971&lt;&gt;"",Master_Data!O971,Master_Data!H971),IF(Master_Data!O972&lt;&gt;"",Master_Data!O972,Master_Data!H972))))</f>
        <v/>
      </c>
      <c r="I971" s="20">
        <f>IF(G971="","",G971-H971)</f>
        <v/>
      </c>
      <c r="J971" s="20">
        <f>IF(G971="","",G971+H971)</f>
        <v/>
      </c>
      <c r="K971" s="20">
        <f>IF($A971="","",Master_Data!G971)</f>
        <v/>
      </c>
      <c r="L971" s="20">
        <f>IF($A971="","",Master_Data!G972)</f>
        <v/>
      </c>
      <c r="M971" s="20">
        <f>IF(AND(ISNUMBER(K971),ISNUMBER(L971)),L971-K971,"")</f>
        <v/>
      </c>
      <c r="N971" s="19">
        <f>IF(G971="","",IF(AND(ISNUMBER(K971),ISNUMBER(L971)),IF(OR(F971="GOC",F971="OWC",F971="GWC",F971="OWC_TRANSITION",F971="GOC_TRANSITION"),IF(L971&gt;=K971,"Supports","Conflicts"),"N/A"),"No Sw"))</f>
        <v/>
      </c>
      <c r="O971" s="20">
        <f>IF(G971="","",Settings!$B$6*IF(OR(F971="GOC",F971="OWC",F971="GWC"),1,0.7)+Settings!$B$7*IF(N971="Supports",1,IF(N971="Conflicts",0,0.5))+Settings!$B$8*IF(AND(Master_Data!R971&lt;&gt;"",Master_Data!S971&lt;&gt;"",Master_Data!R972&lt;&gt;"",Master_Data!S972&lt;&gt;""),1,0.5))</f>
        <v/>
      </c>
      <c r="P971" s="19">
        <f>IF(G971="","",IF(N971="Conflicts","SW_CONFLICT",IF(OR(F971="GOC",F971="OWC",F971="GWC"),"DIRECT_FLUID_TRANSITION","TRANSITION_INTERVAL")))</f>
        <v/>
      </c>
      <c r="Q971" s="19">
        <f>IF(G971="","",IF(N971="Conflicts","Investigate contact interpretation / saturation behaviour",IF(OR(F971="OWC",F971="GOC",F971="GWC"),"Candidate contact — validate with logs, pressure and dynamic evidence","Transition zone — do not force to a sharp contact")))</f>
        <v/>
      </c>
    </row>
    <row r="972">
      <c r="A972" s="19">
        <f>IF(AND(Master_Data!A972&lt;&gt;"",Master_Data!A972=Master_Data!A973),Master_Data!A972,"")</f>
        <v/>
      </c>
      <c r="B972" s="19">
        <f>IF($A972="","",Master_Data!B972)</f>
        <v/>
      </c>
      <c r="C972" s="19">
        <f>IF($A972="","",Master_Data!B973)</f>
        <v/>
      </c>
      <c r="D972" s="19">
        <f>IF($A972="","",Master_Data!Q972)</f>
        <v/>
      </c>
      <c r="E972" s="19">
        <f>IF($A972="","",Master_Data!Q973)</f>
        <v/>
      </c>
      <c r="F972" s="19">
        <f>IF($A972="","",IF(AND(D972="GAS",E972="OIL"),"GOC",IF(AND(D972="OIL",E972="WATER"),"OWC",IF(AND(D972="GAS",E972="WATER"),"GWC",IF(AND(D972="OIL",E972="OIL_WATER"),"OWC_TRANSITION",IF(AND(D972="OIL_WATER",E972="WATER"),"OWC_TRANSITION",IF(AND(D972="GAS",E972="GAS_WATER"),"GOC_TRANSITION",IF(AND(D972="GAS_WATER",E972="OIL"),"GOC_TRANSITION",IF(OR(D972="OIL_WATER",D972="GAS_WATER"),"TRANSITION_INTERVAL","")))))))))</f>
        <v/>
      </c>
      <c r="G972" s="20">
        <f>IF(OR(F972="",Master_Data!R972="",Master_Data!S972=""),"",IF(RIGHT(F972,10)="TRANSITION",AVERAGE(Master_Data!R972:Master_Data!S972),AVERAGE(Master_Data!S972,Master_Data!R973)))</f>
        <v/>
      </c>
      <c r="H972" s="20">
        <f>IF(G972="","",MAX(Settings!$B$4,Settings!$B$5*AVERAGE(IF(Master_Data!O972&lt;&gt;"",Master_Data!O972,Master_Data!H972),IF(Master_Data!O973&lt;&gt;"",Master_Data!O973,Master_Data!H973))))</f>
        <v/>
      </c>
      <c r="I972" s="20">
        <f>IF(G972="","",G972-H972)</f>
        <v/>
      </c>
      <c r="J972" s="20">
        <f>IF(G972="","",G972+H972)</f>
        <v/>
      </c>
      <c r="K972" s="20">
        <f>IF($A972="","",Master_Data!G972)</f>
        <v/>
      </c>
      <c r="L972" s="20">
        <f>IF($A972="","",Master_Data!G973)</f>
        <v/>
      </c>
      <c r="M972" s="20">
        <f>IF(AND(ISNUMBER(K972),ISNUMBER(L972)),L972-K972,"")</f>
        <v/>
      </c>
      <c r="N972" s="19">
        <f>IF(G972="","",IF(AND(ISNUMBER(K972),ISNUMBER(L972)),IF(OR(F972="GOC",F972="OWC",F972="GWC",F972="OWC_TRANSITION",F972="GOC_TRANSITION"),IF(L972&gt;=K972,"Supports","Conflicts"),"N/A"),"No Sw"))</f>
        <v/>
      </c>
      <c r="O972" s="20">
        <f>IF(G972="","",Settings!$B$6*IF(OR(F972="GOC",F972="OWC",F972="GWC"),1,0.7)+Settings!$B$7*IF(N972="Supports",1,IF(N972="Conflicts",0,0.5))+Settings!$B$8*IF(AND(Master_Data!R972&lt;&gt;"",Master_Data!S972&lt;&gt;"",Master_Data!R973&lt;&gt;"",Master_Data!S973&lt;&gt;""),1,0.5))</f>
        <v/>
      </c>
      <c r="P972" s="19">
        <f>IF(G972="","",IF(N972="Conflicts","SW_CONFLICT",IF(OR(F972="GOC",F972="OWC",F972="GWC"),"DIRECT_FLUID_TRANSITION","TRANSITION_INTERVAL")))</f>
        <v/>
      </c>
      <c r="Q972" s="19">
        <f>IF(G972="","",IF(N972="Conflicts","Investigate contact interpretation / saturation behaviour",IF(OR(F972="OWC",F972="GOC",F972="GWC"),"Candidate contact — validate with logs, pressure and dynamic evidence","Transition zone — do not force to a sharp contact")))</f>
        <v/>
      </c>
    </row>
    <row r="973">
      <c r="A973" s="19">
        <f>IF(AND(Master_Data!A973&lt;&gt;"",Master_Data!A973=Master_Data!A974),Master_Data!A973,"")</f>
        <v/>
      </c>
      <c r="B973" s="19">
        <f>IF($A973="","",Master_Data!B973)</f>
        <v/>
      </c>
      <c r="C973" s="19">
        <f>IF($A973="","",Master_Data!B974)</f>
        <v/>
      </c>
      <c r="D973" s="19">
        <f>IF($A973="","",Master_Data!Q973)</f>
        <v/>
      </c>
      <c r="E973" s="19">
        <f>IF($A973="","",Master_Data!Q974)</f>
        <v/>
      </c>
      <c r="F973" s="19">
        <f>IF($A973="","",IF(AND(D973="GAS",E973="OIL"),"GOC",IF(AND(D973="OIL",E973="WATER"),"OWC",IF(AND(D973="GAS",E973="WATER"),"GWC",IF(AND(D973="OIL",E973="OIL_WATER"),"OWC_TRANSITION",IF(AND(D973="OIL_WATER",E973="WATER"),"OWC_TRANSITION",IF(AND(D973="GAS",E973="GAS_WATER"),"GOC_TRANSITION",IF(AND(D973="GAS_WATER",E973="OIL"),"GOC_TRANSITION",IF(OR(D973="OIL_WATER",D973="GAS_WATER"),"TRANSITION_INTERVAL","")))))))))</f>
        <v/>
      </c>
      <c r="G973" s="20">
        <f>IF(OR(F973="",Master_Data!R973="",Master_Data!S973=""),"",IF(RIGHT(F973,10)="TRANSITION",AVERAGE(Master_Data!R973:Master_Data!S973),AVERAGE(Master_Data!S973,Master_Data!R974)))</f>
        <v/>
      </c>
      <c r="H973" s="20">
        <f>IF(G973="","",MAX(Settings!$B$4,Settings!$B$5*AVERAGE(IF(Master_Data!O973&lt;&gt;"",Master_Data!O973,Master_Data!H973),IF(Master_Data!O974&lt;&gt;"",Master_Data!O974,Master_Data!H974))))</f>
        <v/>
      </c>
      <c r="I973" s="20">
        <f>IF(G973="","",G973-H973)</f>
        <v/>
      </c>
      <c r="J973" s="20">
        <f>IF(G973="","",G973+H973)</f>
        <v/>
      </c>
      <c r="K973" s="20">
        <f>IF($A973="","",Master_Data!G973)</f>
        <v/>
      </c>
      <c r="L973" s="20">
        <f>IF($A973="","",Master_Data!G974)</f>
        <v/>
      </c>
      <c r="M973" s="20">
        <f>IF(AND(ISNUMBER(K973),ISNUMBER(L973)),L973-K973,"")</f>
        <v/>
      </c>
      <c r="N973" s="19">
        <f>IF(G973="","",IF(AND(ISNUMBER(K973),ISNUMBER(L973)),IF(OR(F973="GOC",F973="OWC",F973="GWC",F973="OWC_TRANSITION",F973="GOC_TRANSITION"),IF(L973&gt;=K973,"Supports","Conflicts"),"N/A"),"No Sw"))</f>
        <v/>
      </c>
      <c r="O973" s="20">
        <f>IF(G973="","",Settings!$B$6*IF(OR(F973="GOC",F973="OWC",F973="GWC"),1,0.7)+Settings!$B$7*IF(N973="Supports",1,IF(N973="Conflicts",0,0.5))+Settings!$B$8*IF(AND(Master_Data!R973&lt;&gt;"",Master_Data!S973&lt;&gt;"",Master_Data!R974&lt;&gt;"",Master_Data!S974&lt;&gt;""),1,0.5))</f>
        <v/>
      </c>
      <c r="P973" s="19">
        <f>IF(G973="","",IF(N973="Conflicts","SW_CONFLICT",IF(OR(F973="GOC",F973="OWC",F973="GWC"),"DIRECT_FLUID_TRANSITION","TRANSITION_INTERVAL")))</f>
        <v/>
      </c>
      <c r="Q973" s="19">
        <f>IF(G973="","",IF(N973="Conflicts","Investigate contact interpretation / saturation behaviour",IF(OR(F973="OWC",F973="GOC",F973="GWC"),"Candidate contact — validate with logs, pressure and dynamic evidence","Transition zone — do not force to a sharp contact")))</f>
        <v/>
      </c>
    </row>
    <row r="974">
      <c r="A974" s="19">
        <f>IF(AND(Master_Data!A974&lt;&gt;"",Master_Data!A974=Master_Data!A975),Master_Data!A974,"")</f>
        <v/>
      </c>
      <c r="B974" s="19">
        <f>IF($A974="","",Master_Data!B974)</f>
        <v/>
      </c>
      <c r="C974" s="19">
        <f>IF($A974="","",Master_Data!B975)</f>
        <v/>
      </c>
      <c r="D974" s="19">
        <f>IF($A974="","",Master_Data!Q974)</f>
        <v/>
      </c>
      <c r="E974" s="19">
        <f>IF($A974="","",Master_Data!Q975)</f>
        <v/>
      </c>
      <c r="F974" s="19">
        <f>IF($A974="","",IF(AND(D974="GAS",E974="OIL"),"GOC",IF(AND(D974="OIL",E974="WATER"),"OWC",IF(AND(D974="GAS",E974="WATER"),"GWC",IF(AND(D974="OIL",E974="OIL_WATER"),"OWC_TRANSITION",IF(AND(D974="OIL_WATER",E974="WATER"),"OWC_TRANSITION",IF(AND(D974="GAS",E974="GAS_WATER"),"GOC_TRANSITION",IF(AND(D974="GAS_WATER",E974="OIL"),"GOC_TRANSITION",IF(OR(D974="OIL_WATER",D974="GAS_WATER"),"TRANSITION_INTERVAL","")))))))))</f>
        <v/>
      </c>
      <c r="G974" s="20">
        <f>IF(OR(F974="",Master_Data!R974="",Master_Data!S974=""),"",IF(RIGHT(F974,10)="TRANSITION",AVERAGE(Master_Data!R974:Master_Data!S974),AVERAGE(Master_Data!S974,Master_Data!R975)))</f>
        <v/>
      </c>
      <c r="H974" s="20">
        <f>IF(G974="","",MAX(Settings!$B$4,Settings!$B$5*AVERAGE(IF(Master_Data!O974&lt;&gt;"",Master_Data!O974,Master_Data!H974),IF(Master_Data!O975&lt;&gt;"",Master_Data!O975,Master_Data!H975))))</f>
        <v/>
      </c>
      <c r="I974" s="20">
        <f>IF(G974="","",G974-H974)</f>
        <v/>
      </c>
      <c r="J974" s="20">
        <f>IF(G974="","",G974+H974)</f>
        <v/>
      </c>
      <c r="K974" s="20">
        <f>IF($A974="","",Master_Data!G974)</f>
        <v/>
      </c>
      <c r="L974" s="20">
        <f>IF($A974="","",Master_Data!G975)</f>
        <v/>
      </c>
      <c r="M974" s="20">
        <f>IF(AND(ISNUMBER(K974),ISNUMBER(L974)),L974-K974,"")</f>
        <v/>
      </c>
      <c r="N974" s="19">
        <f>IF(G974="","",IF(AND(ISNUMBER(K974),ISNUMBER(L974)),IF(OR(F974="GOC",F974="OWC",F974="GWC",F974="OWC_TRANSITION",F974="GOC_TRANSITION"),IF(L974&gt;=K974,"Supports","Conflicts"),"N/A"),"No Sw"))</f>
        <v/>
      </c>
      <c r="O974" s="20">
        <f>IF(G974="","",Settings!$B$6*IF(OR(F974="GOC",F974="OWC",F974="GWC"),1,0.7)+Settings!$B$7*IF(N974="Supports",1,IF(N974="Conflicts",0,0.5))+Settings!$B$8*IF(AND(Master_Data!R974&lt;&gt;"",Master_Data!S974&lt;&gt;"",Master_Data!R975&lt;&gt;"",Master_Data!S975&lt;&gt;""),1,0.5))</f>
        <v/>
      </c>
      <c r="P974" s="19">
        <f>IF(G974="","",IF(N974="Conflicts","SW_CONFLICT",IF(OR(F974="GOC",F974="OWC",F974="GWC"),"DIRECT_FLUID_TRANSITION","TRANSITION_INTERVAL")))</f>
        <v/>
      </c>
      <c r="Q974" s="19">
        <f>IF(G974="","",IF(N974="Conflicts","Investigate contact interpretation / saturation behaviour",IF(OR(F974="OWC",F974="GOC",F974="GWC"),"Candidate contact — validate with logs, pressure and dynamic evidence","Transition zone — do not force to a sharp contact")))</f>
        <v/>
      </c>
    </row>
    <row r="975">
      <c r="A975" s="19">
        <f>IF(AND(Master_Data!A975&lt;&gt;"",Master_Data!A975=Master_Data!A976),Master_Data!A975,"")</f>
        <v/>
      </c>
      <c r="B975" s="19">
        <f>IF($A975="","",Master_Data!B975)</f>
        <v/>
      </c>
      <c r="C975" s="19">
        <f>IF($A975="","",Master_Data!B976)</f>
        <v/>
      </c>
      <c r="D975" s="19">
        <f>IF($A975="","",Master_Data!Q975)</f>
        <v/>
      </c>
      <c r="E975" s="19">
        <f>IF($A975="","",Master_Data!Q976)</f>
        <v/>
      </c>
      <c r="F975" s="19">
        <f>IF($A975="","",IF(AND(D975="GAS",E975="OIL"),"GOC",IF(AND(D975="OIL",E975="WATER"),"OWC",IF(AND(D975="GAS",E975="WATER"),"GWC",IF(AND(D975="OIL",E975="OIL_WATER"),"OWC_TRANSITION",IF(AND(D975="OIL_WATER",E975="WATER"),"OWC_TRANSITION",IF(AND(D975="GAS",E975="GAS_WATER"),"GOC_TRANSITION",IF(AND(D975="GAS_WATER",E975="OIL"),"GOC_TRANSITION",IF(OR(D975="OIL_WATER",D975="GAS_WATER"),"TRANSITION_INTERVAL","")))))))))</f>
        <v/>
      </c>
      <c r="G975" s="20">
        <f>IF(OR(F975="",Master_Data!R975="",Master_Data!S975=""),"",IF(RIGHT(F975,10)="TRANSITION",AVERAGE(Master_Data!R975:Master_Data!S975),AVERAGE(Master_Data!S975,Master_Data!R976)))</f>
        <v/>
      </c>
      <c r="H975" s="20">
        <f>IF(G975="","",MAX(Settings!$B$4,Settings!$B$5*AVERAGE(IF(Master_Data!O975&lt;&gt;"",Master_Data!O975,Master_Data!H975),IF(Master_Data!O976&lt;&gt;"",Master_Data!O976,Master_Data!H976))))</f>
        <v/>
      </c>
      <c r="I975" s="20">
        <f>IF(G975="","",G975-H975)</f>
        <v/>
      </c>
      <c r="J975" s="20">
        <f>IF(G975="","",G975+H975)</f>
        <v/>
      </c>
      <c r="K975" s="20">
        <f>IF($A975="","",Master_Data!G975)</f>
        <v/>
      </c>
      <c r="L975" s="20">
        <f>IF($A975="","",Master_Data!G976)</f>
        <v/>
      </c>
      <c r="M975" s="20">
        <f>IF(AND(ISNUMBER(K975),ISNUMBER(L975)),L975-K975,"")</f>
        <v/>
      </c>
      <c r="N975" s="19">
        <f>IF(G975="","",IF(AND(ISNUMBER(K975),ISNUMBER(L975)),IF(OR(F975="GOC",F975="OWC",F975="GWC",F975="OWC_TRANSITION",F975="GOC_TRANSITION"),IF(L975&gt;=K975,"Supports","Conflicts"),"N/A"),"No Sw"))</f>
        <v/>
      </c>
      <c r="O975" s="20">
        <f>IF(G975="","",Settings!$B$6*IF(OR(F975="GOC",F975="OWC",F975="GWC"),1,0.7)+Settings!$B$7*IF(N975="Supports",1,IF(N975="Conflicts",0,0.5))+Settings!$B$8*IF(AND(Master_Data!R975&lt;&gt;"",Master_Data!S975&lt;&gt;"",Master_Data!R976&lt;&gt;"",Master_Data!S976&lt;&gt;""),1,0.5))</f>
        <v/>
      </c>
      <c r="P975" s="19">
        <f>IF(G975="","",IF(N975="Conflicts","SW_CONFLICT",IF(OR(F975="GOC",F975="OWC",F975="GWC"),"DIRECT_FLUID_TRANSITION","TRANSITION_INTERVAL")))</f>
        <v/>
      </c>
      <c r="Q975" s="19">
        <f>IF(G975="","",IF(N975="Conflicts","Investigate contact interpretation / saturation behaviour",IF(OR(F975="OWC",F975="GOC",F975="GWC"),"Candidate contact — validate with logs, pressure and dynamic evidence","Transition zone — do not force to a sharp contact")))</f>
        <v/>
      </c>
    </row>
    <row r="976">
      <c r="A976" s="19">
        <f>IF(AND(Master_Data!A976&lt;&gt;"",Master_Data!A976=Master_Data!A977),Master_Data!A976,"")</f>
        <v/>
      </c>
      <c r="B976" s="19">
        <f>IF($A976="","",Master_Data!B976)</f>
        <v/>
      </c>
      <c r="C976" s="19">
        <f>IF($A976="","",Master_Data!B977)</f>
        <v/>
      </c>
      <c r="D976" s="19">
        <f>IF($A976="","",Master_Data!Q976)</f>
        <v/>
      </c>
      <c r="E976" s="19">
        <f>IF($A976="","",Master_Data!Q977)</f>
        <v/>
      </c>
      <c r="F976" s="19">
        <f>IF($A976="","",IF(AND(D976="GAS",E976="OIL"),"GOC",IF(AND(D976="OIL",E976="WATER"),"OWC",IF(AND(D976="GAS",E976="WATER"),"GWC",IF(AND(D976="OIL",E976="OIL_WATER"),"OWC_TRANSITION",IF(AND(D976="OIL_WATER",E976="WATER"),"OWC_TRANSITION",IF(AND(D976="GAS",E976="GAS_WATER"),"GOC_TRANSITION",IF(AND(D976="GAS_WATER",E976="OIL"),"GOC_TRANSITION",IF(OR(D976="OIL_WATER",D976="GAS_WATER"),"TRANSITION_INTERVAL","")))))))))</f>
        <v/>
      </c>
      <c r="G976" s="20">
        <f>IF(OR(F976="",Master_Data!R976="",Master_Data!S976=""),"",IF(RIGHT(F976,10)="TRANSITION",AVERAGE(Master_Data!R976:Master_Data!S976),AVERAGE(Master_Data!S976,Master_Data!R977)))</f>
        <v/>
      </c>
      <c r="H976" s="20">
        <f>IF(G976="","",MAX(Settings!$B$4,Settings!$B$5*AVERAGE(IF(Master_Data!O976&lt;&gt;"",Master_Data!O976,Master_Data!H976),IF(Master_Data!O977&lt;&gt;"",Master_Data!O977,Master_Data!H977))))</f>
        <v/>
      </c>
      <c r="I976" s="20">
        <f>IF(G976="","",G976-H976)</f>
        <v/>
      </c>
      <c r="J976" s="20">
        <f>IF(G976="","",G976+H976)</f>
        <v/>
      </c>
      <c r="K976" s="20">
        <f>IF($A976="","",Master_Data!G976)</f>
        <v/>
      </c>
      <c r="L976" s="20">
        <f>IF($A976="","",Master_Data!G977)</f>
        <v/>
      </c>
      <c r="M976" s="20">
        <f>IF(AND(ISNUMBER(K976),ISNUMBER(L976)),L976-K976,"")</f>
        <v/>
      </c>
      <c r="N976" s="19">
        <f>IF(G976="","",IF(AND(ISNUMBER(K976),ISNUMBER(L976)),IF(OR(F976="GOC",F976="OWC",F976="GWC",F976="OWC_TRANSITION",F976="GOC_TRANSITION"),IF(L976&gt;=K976,"Supports","Conflicts"),"N/A"),"No Sw"))</f>
        <v/>
      </c>
      <c r="O976" s="20">
        <f>IF(G976="","",Settings!$B$6*IF(OR(F976="GOC",F976="OWC",F976="GWC"),1,0.7)+Settings!$B$7*IF(N976="Supports",1,IF(N976="Conflicts",0,0.5))+Settings!$B$8*IF(AND(Master_Data!R976&lt;&gt;"",Master_Data!S976&lt;&gt;"",Master_Data!R977&lt;&gt;"",Master_Data!S977&lt;&gt;""),1,0.5))</f>
        <v/>
      </c>
      <c r="P976" s="19">
        <f>IF(G976="","",IF(N976="Conflicts","SW_CONFLICT",IF(OR(F976="GOC",F976="OWC",F976="GWC"),"DIRECT_FLUID_TRANSITION","TRANSITION_INTERVAL")))</f>
        <v/>
      </c>
      <c r="Q976" s="19">
        <f>IF(G976="","",IF(N976="Conflicts","Investigate contact interpretation / saturation behaviour",IF(OR(F976="OWC",F976="GOC",F976="GWC"),"Candidate contact — validate with logs, pressure and dynamic evidence","Transition zone — do not force to a sharp contact")))</f>
        <v/>
      </c>
    </row>
    <row r="977">
      <c r="A977" s="19">
        <f>IF(AND(Master_Data!A977&lt;&gt;"",Master_Data!A977=Master_Data!A978),Master_Data!A977,"")</f>
        <v/>
      </c>
      <c r="B977" s="19">
        <f>IF($A977="","",Master_Data!B977)</f>
        <v/>
      </c>
      <c r="C977" s="19">
        <f>IF($A977="","",Master_Data!B978)</f>
        <v/>
      </c>
      <c r="D977" s="19">
        <f>IF($A977="","",Master_Data!Q977)</f>
        <v/>
      </c>
      <c r="E977" s="19">
        <f>IF($A977="","",Master_Data!Q978)</f>
        <v/>
      </c>
      <c r="F977" s="19">
        <f>IF($A977="","",IF(AND(D977="GAS",E977="OIL"),"GOC",IF(AND(D977="OIL",E977="WATER"),"OWC",IF(AND(D977="GAS",E977="WATER"),"GWC",IF(AND(D977="OIL",E977="OIL_WATER"),"OWC_TRANSITION",IF(AND(D977="OIL_WATER",E977="WATER"),"OWC_TRANSITION",IF(AND(D977="GAS",E977="GAS_WATER"),"GOC_TRANSITION",IF(AND(D977="GAS_WATER",E977="OIL"),"GOC_TRANSITION",IF(OR(D977="OIL_WATER",D977="GAS_WATER"),"TRANSITION_INTERVAL","")))))))))</f>
        <v/>
      </c>
      <c r="G977" s="20">
        <f>IF(OR(F977="",Master_Data!R977="",Master_Data!S977=""),"",IF(RIGHT(F977,10)="TRANSITION",AVERAGE(Master_Data!R977:Master_Data!S977),AVERAGE(Master_Data!S977,Master_Data!R978)))</f>
        <v/>
      </c>
      <c r="H977" s="20">
        <f>IF(G977="","",MAX(Settings!$B$4,Settings!$B$5*AVERAGE(IF(Master_Data!O977&lt;&gt;"",Master_Data!O977,Master_Data!H977),IF(Master_Data!O978&lt;&gt;"",Master_Data!O978,Master_Data!H978))))</f>
        <v/>
      </c>
      <c r="I977" s="20">
        <f>IF(G977="","",G977-H977)</f>
        <v/>
      </c>
      <c r="J977" s="20">
        <f>IF(G977="","",G977+H977)</f>
        <v/>
      </c>
      <c r="K977" s="20">
        <f>IF($A977="","",Master_Data!G977)</f>
        <v/>
      </c>
      <c r="L977" s="20">
        <f>IF($A977="","",Master_Data!G978)</f>
        <v/>
      </c>
      <c r="M977" s="20">
        <f>IF(AND(ISNUMBER(K977),ISNUMBER(L977)),L977-K977,"")</f>
        <v/>
      </c>
      <c r="N977" s="19">
        <f>IF(G977="","",IF(AND(ISNUMBER(K977),ISNUMBER(L977)),IF(OR(F977="GOC",F977="OWC",F977="GWC",F977="OWC_TRANSITION",F977="GOC_TRANSITION"),IF(L977&gt;=K977,"Supports","Conflicts"),"N/A"),"No Sw"))</f>
        <v/>
      </c>
      <c r="O977" s="20">
        <f>IF(G977="","",Settings!$B$6*IF(OR(F977="GOC",F977="OWC",F977="GWC"),1,0.7)+Settings!$B$7*IF(N977="Supports",1,IF(N977="Conflicts",0,0.5))+Settings!$B$8*IF(AND(Master_Data!R977&lt;&gt;"",Master_Data!S977&lt;&gt;"",Master_Data!R978&lt;&gt;"",Master_Data!S978&lt;&gt;""),1,0.5))</f>
        <v/>
      </c>
      <c r="P977" s="19">
        <f>IF(G977="","",IF(N977="Conflicts","SW_CONFLICT",IF(OR(F977="GOC",F977="OWC",F977="GWC"),"DIRECT_FLUID_TRANSITION","TRANSITION_INTERVAL")))</f>
        <v/>
      </c>
      <c r="Q977" s="19">
        <f>IF(G977="","",IF(N977="Conflicts","Investigate contact interpretation / saturation behaviour",IF(OR(F977="OWC",F977="GOC",F977="GWC"),"Candidate contact — validate with logs, pressure and dynamic evidence","Transition zone — do not force to a sharp contact")))</f>
        <v/>
      </c>
    </row>
    <row r="978">
      <c r="A978" s="19">
        <f>IF(AND(Master_Data!A978&lt;&gt;"",Master_Data!A978=Master_Data!A979),Master_Data!A978,"")</f>
        <v/>
      </c>
      <c r="B978" s="19">
        <f>IF($A978="","",Master_Data!B978)</f>
        <v/>
      </c>
      <c r="C978" s="19">
        <f>IF($A978="","",Master_Data!B979)</f>
        <v/>
      </c>
      <c r="D978" s="19">
        <f>IF($A978="","",Master_Data!Q978)</f>
        <v/>
      </c>
      <c r="E978" s="19">
        <f>IF($A978="","",Master_Data!Q979)</f>
        <v/>
      </c>
      <c r="F978" s="19">
        <f>IF($A978="","",IF(AND(D978="GAS",E978="OIL"),"GOC",IF(AND(D978="OIL",E978="WATER"),"OWC",IF(AND(D978="GAS",E978="WATER"),"GWC",IF(AND(D978="OIL",E978="OIL_WATER"),"OWC_TRANSITION",IF(AND(D978="OIL_WATER",E978="WATER"),"OWC_TRANSITION",IF(AND(D978="GAS",E978="GAS_WATER"),"GOC_TRANSITION",IF(AND(D978="GAS_WATER",E978="OIL"),"GOC_TRANSITION",IF(OR(D978="OIL_WATER",D978="GAS_WATER"),"TRANSITION_INTERVAL","")))))))))</f>
        <v/>
      </c>
      <c r="G978" s="20">
        <f>IF(OR(F978="",Master_Data!R978="",Master_Data!S978=""),"",IF(RIGHT(F978,10)="TRANSITION",AVERAGE(Master_Data!R978:Master_Data!S978),AVERAGE(Master_Data!S978,Master_Data!R979)))</f>
        <v/>
      </c>
      <c r="H978" s="20">
        <f>IF(G978="","",MAX(Settings!$B$4,Settings!$B$5*AVERAGE(IF(Master_Data!O978&lt;&gt;"",Master_Data!O978,Master_Data!H978),IF(Master_Data!O979&lt;&gt;"",Master_Data!O979,Master_Data!H979))))</f>
        <v/>
      </c>
      <c r="I978" s="20">
        <f>IF(G978="","",G978-H978)</f>
        <v/>
      </c>
      <c r="J978" s="20">
        <f>IF(G978="","",G978+H978)</f>
        <v/>
      </c>
      <c r="K978" s="20">
        <f>IF($A978="","",Master_Data!G978)</f>
        <v/>
      </c>
      <c r="L978" s="20">
        <f>IF($A978="","",Master_Data!G979)</f>
        <v/>
      </c>
      <c r="M978" s="20">
        <f>IF(AND(ISNUMBER(K978),ISNUMBER(L978)),L978-K978,"")</f>
        <v/>
      </c>
      <c r="N978" s="19">
        <f>IF(G978="","",IF(AND(ISNUMBER(K978),ISNUMBER(L978)),IF(OR(F978="GOC",F978="OWC",F978="GWC",F978="OWC_TRANSITION",F978="GOC_TRANSITION"),IF(L978&gt;=K978,"Supports","Conflicts"),"N/A"),"No Sw"))</f>
        <v/>
      </c>
      <c r="O978" s="20">
        <f>IF(G978="","",Settings!$B$6*IF(OR(F978="GOC",F978="OWC",F978="GWC"),1,0.7)+Settings!$B$7*IF(N978="Supports",1,IF(N978="Conflicts",0,0.5))+Settings!$B$8*IF(AND(Master_Data!R978&lt;&gt;"",Master_Data!S978&lt;&gt;"",Master_Data!R979&lt;&gt;"",Master_Data!S979&lt;&gt;""),1,0.5))</f>
        <v/>
      </c>
      <c r="P978" s="19">
        <f>IF(G978="","",IF(N978="Conflicts","SW_CONFLICT",IF(OR(F978="GOC",F978="OWC",F978="GWC"),"DIRECT_FLUID_TRANSITION","TRANSITION_INTERVAL")))</f>
        <v/>
      </c>
      <c r="Q978" s="19">
        <f>IF(G978="","",IF(N978="Conflicts","Investigate contact interpretation / saturation behaviour",IF(OR(F978="OWC",F978="GOC",F978="GWC"),"Candidate contact — validate with logs, pressure and dynamic evidence","Transition zone — do not force to a sharp contact")))</f>
        <v/>
      </c>
    </row>
    <row r="979">
      <c r="A979" s="19">
        <f>IF(AND(Master_Data!A979&lt;&gt;"",Master_Data!A979=Master_Data!A980),Master_Data!A979,"")</f>
        <v/>
      </c>
      <c r="B979" s="19">
        <f>IF($A979="","",Master_Data!B979)</f>
        <v/>
      </c>
      <c r="C979" s="19">
        <f>IF($A979="","",Master_Data!B980)</f>
        <v/>
      </c>
      <c r="D979" s="19">
        <f>IF($A979="","",Master_Data!Q979)</f>
        <v/>
      </c>
      <c r="E979" s="19">
        <f>IF($A979="","",Master_Data!Q980)</f>
        <v/>
      </c>
      <c r="F979" s="19">
        <f>IF($A979="","",IF(AND(D979="GAS",E979="OIL"),"GOC",IF(AND(D979="OIL",E979="WATER"),"OWC",IF(AND(D979="GAS",E979="WATER"),"GWC",IF(AND(D979="OIL",E979="OIL_WATER"),"OWC_TRANSITION",IF(AND(D979="OIL_WATER",E979="WATER"),"OWC_TRANSITION",IF(AND(D979="GAS",E979="GAS_WATER"),"GOC_TRANSITION",IF(AND(D979="GAS_WATER",E979="OIL"),"GOC_TRANSITION",IF(OR(D979="OIL_WATER",D979="GAS_WATER"),"TRANSITION_INTERVAL","")))))))))</f>
        <v/>
      </c>
      <c r="G979" s="20">
        <f>IF(OR(F979="",Master_Data!R979="",Master_Data!S979=""),"",IF(RIGHT(F979,10)="TRANSITION",AVERAGE(Master_Data!R979:Master_Data!S979),AVERAGE(Master_Data!S979,Master_Data!R980)))</f>
        <v/>
      </c>
      <c r="H979" s="20">
        <f>IF(G979="","",MAX(Settings!$B$4,Settings!$B$5*AVERAGE(IF(Master_Data!O979&lt;&gt;"",Master_Data!O979,Master_Data!H979),IF(Master_Data!O980&lt;&gt;"",Master_Data!O980,Master_Data!H980))))</f>
        <v/>
      </c>
      <c r="I979" s="20">
        <f>IF(G979="","",G979-H979)</f>
        <v/>
      </c>
      <c r="J979" s="20">
        <f>IF(G979="","",G979+H979)</f>
        <v/>
      </c>
      <c r="K979" s="20">
        <f>IF($A979="","",Master_Data!G979)</f>
        <v/>
      </c>
      <c r="L979" s="20">
        <f>IF($A979="","",Master_Data!G980)</f>
        <v/>
      </c>
      <c r="M979" s="20">
        <f>IF(AND(ISNUMBER(K979),ISNUMBER(L979)),L979-K979,"")</f>
        <v/>
      </c>
      <c r="N979" s="19">
        <f>IF(G979="","",IF(AND(ISNUMBER(K979),ISNUMBER(L979)),IF(OR(F979="GOC",F979="OWC",F979="GWC",F979="OWC_TRANSITION",F979="GOC_TRANSITION"),IF(L979&gt;=K979,"Supports","Conflicts"),"N/A"),"No Sw"))</f>
        <v/>
      </c>
      <c r="O979" s="20">
        <f>IF(G979="","",Settings!$B$6*IF(OR(F979="GOC",F979="OWC",F979="GWC"),1,0.7)+Settings!$B$7*IF(N979="Supports",1,IF(N979="Conflicts",0,0.5))+Settings!$B$8*IF(AND(Master_Data!R979&lt;&gt;"",Master_Data!S979&lt;&gt;"",Master_Data!R980&lt;&gt;"",Master_Data!S980&lt;&gt;""),1,0.5))</f>
        <v/>
      </c>
      <c r="P979" s="19">
        <f>IF(G979="","",IF(N979="Conflicts","SW_CONFLICT",IF(OR(F979="GOC",F979="OWC",F979="GWC"),"DIRECT_FLUID_TRANSITION","TRANSITION_INTERVAL")))</f>
        <v/>
      </c>
      <c r="Q979" s="19">
        <f>IF(G979="","",IF(N979="Conflicts","Investigate contact interpretation / saturation behaviour",IF(OR(F979="OWC",F979="GOC",F979="GWC"),"Candidate contact — validate with logs, pressure and dynamic evidence","Transition zone — do not force to a sharp contact")))</f>
        <v/>
      </c>
    </row>
    <row r="980">
      <c r="A980" s="19">
        <f>IF(AND(Master_Data!A980&lt;&gt;"",Master_Data!A980=Master_Data!A981),Master_Data!A980,"")</f>
        <v/>
      </c>
      <c r="B980" s="19">
        <f>IF($A980="","",Master_Data!B980)</f>
        <v/>
      </c>
      <c r="C980" s="19">
        <f>IF($A980="","",Master_Data!B981)</f>
        <v/>
      </c>
      <c r="D980" s="19">
        <f>IF($A980="","",Master_Data!Q980)</f>
        <v/>
      </c>
      <c r="E980" s="19">
        <f>IF($A980="","",Master_Data!Q981)</f>
        <v/>
      </c>
      <c r="F980" s="19">
        <f>IF($A980="","",IF(AND(D980="GAS",E980="OIL"),"GOC",IF(AND(D980="OIL",E980="WATER"),"OWC",IF(AND(D980="GAS",E980="WATER"),"GWC",IF(AND(D980="OIL",E980="OIL_WATER"),"OWC_TRANSITION",IF(AND(D980="OIL_WATER",E980="WATER"),"OWC_TRANSITION",IF(AND(D980="GAS",E980="GAS_WATER"),"GOC_TRANSITION",IF(AND(D980="GAS_WATER",E980="OIL"),"GOC_TRANSITION",IF(OR(D980="OIL_WATER",D980="GAS_WATER"),"TRANSITION_INTERVAL","")))))))))</f>
        <v/>
      </c>
      <c r="G980" s="20">
        <f>IF(OR(F980="",Master_Data!R980="",Master_Data!S980=""),"",IF(RIGHT(F980,10)="TRANSITION",AVERAGE(Master_Data!R980:Master_Data!S980),AVERAGE(Master_Data!S980,Master_Data!R981)))</f>
        <v/>
      </c>
      <c r="H980" s="20">
        <f>IF(G980="","",MAX(Settings!$B$4,Settings!$B$5*AVERAGE(IF(Master_Data!O980&lt;&gt;"",Master_Data!O980,Master_Data!H980),IF(Master_Data!O981&lt;&gt;"",Master_Data!O981,Master_Data!H981))))</f>
        <v/>
      </c>
      <c r="I980" s="20">
        <f>IF(G980="","",G980-H980)</f>
        <v/>
      </c>
      <c r="J980" s="20">
        <f>IF(G980="","",G980+H980)</f>
        <v/>
      </c>
      <c r="K980" s="20">
        <f>IF($A980="","",Master_Data!G980)</f>
        <v/>
      </c>
      <c r="L980" s="20">
        <f>IF($A980="","",Master_Data!G981)</f>
        <v/>
      </c>
      <c r="M980" s="20">
        <f>IF(AND(ISNUMBER(K980),ISNUMBER(L980)),L980-K980,"")</f>
        <v/>
      </c>
      <c r="N980" s="19">
        <f>IF(G980="","",IF(AND(ISNUMBER(K980),ISNUMBER(L980)),IF(OR(F980="GOC",F980="OWC",F980="GWC",F980="OWC_TRANSITION",F980="GOC_TRANSITION"),IF(L980&gt;=K980,"Supports","Conflicts"),"N/A"),"No Sw"))</f>
        <v/>
      </c>
      <c r="O980" s="20">
        <f>IF(G980="","",Settings!$B$6*IF(OR(F980="GOC",F980="OWC",F980="GWC"),1,0.7)+Settings!$B$7*IF(N980="Supports",1,IF(N980="Conflicts",0,0.5))+Settings!$B$8*IF(AND(Master_Data!R980&lt;&gt;"",Master_Data!S980&lt;&gt;"",Master_Data!R981&lt;&gt;"",Master_Data!S981&lt;&gt;""),1,0.5))</f>
        <v/>
      </c>
      <c r="P980" s="19">
        <f>IF(G980="","",IF(N980="Conflicts","SW_CONFLICT",IF(OR(F980="GOC",F980="OWC",F980="GWC"),"DIRECT_FLUID_TRANSITION","TRANSITION_INTERVAL")))</f>
        <v/>
      </c>
      <c r="Q980" s="19">
        <f>IF(G980="","",IF(N980="Conflicts","Investigate contact interpretation / saturation behaviour",IF(OR(F980="OWC",F980="GOC",F980="GWC"),"Candidate contact — validate with logs, pressure and dynamic evidence","Transition zone — do not force to a sharp contact")))</f>
        <v/>
      </c>
    </row>
    <row r="981">
      <c r="A981" s="19">
        <f>IF(AND(Master_Data!A981&lt;&gt;"",Master_Data!A981=Master_Data!A982),Master_Data!A981,"")</f>
        <v/>
      </c>
      <c r="B981" s="19">
        <f>IF($A981="","",Master_Data!B981)</f>
        <v/>
      </c>
      <c r="C981" s="19">
        <f>IF($A981="","",Master_Data!B982)</f>
        <v/>
      </c>
      <c r="D981" s="19">
        <f>IF($A981="","",Master_Data!Q981)</f>
        <v/>
      </c>
      <c r="E981" s="19">
        <f>IF($A981="","",Master_Data!Q982)</f>
        <v/>
      </c>
      <c r="F981" s="19">
        <f>IF($A981="","",IF(AND(D981="GAS",E981="OIL"),"GOC",IF(AND(D981="OIL",E981="WATER"),"OWC",IF(AND(D981="GAS",E981="WATER"),"GWC",IF(AND(D981="OIL",E981="OIL_WATER"),"OWC_TRANSITION",IF(AND(D981="OIL_WATER",E981="WATER"),"OWC_TRANSITION",IF(AND(D981="GAS",E981="GAS_WATER"),"GOC_TRANSITION",IF(AND(D981="GAS_WATER",E981="OIL"),"GOC_TRANSITION",IF(OR(D981="OIL_WATER",D981="GAS_WATER"),"TRANSITION_INTERVAL","")))))))))</f>
        <v/>
      </c>
      <c r="G981" s="20">
        <f>IF(OR(F981="",Master_Data!R981="",Master_Data!S981=""),"",IF(RIGHT(F981,10)="TRANSITION",AVERAGE(Master_Data!R981:Master_Data!S981),AVERAGE(Master_Data!S981,Master_Data!R982)))</f>
        <v/>
      </c>
      <c r="H981" s="20">
        <f>IF(G981="","",MAX(Settings!$B$4,Settings!$B$5*AVERAGE(IF(Master_Data!O981&lt;&gt;"",Master_Data!O981,Master_Data!H981),IF(Master_Data!O982&lt;&gt;"",Master_Data!O982,Master_Data!H982))))</f>
        <v/>
      </c>
      <c r="I981" s="20">
        <f>IF(G981="","",G981-H981)</f>
        <v/>
      </c>
      <c r="J981" s="20">
        <f>IF(G981="","",G981+H981)</f>
        <v/>
      </c>
      <c r="K981" s="20">
        <f>IF($A981="","",Master_Data!G981)</f>
        <v/>
      </c>
      <c r="L981" s="20">
        <f>IF($A981="","",Master_Data!G982)</f>
        <v/>
      </c>
      <c r="M981" s="20">
        <f>IF(AND(ISNUMBER(K981),ISNUMBER(L981)),L981-K981,"")</f>
        <v/>
      </c>
      <c r="N981" s="19">
        <f>IF(G981="","",IF(AND(ISNUMBER(K981),ISNUMBER(L981)),IF(OR(F981="GOC",F981="OWC",F981="GWC",F981="OWC_TRANSITION",F981="GOC_TRANSITION"),IF(L981&gt;=K981,"Supports","Conflicts"),"N/A"),"No Sw"))</f>
        <v/>
      </c>
      <c r="O981" s="20">
        <f>IF(G981="","",Settings!$B$6*IF(OR(F981="GOC",F981="OWC",F981="GWC"),1,0.7)+Settings!$B$7*IF(N981="Supports",1,IF(N981="Conflicts",0,0.5))+Settings!$B$8*IF(AND(Master_Data!R981&lt;&gt;"",Master_Data!S981&lt;&gt;"",Master_Data!R982&lt;&gt;"",Master_Data!S982&lt;&gt;""),1,0.5))</f>
        <v/>
      </c>
      <c r="P981" s="19">
        <f>IF(G981="","",IF(N981="Conflicts","SW_CONFLICT",IF(OR(F981="GOC",F981="OWC",F981="GWC"),"DIRECT_FLUID_TRANSITION","TRANSITION_INTERVAL")))</f>
        <v/>
      </c>
      <c r="Q981" s="19">
        <f>IF(G981="","",IF(N981="Conflicts","Investigate contact interpretation / saturation behaviour",IF(OR(F981="OWC",F981="GOC",F981="GWC"),"Candidate contact — validate with logs, pressure and dynamic evidence","Transition zone — do not force to a sharp contact")))</f>
        <v/>
      </c>
    </row>
    <row r="982">
      <c r="A982" s="19">
        <f>IF(AND(Master_Data!A982&lt;&gt;"",Master_Data!A982=Master_Data!A983),Master_Data!A982,"")</f>
        <v/>
      </c>
      <c r="B982" s="19">
        <f>IF($A982="","",Master_Data!B982)</f>
        <v/>
      </c>
      <c r="C982" s="19">
        <f>IF($A982="","",Master_Data!B983)</f>
        <v/>
      </c>
      <c r="D982" s="19">
        <f>IF($A982="","",Master_Data!Q982)</f>
        <v/>
      </c>
      <c r="E982" s="19">
        <f>IF($A982="","",Master_Data!Q983)</f>
        <v/>
      </c>
      <c r="F982" s="19">
        <f>IF($A982="","",IF(AND(D982="GAS",E982="OIL"),"GOC",IF(AND(D982="OIL",E982="WATER"),"OWC",IF(AND(D982="GAS",E982="WATER"),"GWC",IF(AND(D982="OIL",E982="OIL_WATER"),"OWC_TRANSITION",IF(AND(D982="OIL_WATER",E982="WATER"),"OWC_TRANSITION",IF(AND(D982="GAS",E982="GAS_WATER"),"GOC_TRANSITION",IF(AND(D982="GAS_WATER",E982="OIL"),"GOC_TRANSITION",IF(OR(D982="OIL_WATER",D982="GAS_WATER"),"TRANSITION_INTERVAL","")))))))))</f>
        <v/>
      </c>
      <c r="G982" s="20">
        <f>IF(OR(F982="",Master_Data!R982="",Master_Data!S982=""),"",IF(RIGHT(F982,10)="TRANSITION",AVERAGE(Master_Data!R982:Master_Data!S982),AVERAGE(Master_Data!S982,Master_Data!R983)))</f>
        <v/>
      </c>
      <c r="H982" s="20">
        <f>IF(G982="","",MAX(Settings!$B$4,Settings!$B$5*AVERAGE(IF(Master_Data!O982&lt;&gt;"",Master_Data!O982,Master_Data!H982),IF(Master_Data!O983&lt;&gt;"",Master_Data!O983,Master_Data!H983))))</f>
        <v/>
      </c>
      <c r="I982" s="20">
        <f>IF(G982="","",G982-H982)</f>
        <v/>
      </c>
      <c r="J982" s="20">
        <f>IF(G982="","",G982+H982)</f>
        <v/>
      </c>
      <c r="K982" s="20">
        <f>IF($A982="","",Master_Data!G982)</f>
        <v/>
      </c>
      <c r="L982" s="20">
        <f>IF($A982="","",Master_Data!G983)</f>
        <v/>
      </c>
      <c r="M982" s="20">
        <f>IF(AND(ISNUMBER(K982),ISNUMBER(L982)),L982-K982,"")</f>
        <v/>
      </c>
      <c r="N982" s="19">
        <f>IF(G982="","",IF(AND(ISNUMBER(K982),ISNUMBER(L982)),IF(OR(F982="GOC",F982="OWC",F982="GWC",F982="OWC_TRANSITION",F982="GOC_TRANSITION"),IF(L982&gt;=K982,"Supports","Conflicts"),"N/A"),"No Sw"))</f>
        <v/>
      </c>
      <c r="O982" s="20">
        <f>IF(G982="","",Settings!$B$6*IF(OR(F982="GOC",F982="OWC",F982="GWC"),1,0.7)+Settings!$B$7*IF(N982="Supports",1,IF(N982="Conflicts",0,0.5))+Settings!$B$8*IF(AND(Master_Data!R982&lt;&gt;"",Master_Data!S982&lt;&gt;"",Master_Data!R983&lt;&gt;"",Master_Data!S983&lt;&gt;""),1,0.5))</f>
        <v/>
      </c>
      <c r="P982" s="19">
        <f>IF(G982="","",IF(N982="Conflicts","SW_CONFLICT",IF(OR(F982="GOC",F982="OWC",F982="GWC"),"DIRECT_FLUID_TRANSITION","TRANSITION_INTERVAL")))</f>
        <v/>
      </c>
      <c r="Q982" s="19">
        <f>IF(G982="","",IF(N982="Conflicts","Investigate contact interpretation / saturation behaviour",IF(OR(F982="OWC",F982="GOC",F982="GWC"),"Candidate contact — validate with logs, pressure and dynamic evidence","Transition zone — do not force to a sharp contact")))</f>
        <v/>
      </c>
    </row>
    <row r="983">
      <c r="A983" s="19">
        <f>IF(AND(Master_Data!A983&lt;&gt;"",Master_Data!A983=Master_Data!A984),Master_Data!A983,"")</f>
        <v/>
      </c>
      <c r="B983" s="19">
        <f>IF($A983="","",Master_Data!B983)</f>
        <v/>
      </c>
      <c r="C983" s="19">
        <f>IF($A983="","",Master_Data!B984)</f>
        <v/>
      </c>
      <c r="D983" s="19">
        <f>IF($A983="","",Master_Data!Q983)</f>
        <v/>
      </c>
      <c r="E983" s="19">
        <f>IF($A983="","",Master_Data!Q984)</f>
        <v/>
      </c>
      <c r="F983" s="19">
        <f>IF($A983="","",IF(AND(D983="GAS",E983="OIL"),"GOC",IF(AND(D983="OIL",E983="WATER"),"OWC",IF(AND(D983="GAS",E983="WATER"),"GWC",IF(AND(D983="OIL",E983="OIL_WATER"),"OWC_TRANSITION",IF(AND(D983="OIL_WATER",E983="WATER"),"OWC_TRANSITION",IF(AND(D983="GAS",E983="GAS_WATER"),"GOC_TRANSITION",IF(AND(D983="GAS_WATER",E983="OIL"),"GOC_TRANSITION",IF(OR(D983="OIL_WATER",D983="GAS_WATER"),"TRANSITION_INTERVAL","")))))))))</f>
        <v/>
      </c>
      <c r="G983" s="20">
        <f>IF(OR(F983="",Master_Data!R983="",Master_Data!S983=""),"",IF(RIGHT(F983,10)="TRANSITION",AVERAGE(Master_Data!R983:Master_Data!S983),AVERAGE(Master_Data!S983,Master_Data!R984)))</f>
        <v/>
      </c>
      <c r="H983" s="20">
        <f>IF(G983="","",MAX(Settings!$B$4,Settings!$B$5*AVERAGE(IF(Master_Data!O983&lt;&gt;"",Master_Data!O983,Master_Data!H983),IF(Master_Data!O984&lt;&gt;"",Master_Data!O984,Master_Data!H984))))</f>
        <v/>
      </c>
      <c r="I983" s="20">
        <f>IF(G983="","",G983-H983)</f>
        <v/>
      </c>
      <c r="J983" s="20">
        <f>IF(G983="","",G983+H983)</f>
        <v/>
      </c>
      <c r="K983" s="20">
        <f>IF($A983="","",Master_Data!G983)</f>
        <v/>
      </c>
      <c r="L983" s="20">
        <f>IF($A983="","",Master_Data!G984)</f>
        <v/>
      </c>
      <c r="M983" s="20">
        <f>IF(AND(ISNUMBER(K983),ISNUMBER(L983)),L983-K983,"")</f>
        <v/>
      </c>
      <c r="N983" s="19">
        <f>IF(G983="","",IF(AND(ISNUMBER(K983),ISNUMBER(L983)),IF(OR(F983="GOC",F983="OWC",F983="GWC",F983="OWC_TRANSITION",F983="GOC_TRANSITION"),IF(L983&gt;=K983,"Supports","Conflicts"),"N/A"),"No Sw"))</f>
        <v/>
      </c>
      <c r="O983" s="20">
        <f>IF(G983="","",Settings!$B$6*IF(OR(F983="GOC",F983="OWC",F983="GWC"),1,0.7)+Settings!$B$7*IF(N983="Supports",1,IF(N983="Conflicts",0,0.5))+Settings!$B$8*IF(AND(Master_Data!R983&lt;&gt;"",Master_Data!S983&lt;&gt;"",Master_Data!R984&lt;&gt;"",Master_Data!S984&lt;&gt;""),1,0.5))</f>
        <v/>
      </c>
      <c r="P983" s="19">
        <f>IF(G983="","",IF(N983="Conflicts","SW_CONFLICT",IF(OR(F983="GOC",F983="OWC",F983="GWC"),"DIRECT_FLUID_TRANSITION","TRANSITION_INTERVAL")))</f>
        <v/>
      </c>
      <c r="Q983" s="19">
        <f>IF(G983="","",IF(N983="Conflicts","Investigate contact interpretation / saturation behaviour",IF(OR(F983="OWC",F983="GOC",F983="GWC"),"Candidate contact — validate with logs, pressure and dynamic evidence","Transition zone — do not force to a sharp contact")))</f>
        <v/>
      </c>
    </row>
    <row r="984">
      <c r="A984" s="19">
        <f>IF(AND(Master_Data!A984&lt;&gt;"",Master_Data!A984=Master_Data!A985),Master_Data!A984,"")</f>
        <v/>
      </c>
      <c r="B984" s="19">
        <f>IF($A984="","",Master_Data!B984)</f>
        <v/>
      </c>
      <c r="C984" s="19">
        <f>IF($A984="","",Master_Data!B985)</f>
        <v/>
      </c>
      <c r="D984" s="19">
        <f>IF($A984="","",Master_Data!Q984)</f>
        <v/>
      </c>
      <c r="E984" s="19">
        <f>IF($A984="","",Master_Data!Q985)</f>
        <v/>
      </c>
      <c r="F984" s="19">
        <f>IF($A984="","",IF(AND(D984="GAS",E984="OIL"),"GOC",IF(AND(D984="OIL",E984="WATER"),"OWC",IF(AND(D984="GAS",E984="WATER"),"GWC",IF(AND(D984="OIL",E984="OIL_WATER"),"OWC_TRANSITION",IF(AND(D984="OIL_WATER",E984="WATER"),"OWC_TRANSITION",IF(AND(D984="GAS",E984="GAS_WATER"),"GOC_TRANSITION",IF(AND(D984="GAS_WATER",E984="OIL"),"GOC_TRANSITION",IF(OR(D984="OIL_WATER",D984="GAS_WATER"),"TRANSITION_INTERVAL","")))))))))</f>
        <v/>
      </c>
      <c r="G984" s="20">
        <f>IF(OR(F984="",Master_Data!R984="",Master_Data!S984=""),"",IF(RIGHT(F984,10)="TRANSITION",AVERAGE(Master_Data!R984:Master_Data!S984),AVERAGE(Master_Data!S984,Master_Data!R985)))</f>
        <v/>
      </c>
      <c r="H984" s="20">
        <f>IF(G984="","",MAX(Settings!$B$4,Settings!$B$5*AVERAGE(IF(Master_Data!O984&lt;&gt;"",Master_Data!O984,Master_Data!H984),IF(Master_Data!O985&lt;&gt;"",Master_Data!O985,Master_Data!H985))))</f>
        <v/>
      </c>
      <c r="I984" s="20">
        <f>IF(G984="","",G984-H984)</f>
        <v/>
      </c>
      <c r="J984" s="20">
        <f>IF(G984="","",G984+H984)</f>
        <v/>
      </c>
      <c r="K984" s="20">
        <f>IF($A984="","",Master_Data!G984)</f>
        <v/>
      </c>
      <c r="L984" s="20">
        <f>IF($A984="","",Master_Data!G985)</f>
        <v/>
      </c>
      <c r="M984" s="20">
        <f>IF(AND(ISNUMBER(K984),ISNUMBER(L984)),L984-K984,"")</f>
        <v/>
      </c>
      <c r="N984" s="19">
        <f>IF(G984="","",IF(AND(ISNUMBER(K984),ISNUMBER(L984)),IF(OR(F984="GOC",F984="OWC",F984="GWC",F984="OWC_TRANSITION",F984="GOC_TRANSITION"),IF(L984&gt;=K984,"Supports","Conflicts"),"N/A"),"No Sw"))</f>
        <v/>
      </c>
      <c r="O984" s="20">
        <f>IF(G984="","",Settings!$B$6*IF(OR(F984="GOC",F984="OWC",F984="GWC"),1,0.7)+Settings!$B$7*IF(N984="Supports",1,IF(N984="Conflicts",0,0.5))+Settings!$B$8*IF(AND(Master_Data!R984&lt;&gt;"",Master_Data!S984&lt;&gt;"",Master_Data!R985&lt;&gt;"",Master_Data!S985&lt;&gt;""),1,0.5))</f>
        <v/>
      </c>
      <c r="P984" s="19">
        <f>IF(G984="","",IF(N984="Conflicts","SW_CONFLICT",IF(OR(F984="GOC",F984="OWC",F984="GWC"),"DIRECT_FLUID_TRANSITION","TRANSITION_INTERVAL")))</f>
        <v/>
      </c>
      <c r="Q984" s="19">
        <f>IF(G984="","",IF(N984="Conflicts","Investigate contact interpretation / saturation behaviour",IF(OR(F984="OWC",F984="GOC",F984="GWC"),"Candidate contact — validate with logs, pressure and dynamic evidence","Transition zone — do not force to a sharp contact")))</f>
        <v/>
      </c>
    </row>
    <row r="985">
      <c r="A985" s="19">
        <f>IF(AND(Master_Data!A985&lt;&gt;"",Master_Data!A985=Master_Data!A986),Master_Data!A985,"")</f>
        <v/>
      </c>
      <c r="B985" s="19">
        <f>IF($A985="","",Master_Data!B985)</f>
        <v/>
      </c>
      <c r="C985" s="19">
        <f>IF($A985="","",Master_Data!B986)</f>
        <v/>
      </c>
      <c r="D985" s="19">
        <f>IF($A985="","",Master_Data!Q985)</f>
        <v/>
      </c>
      <c r="E985" s="19">
        <f>IF($A985="","",Master_Data!Q986)</f>
        <v/>
      </c>
      <c r="F985" s="19">
        <f>IF($A985="","",IF(AND(D985="GAS",E985="OIL"),"GOC",IF(AND(D985="OIL",E985="WATER"),"OWC",IF(AND(D985="GAS",E985="WATER"),"GWC",IF(AND(D985="OIL",E985="OIL_WATER"),"OWC_TRANSITION",IF(AND(D985="OIL_WATER",E985="WATER"),"OWC_TRANSITION",IF(AND(D985="GAS",E985="GAS_WATER"),"GOC_TRANSITION",IF(AND(D985="GAS_WATER",E985="OIL"),"GOC_TRANSITION",IF(OR(D985="OIL_WATER",D985="GAS_WATER"),"TRANSITION_INTERVAL","")))))))))</f>
        <v/>
      </c>
      <c r="G985" s="20">
        <f>IF(OR(F985="",Master_Data!R985="",Master_Data!S985=""),"",IF(RIGHT(F985,10)="TRANSITION",AVERAGE(Master_Data!R985:Master_Data!S985),AVERAGE(Master_Data!S985,Master_Data!R986)))</f>
        <v/>
      </c>
      <c r="H985" s="20">
        <f>IF(G985="","",MAX(Settings!$B$4,Settings!$B$5*AVERAGE(IF(Master_Data!O985&lt;&gt;"",Master_Data!O985,Master_Data!H985),IF(Master_Data!O986&lt;&gt;"",Master_Data!O986,Master_Data!H986))))</f>
        <v/>
      </c>
      <c r="I985" s="20">
        <f>IF(G985="","",G985-H985)</f>
        <v/>
      </c>
      <c r="J985" s="20">
        <f>IF(G985="","",G985+H985)</f>
        <v/>
      </c>
      <c r="K985" s="20">
        <f>IF($A985="","",Master_Data!G985)</f>
        <v/>
      </c>
      <c r="L985" s="20">
        <f>IF($A985="","",Master_Data!G986)</f>
        <v/>
      </c>
      <c r="M985" s="20">
        <f>IF(AND(ISNUMBER(K985),ISNUMBER(L985)),L985-K985,"")</f>
        <v/>
      </c>
      <c r="N985" s="19">
        <f>IF(G985="","",IF(AND(ISNUMBER(K985),ISNUMBER(L985)),IF(OR(F985="GOC",F985="OWC",F985="GWC",F985="OWC_TRANSITION",F985="GOC_TRANSITION"),IF(L985&gt;=K985,"Supports","Conflicts"),"N/A"),"No Sw"))</f>
        <v/>
      </c>
      <c r="O985" s="20">
        <f>IF(G985="","",Settings!$B$6*IF(OR(F985="GOC",F985="OWC",F985="GWC"),1,0.7)+Settings!$B$7*IF(N985="Supports",1,IF(N985="Conflicts",0,0.5))+Settings!$B$8*IF(AND(Master_Data!R985&lt;&gt;"",Master_Data!S985&lt;&gt;"",Master_Data!R986&lt;&gt;"",Master_Data!S986&lt;&gt;""),1,0.5))</f>
        <v/>
      </c>
      <c r="P985" s="19">
        <f>IF(G985="","",IF(N985="Conflicts","SW_CONFLICT",IF(OR(F985="GOC",F985="OWC",F985="GWC"),"DIRECT_FLUID_TRANSITION","TRANSITION_INTERVAL")))</f>
        <v/>
      </c>
      <c r="Q985" s="19">
        <f>IF(G985="","",IF(N985="Conflicts","Investigate contact interpretation / saturation behaviour",IF(OR(F985="OWC",F985="GOC",F985="GWC"),"Candidate contact — validate with logs, pressure and dynamic evidence","Transition zone — do not force to a sharp contact")))</f>
        <v/>
      </c>
    </row>
    <row r="986">
      <c r="A986" s="19">
        <f>IF(AND(Master_Data!A986&lt;&gt;"",Master_Data!A986=Master_Data!A987),Master_Data!A986,"")</f>
        <v/>
      </c>
      <c r="B986" s="19">
        <f>IF($A986="","",Master_Data!B986)</f>
        <v/>
      </c>
      <c r="C986" s="19">
        <f>IF($A986="","",Master_Data!B987)</f>
        <v/>
      </c>
      <c r="D986" s="19">
        <f>IF($A986="","",Master_Data!Q986)</f>
        <v/>
      </c>
      <c r="E986" s="19">
        <f>IF($A986="","",Master_Data!Q987)</f>
        <v/>
      </c>
      <c r="F986" s="19">
        <f>IF($A986="","",IF(AND(D986="GAS",E986="OIL"),"GOC",IF(AND(D986="OIL",E986="WATER"),"OWC",IF(AND(D986="GAS",E986="WATER"),"GWC",IF(AND(D986="OIL",E986="OIL_WATER"),"OWC_TRANSITION",IF(AND(D986="OIL_WATER",E986="WATER"),"OWC_TRANSITION",IF(AND(D986="GAS",E986="GAS_WATER"),"GOC_TRANSITION",IF(AND(D986="GAS_WATER",E986="OIL"),"GOC_TRANSITION",IF(OR(D986="OIL_WATER",D986="GAS_WATER"),"TRANSITION_INTERVAL","")))))))))</f>
        <v/>
      </c>
      <c r="G986" s="20">
        <f>IF(OR(F986="",Master_Data!R986="",Master_Data!S986=""),"",IF(RIGHT(F986,10)="TRANSITION",AVERAGE(Master_Data!R986:Master_Data!S986),AVERAGE(Master_Data!S986,Master_Data!R987)))</f>
        <v/>
      </c>
      <c r="H986" s="20">
        <f>IF(G986="","",MAX(Settings!$B$4,Settings!$B$5*AVERAGE(IF(Master_Data!O986&lt;&gt;"",Master_Data!O986,Master_Data!H986),IF(Master_Data!O987&lt;&gt;"",Master_Data!O987,Master_Data!H987))))</f>
        <v/>
      </c>
      <c r="I986" s="20">
        <f>IF(G986="","",G986-H986)</f>
        <v/>
      </c>
      <c r="J986" s="20">
        <f>IF(G986="","",G986+H986)</f>
        <v/>
      </c>
      <c r="K986" s="20">
        <f>IF($A986="","",Master_Data!G986)</f>
        <v/>
      </c>
      <c r="L986" s="20">
        <f>IF($A986="","",Master_Data!G987)</f>
        <v/>
      </c>
      <c r="M986" s="20">
        <f>IF(AND(ISNUMBER(K986),ISNUMBER(L986)),L986-K986,"")</f>
        <v/>
      </c>
      <c r="N986" s="19">
        <f>IF(G986="","",IF(AND(ISNUMBER(K986),ISNUMBER(L986)),IF(OR(F986="GOC",F986="OWC",F986="GWC",F986="OWC_TRANSITION",F986="GOC_TRANSITION"),IF(L986&gt;=K986,"Supports","Conflicts"),"N/A"),"No Sw"))</f>
        <v/>
      </c>
      <c r="O986" s="20">
        <f>IF(G986="","",Settings!$B$6*IF(OR(F986="GOC",F986="OWC",F986="GWC"),1,0.7)+Settings!$B$7*IF(N986="Supports",1,IF(N986="Conflicts",0,0.5))+Settings!$B$8*IF(AND(Master_Data!R986&lt;&gt;"",Master_Data!S986&lt;&gt;"",Master_Data!R987&lt;&gt;"",Master_Data!S987&lt;&gt;""),1,0.5))</f>
        <v/>
      </c>
      <c r="P986" s="19">
        <f>IF(G986="","",IF(N986="Conflicts","SW_CONFLICT",IF(OR(F986="GOC",F986="OWC",F986="GWC"),"DIRECT_FLUID_TRANSITION","TRANSITION_INTERVAL")))</f>
        <v/>
      </c>
      <c r="Q986" s="19">
        <f>IF(G986="","",IF(N986="Conflicts","Investigate contact interpretation / saturation behaviour",IF(OR(F986="OWC",F986="GOC",F986="GWC"),"Candidate contact — validate with logs, pressure and dynamic evidence","Transition zone — do not force to a sharp contact")))</f>
        <v/>
      </c>
    </row>
    <row r="987">
      <c r="A987" s="19">
        <f>IF(AND(Master_Data!A987&lt;&gt;"",Master_Data!A987=Master_Data!A988),Master_Data!A987,"")</f>
        <v/>
      </c>
      <c r="B987" s="19">
        <f>IF($A987="","",Master_Data!B987)</f>
        <v/>
      </c>
      <c r="C987" s="19">
        <f>IF($A987="","",Master_Data!B988)</f>
        <v/>
      </c>
      <c r="D987" s="19">
        <f>IF($A987="","",Master_Data!Q987)</f>
        <v/>
      </c>
      <c r="E987" s="19">
        <f>IF($A987="","",Master_Data!Q988)</f>
        <v/>
      </c>
      <c r="F987" s="19">
        <f>IF($A987="","",IF(AND(D987="GAS",E987="OIL"),"GOC",IF(AND(D987="OIL",E987="WATER"),"OWC",IF(AND(D987="GAS",E987="WATER"),"GWC",IF(AND(D987="OIL",E987="OIL_WATER"),"OWC_TRANSITION",IF(AND(D987="OIL_WATER",E987="WATER"),"OWC_TRANSITION",IF(AND(D987="GAS",E987="GAS_WATER"),"GOC_TRANSITION",IF(AND(D987="GAS_WATER",E987="OIL"),"GOC_TRANSITION",IF(OR(D987="OIL_WATER",D987="GAS_WATER"),"TRANSITION_INTERVAL","")))))))))</f>
        <v/>
      </c>
      <c r="G987" s="20">
        <f>IF(OR(F987="",Master_Data!R987="",Master_Data!S987=""),"",IF(RIGHT(F987,10)="TRANSITION",AVERAGE(Master_Data!R987:Master_Data!S987),AVERAGE(Master_Data!S987,Master_Data!R988)))</f>
        <v/>
      </c>
      <c r="H987" s="20">
        <f>IF(G987="","",MAX(Settings!$B$4,Settings!$B$5*AVERAGE(IF(Master_Data!O987&lt;&gt;"",Master_Data!O987,Master_Data!H987),IF(Master_Data!O988&lt;&gt;"",Master_Data!O988,Master_Data!H988))))</f>
        <v/>
      </c>
      <c r="I987" s="20">
        <f>IF(G987="","",G987-H987)</f>
        <v/>
      </c>
      <c r="J987" s="20">
        <f>IF(G987="","",G987+H987)</f>
        <v/>
      </c>
      <c r="K987" s="20">
        <f>IF($A987="","",Master_Data!G987)</f>
        <v/>
      </c>
      <c r="L987" s="20">
        <f>IF($A987="","",Master_Data!G988)</f>
        <v/>
      </c>
      <c r="M987" s="20">
        <f>IF(AND(ISNUMBER(K987),ISNUMBER(L987)),L987-K987,"")</f>
        <v/>
      </c>
      <c r="N987" s="19">
        <f>IF(G987="","",IF(AND(ISNUMBER(K987),ISNUMBER(L987)),IF(OR(F987="GOC",F987="OWC",F987="GWC",F987="OWC_TRANSITION",F987="GOC_TRANSITION"),IF(L987&gt;=K987,"Supports","Conflicts"),"N/A"),"No Sw"))</f>
        <v/>
      </c>
      <c r="O987" s="20">
        <f>IF(G987="","",Settings!$B$6*IF(OR(F987="GOC",F987="OWC",F987="GWC"),1,0.7)+Settings!$B$7*IF(N987="Supports",1,IF(N987="Conflicts",0,0.5))+Settings!$B$8*IF(AND(Master_Data!R987&lt;&gt;"",Master_Data!S987&lt;&gt;"",Master_Data!R988&lt;&gt;"",Master_Data!S988&lt;&gt;""),1,0.5))</f>
        <v/>
      </c>
      <c r="P987" s="19">
        <f>IF(G987="","",IF(N987="Conflicts","SW_CONFLICT",IF(OR(F987="GOC",F987="OWC",F987="GWC"),"DIRECT_FLUID_TRANSITION","TRANSITION_INTERVAL")))</f>
        <v/>
      </c>
      <c r="Q987" s="19">
        <f>IF(G987="","",IF(N987="Conflicts","Investigate contact interpretation / saturation behaviour",IF(OR(F987="OWC",F987="GOC",F987="GWC"),"Candidate contact — validate with logs, pressure and dynamic evidence","Transition zone — do not force to a sharp contact")))</f>
        <v/>
      </c>
    </row>
    <row r="988">
      <c r="A988" s="19">
        <f>IF(AND(Master_Data!A988&lt;&gt;"",Master_Data!A988=Master_Data!A989),Master_Data!A988,"")</f>
        <v/>
      </c>
      <c r="B988" s="19">
        <f>IF($A988="","",Master_Data!B988)</f>
        <v/>
      </c>
      <c r="C988" s="19">
        <f>IF($A988="","",Master_Data!B989)</f>
        <v/>
      </c>
      <c r="D988" s="19">
        <f>IF($A988="","",Master_Data!Q988)</f>
        <v/>
      </c>
      <c r="E988" s="19">
        <f>IF($A988="","",Master_Data!Q989)</f>
        <v/>
      </c>
      <c r="F988" s="19">
        <f>IF($A988="","",IF(AND(D988="GAS",E988="OIL"),"GOC",IF(AND(D988="OIL",E988="WATER"),"OWC",IF(AND(D988="GAS",E988="WATER"),"GWC",IF(AND(D988="OIL",E988="OIL_WATER"),"OWC_TRANSITION",IF(AND(D988="OIL_WATER",E988="WATER"),"OWC_TRANSITION",IF(AND(D988="GAS",E988="GAS_WATER"),"GOC_TRANSITION",IF(AND(D988="GAS_WATER",E988="OIL"),"GOC_TRANSITION",IF(OR(D988="OIL_WATER",D988="GAS_WATER"),"TRANSITION_INTERVAL","")))))))))</f>
        <v/>
      </c>
      <c r="G988" s="20">
        <f>IF(OR(F988="",Master_Data!R988="",Master_Data!S988=""),"",IF(RIGHT(F988,10)="TRANSITION",AVERAGE(Master_Data!R988:Master_Data!S988),AVERAGE(Master_Data!S988,Master_Data!R989)))</f>
        <v/>
      </c>
      <c r="H988" s="20">
        <f>IF(G988="","",MAX(Settings!$B$4,Settings!$B$5*AVERAGE(IF(Master_Data!O988&lt;&gt;"",Master_Data!O988,Master_Data!H988),IF(Master_Data!O989&lt;&gt;"",Master_Data!O989,Master_Data!H989))))</f>
        <v/>
      </c>
      <c r="I988" s="20">
        <f>IF(G988="","",G988-H988)</f>
        <v/>
      </c>
      <c r="J988" s="20">
        <f>IF(G988="","",G988+H988)</f>
        <v/>
      </c>
      <c r="K988" s="20">
        <f>IF($A988="","",Master_Data!G988)</f>
        <v/>
      </c>
      <c r="L988" s="20">
        <f>IF($A988="","",Master_Data!G989)</f>
        <v/>
      </c>
      <c r="M988" s="20">
        <f>IF(AND(ISNUMBER(K988),ISNUMBER(L988)),L988-K988,"")</f>
        <v/>
      </c>
      <c r="N988" s="19">
        <f>IF(G988="","",IF(AND(ISNUMBER(K988),ISNUMBER(L988)),IF(OR(F988="GOC",F988="OWC",F988="GWC",F988="OWC_TRANSITION",F988="GOC_TRANSITION"),IF(L988&gt;=K988,"Supports","Conflicts"),"N/A"),"No Sw"))</f>
        <v/>
      </c>
      <c r="O988" s="20">
        <f>IF(G988="","",Settings!$B$6*IF(OR(F988="GOC",F988="OWC",F988="GWC"),1,0.7)+Settings!$B$7*IF(N988="Supports",1,IF(N988="Conflicts",0,0.5))+Settings!$B$8*IF(AND(Master_Data!R988&lt;&gt;"",Master_Data!S988&lt;&gt;"",Master_Data!R989&lt;&gt;"",Master_Data!S989&lt;&gt;""),1,0.5))</f>
        <v/>
      </c>
      <c r="P988" s="19">
        <f>IF(G988="","",IF(N988="Conflicts","SW_CONFLICT",IF(OR(F988="GOC",F988="OWC",F988="GWC"),"DIRECT_FLUID_TRANSITION","TRANSITION_INTERVAL")))</f>
        <v/>
      </c>
      <c r="Q988" s="19">
        <f>IF(G988="","",IF(N988="Conflicts","Investigate contact interpretation / saturation behaviour",IF(OR(F988="OWC",F988="GOC",F988="GWC"),"Candidate contact — validate with logs, pressure and dynamic evidence","Transition zone — do not force to a sharp contact")))</f>
        <v/>
      </c>
    </row>
    <row r="989">
      <c r="A989" s="19">
        <f>IF(AND(Master_Data!A989&lt;&gt;"",Master_Data!A989=Master_Data!A990),Master_Data!A989,"")</f>
        <v/>
      </c>
      <c r="B989" s="19">
        <f>IF($A989="","",Master_Data!B989)</f>
        <v/>
      </c>
      <c r="C989" s="19">
        <f>IF($A989="","",Master_Data!B990)</f>
        <v/>
      </c>
      <c r="D989" s="19">
        <f>IF($A989="","",Master_Data!Q989)</f>
        <v/>
      </c>
      <c r="E989" s="19">
        <f>IF($A989="","",Master_Data!Q990)</f>
        <v/>
      </c>
      <c r="F989" s="19">
        <f>IF($A989="","",IF(AND(D989="GAS",E989="OIL"),"GOC",IF(AND(D989="OIL",E989="WATER"),"OWC",IF(AND(D989="GAS",E989="WATER"),"GWC",IF(AND(D989="OIL",E989="OIL_WATER"),"OWC_TRANSITION",IF(AND(D989="OIL_WATER",E989="WATER"),"OWC_TRANSITION",IF(AND(D989="GAS",E989="GAS_WATER"),"GOC_TRANSITION",IF(AND(D989="GAS_WATER",E989="OIL"),"GOC_TRANSITION",IF(OR(D989="OIL_WATER",D989="GAS_WATER"),"TRANSITION_INTERVAL","")))))))))</f>
        <v/>
      </c>
      <c r="G989" s="20">
        <f>IF(OR(F989="",Master_Data!R989="",Master_Data!S989=""),"",IF(RIGHT(F989,10)="TRANSITION",AVERAGE(Master_Data!R989:Master_Data!S989),AVERAGE(Master_Data!S989,Master_Data!R990)))</f>
        <v/>
      </c>
      <c r="H989" s="20">
        <f>IF(G989="","",MAX(Settings!$B$4,Settings!$B$5*AVERAGE(IF(Master_Data!O989&lt;&gt;"",Master_Data!O989,Master_Data!H989),IF(Master_Data!O990&lt;&gt;"",Master_Data!O990,Master_Data!H990))))</f>
        <v/>
      </c>
      <c r="I989" s="20">
        <f>IF(G989="","",G989-H989)</f>
        <v/>
      </c>
      <c r="J989" s="20">
        <f>IF(G989="","",G989+H989)</f>
        <v/>
      </c>
      <c r="K989" s="20">
        <f>IF($A989="","",Master_Data!G989)</f>
        <v/>
      </c>
      <c r="L989" s="20">
        <f>IF($A989="","",Master_Data!G990)</f>
        <v/>
      </c>
      <c r="M989" s="20">
        <f>IF(AND(ISNUMBER(K989),ISNUMBER(L989)),L989-K989,"")</f>
        <v/>
      </c>
      <c r="N989" s="19">
        <f>IF(G989="","",IF(AND(ISNUMBER(K989),ISNUMBER(L989)),IF(OR(F989="GOC",F989="OWC",F989="GWC",F989="OWC_TRANSITION",F989="GOC_TRANSITION"),IF(L989&gt;=K989,"Supports","Conflicts"),"N/A"),"No Sw"))</f>
        <v/>
      </c>
      <c r="O989" s="20">
        <f>IF(G989="","",Settings!$B$6*IF(OR(F989="GOC",F989="OWC",F989="GWC"),1,0.7)+Settings!$B$7*IF(N989="Supports",1,IF(N989="Conflicts",0,0.5))+Settings!$B$8*IF(AND(Master_Data!R989&lt;&gt;"",Master_Data!S989&lt;&gt;"",Master_Data!R990&lt;&gt;"",Master_Data!S990&lt;&gt;""),1,0.5))</f>
        <v/>
      </c>
      <c r="P989" s="19">
        <f>IF(G989="","",IF(N989="Conflicts","SW_CONFLICT",IF(OR(F989="GOC",F989="OWC",F989="GWC"),"DIRECT_FLUID_TRANSITION","TRANSITION_INTERVAL")))</f>
        <v/>
      </c>
      <c r="Q989" s="19">
        <f>IF(G989="","",IF(N989="Conflicts","Investigate contact interpretation / saturation behaviour",IF(OR(F989="OWC",F989="GOC",F989="GWC"),"Candidate contact — validate with logs, pressure and dynamic evidence","Transition zone — do not force to a sharp contact")))</f>
        <v/>
      </c>
    </row>
    <row r="990">
      <c r="A990" s="19">
        <f>IF(AND(Master_Data!A990&lt;&gt;"",Master_Data!A990=Master_Data!A991),Master_Data!A990,"")</f>
        <v/>
      </c>
      <c r="B990" s="19">
        <f>IF($A990="","",Master_Data!B990)</f>
        <v/>
      </c>
      <c r="C990" s="19">
        <f>IF($A990="","",Master_Data!B991)</f>
        <v/>
      </c>
      <c r="D990" s="19">
        <f>IF($A990="","",Master_Data!Q990)</f>
        <v/>
      </c>
      <c r="E990" s="19">
        <f>IF($A990="","",Master_Data!Q991)</f>
        <v/>
      </c>
      <c r="F990" s="19">
        <f>IF($A990="","",IF(AND(D990="GAS",E990="OIL"),"GOC",IF(AND(D990="OIL",E990="WATER"),"OWC",IF(AND(D990="GAS",E990="WATER"),"GWC",IF(AND(D990="OIL",E990="OIL_WATER"),"OWC_TRANSITION",IF(AND(D990="OIL_WATER",E990="WATER"),"OWC_TRANSITION",IF(AND(D990="GAS",E990="GAS_WATER"),"GOC_TRANSITION",IF(AND(D990="GAS_WATER",E990="OIL"),"GOC_TRANSITION",IF(OR(D990="OIL_WATER",D990="GAS_WATER"),"TRANSITION_INTERVAL","")))))))))</f>
        <v/>
      </c>
      <c r="G990" s="20">
        <f>IF(OR(F990="",Master_Data!R990="",Master_Data!S990=""),"",IF(RIGHT(F990,10)="TRANSITION",AVERAGE(Master_Data!R990:Master_Data!S990),AVERAGE(Master_Data!S990,Master_Data!R991)))</f>
        <v/>
      </c>
      <c r="H990" s="20">
        <f>IF(G990="","",MAX(Settings!$B$4,Settings!$B$5*AVERAGE(IF(Master_Data!O990&lt;&gt;"",Master_Data!O990,Master_Data!H990),IF(Master_Data!O991&lt;&gt;"",Master_Data!O991,Master_Data!H991))))</f>
        <v/>
      </c>
      <c r="I990" s="20">
        <f>IF(G990="","",G990-H990)</f>
        <v/>
      </c>
      <c r="J990" s="20">
        <f>IF(G990="","",G990+H990)</f>
        <v/>
      </c>
      <c r="K990" s="20">
        <f>IF($A990="","",Master_Data!G990)</f>
        <v/>
      </c>
      <c r="L990" s="20">
        <f>IF($A990="","",Master_Data!G991)</f>
        <v/>
      </c>
      <c r="M990" s="20">
        <f>IF(AND(ISNUMBER(K990),ISNUMBER(L990)),L990-K990,"")</f>
        <v/>
      </c>
      <c r="N990" s="19">
        <f>IF(G990="","",IF(AND(ISNUMBER(K990),ISNUMBER(L990)),IF(OR(F990="GOC",F990="OWC",F990="GWC",F990="OWC_TRANSITION",F990="GOC_TRANSITION"),IF(L990&gt;=K990,"Supports","Conflicts"),"N/A"),"No Sw"))</f>
        <v/>
      </c>
      <c r="O990" s="20">
        <f>IF(G990="","",Settings!$B$6*IF(OR(F990="GOC",F990="OWC",F990="GWC"),1,0.7)+Settings!$B$7*IF(N990="Supports",1,IF(N990="Conflicts",0,0.5))+Settings!$B$8*IF(AND(Master_Data!R990&lt;&gt;"",Master_Data!S990&lt;&gt;"",Master_Data!R991&lt;&gt;"",Master_Data!S991&lt;&gt;""),1,0.5))</f>
        <v/>
      </c>
      <c r="P990" s="19">
        <f>IF(G990="","",IF(N990="Conflicts","SW_CONFLICT",IF(OR(F990="GOC",F990="OWC",F990="GWC"),"DIRECT_FLUID_TRANSITION","TRANSITION_INTERVAL")))</f>
        <v/>
      </c>
      <c r="Q990" s="19">
        <f>IF(G990="","",IF(N990="Conflicts","Investigate contact interpretation / saturation behaviour",IF(OR(F990="OWC",F990="GOC",F990="GWC"),"Candidate contact — validate with logs, pressure and dynamic evidence","Transition zone — do not force to a sharp contact")))</f>
        <v/>
      </c>
    </row>
    <row r="991">
      <c r="A991" s="19">
        <f>IF(AND(Master_Data!A991&lt;&gt;"",Master_Data!A991=Master_Data!A992),Master_Data!A991,"")</f>
        <v/>
      </c>
      <c r="B991" s="19">
        <f>IF($A991="","",Master_Data!B991)</f>
        <v/>
      </c>
      <c r="C991" s="19">
        <f>IF($A991="","",Master_Data!B992)</f>
        <v/>
      </c>
      <c r="D991" s="19">
        <f>IF($A991="","",Master_Data!Q991)</f>
        <v/>
      </c>
      <c r="E991" s="19">
        <f>IF($A991="","",Master_Data!Q992)</f>
        <v/>
      </c>
      <c r="F991" s="19">
        <f>IF($A991="","",IF(AND(D991="GAS",E991="OIL"),"GOC",IF(AND(D991="OIL",E991="WATER"),"OWC",IF(AND(D991="GAS",E991="WATER"),"GWC",IF(AND(D991="OIL",E991="OIL_WATER"),"OWC_TRANSITION",IF(AND(D991="OIL_WATER",E991="WATER"),"OWC_TRANSITION",IF(AND(D991="GAS",E991="GAS_WATER"),"GOC_TRANSITION",IF(AND(D991="GAS_WATER",E991="OIL"),"GOC_TRANSITION",IF(OR(D991="OIL_WATER",D991="GAS_WATER"),"TRANSITION_INTERVAL","")))))))))</f>
        <v/>
      </c>
      <c r="G991" s="20">
        <f>IF(OR(F991="",Master_Data!R991="",Master_Data!S991=""),"",IF(RIGHT(F991,10)="TRANSITION",AVERAGE(Master_Data!R991:Master_Data!S991),AVERAGE(Master_Data!S991,Master_Data!R992)))</f>
        <v/>
      </c>
      <c r="H991" s="20">
        <f>IF(G991="","",MAX(Settings!$B$4,Settings!$B$5*AVERAGE(IF(Master_Data!O991&lt;&gt;"",Master_Data!O991,Master_Data!H991),IF(Master_Data!O992&lt;&gt;"",Master_Data!O992,Master_Data!H992))))</f>
        <v/>
      </c>
      <c r="I991" s="20">
        <f>IF(G991="","",G991-H991)</f>
        <v/>
      </c>
      <c r="J991" s="20">
        <f>IF(G991="","",G991+H991)</f>
        <v/>
      </c>
      <c r="K991" s="20">
        <f>IF($A991="","",Master_Data!G991)</f>
        <v/>
      </c>
      <c r="L991" s="20">
        <f>IF($A991="","",Master_Data!G992)</f>
        <v/>
      </c>
      <c r="M991" s="20">
        <f>IF(AND(ISNUMBER(K991),ISNUMBER(L991)),L991-K991,"")</f>
        <v/>
      </c>
      <c r="N991" s="19">
        <f>IF(G991="","",IF(AND(ISNUMBER(K991),ISNUMBER(L991)),IF(OR(F991="GOC",F991="OWC",F991="GWC",F991="OWC_TRANSITION",F991="GOC_TRANSITION"),IF(L991&gt;=K991,"Supports","Conflicts"),"N/A"),"No Sw"))</f>
        <v/>
      </c>
      <c r="O991" s="20">
        <f>IF(G991="","",Settings!$B$6*IF(OR(F991="GOC",F991="OWC",F991="GWC"),1,0.7)+Settings!$B$7*IF(N991="Supports",1,IF(N991="Conflicts",0,0.5))+Settings!$B$8*IF(AND(Master_Data!R991&lt;&gt;"",Master_Data!S991&lt;&gt;"",Master_Data!R992&lt;&gt;"",Master_Data!S992&lt;&gt;""),1,0.5))</f>
        <v/>
      </c>
      <c r="P991" s="19">
        <f>IF(G991="","",IF(N991="Conflicts","SW_CONFLICT",IF(OR(F991="GOC",F991="OWC",F991="GWC"),"DIRECT_FLUID_TRANSITION","TRANSITION_INTERVAL")))</f>
        <v/>
      </c>
      <c r="Q991" s="19">
        <f>IF(G991="","",IF(N991="Conflicts","Investigate contact interpretation / saturation behaviour",IF(OR(F991="OWC",F991="GOC",F991="GWC"),"Candidate contact — validate with logs, pressure and dynamic evidence","Transition zone — do not force to a sharp contact")))</f>
        <v/>
      </c>
    </row>
    <row r="992">
      <c r="A992" s="19">
        <f>IF(AND(Master_Data!A992&lt;&gt;"",Master_Data!A992=Master_Data!A993),Master_Data!A992,"")</f>
        <v/>
      </c>
      <c r="B992" s="19">
        <f>IF($A992="","",Master_Data!B992)</f>
        <v/>
      </c>
      <c r="C992" s="19">
        <f>IF($A992="","",Master_Data!B993)</f>
        <v/>
      </c>
      <c r="D992" s="19">
        <f>IF($A992="","",Master_Data!Q992)</f>
        <v/>
      </c>
      <c r="E992" s="19">
        <f>IF($A992="","",Master_Data!Q993)</f>
        <v/>
      </c>
      <c r="F992" s="19">
        <f>IF($A992="","",IF(AND(D992="GAS",E992="OIL"),"GOC",IF(AND(D992="OIL",E992="WATER"),"OWC",IF(AND(D992="GAS",E992="WATER"),"GWC",IF(AND(D992="OIL",E992="OIL_WATER"),"OWC_TRANSITION",IF(AND(D992="OIL_WATER",E992="WATER"),"OWC_TRANSITION",IF(AND(D992="GAS",E992="GAS_WATER"),"GOC_TRANSITION",IF(AND(D992="GAS_WATER",E992="OIL"),"GOC_TRANSITION",IF(OR(D992="OIL_WATER",D992="GAS_WATER"),"TRANSITION_INTERVAL","")))))))))</f>
        <v/>
      </c>
      <c r="G992" s="20">
        <f>IF(OR(F992="",Master_Data!R992="",Master_Data!S992=""),"",IF(RIGHT(F992,10)="TRANSITION",AVERAGE(Master_Data!R992:Master_Data!S992),AVERAGE(Master_Data!S992,Master_Data!R993)))</f>
        <v/>
      </c>
      <c r="H992" s="20">
        <f>IF(G992="","",MAX(Settings!$B$4,Settings!$B$5*AVERAGE(IF(Master_Data!O992&lt;&gt;"",Master_Data!O992,Master_Data!H992),IF(Master_Data!O993&lt;&gt;"",Master_Data!O993,Master_Data!H993))))</f>
        <v/>
      </c>
      <c r="I992" s="20">
        <f>IF(G992="","",G992-H992)</f>
        <v/>
      </c>
      <c r="J992" s="20">
        <f>IF(G992="","",G992+H992)</f>
        <v/>
      </c>
      <c r="K992" s="20">
        <f>IF($A992="","",Master_Data!G992)</f>
        <v/>
      </c>
      <c r="L992" s="20">
        <f>IF($A992="","",Master_Data!G993)</f>
        <v/>
      </c>
      <c r="M992" s="20">
        <f>IF(AND(ISNUMBER(K992),ISNUMBER(L992)),L992-K992,"")</f>
        <v/>
      </c>
      <c r="N992" s="19">
        <f>IF(G992="","",IF(AND(ISNUMBER(K992),ISNUMBER(L992)),IF(OR(F992="GOC",F992="OWC",F992="GWC",F992="OWC_TRANSITION",F992="GOC_TRANSITION"),IF(L992&gt;=K992,"Supports","Conflicts"),"N/A"),"No Sw"))</f>
        <v/>
      </c>
      <c r="O992" s="20">
        <f>IF(G992="","",Settings!$B$6*IF(OR(F992="GOC",F992="OWC",F992="GWC"),1,0.7)+Settings!$B$7*IF(N992="Supports",1,IF(N992="Conflicts",0,0.5))+Settings!$B$8*IF(AND(Master_Data!R992&lt;&gt;"",Master_Data!S992&lt;&gt;"",Master_Data!R993&lt;&gt;"",Master_Data!S993&lt;&gt;""),1,0.5))</f>
        <v/>
      </c>
      <c r="P992" s="19">
        <f>IF(G992="","",IF(N992="Conflicts","SW_CONFLICT",IF(OR(F992="GOC",F992="OWC",F992="GWC"),"DIRECT_FLUID_TRANSITION","TRANSITION_INTERVAL")))</f>
        <v/>
      </c>
      <c r="Q992" s="19">
        <f>IF(G992="","",IF(N992="Conflicts","Investigate contact interpretation / saturation behaviour",IF(OR(F992="OWC",F992="GOC",F992="GWC"),"Candidate contact — validate with logs, pressure and dynamic evidence","Transition zone — do not force to a sharp contact")))</f>
        <v/>
      </c>
    </row>
    <row r="993">
      <c r="A993" s="19">
        <f>IF(AND(Master_Data!A993&lt;&gt;"",Master_Data!A993=Master_Data!A994),Master_Data!A993,"")</f>
        <v/>
      </c>
      <c r="B993" s="19">
        <f>IF($A993="","",Master_Data!B993)</f>
        <v/>
      </c>
      <c r="C993" s="19">
        <f>IF($A993="","",Master_Data!B994)</f>
        <v/>
      </c>
      <c r="D993" s="19">
        <f>IF($A993="","",Master_Data!Q993)</f>
        <v/>
      </c>
      <c r="E993" s="19">
        <f>IF($A993="","",Master_Data!Q994)</f>
        <v/>
      </c>
      <c r="F993" s="19">
        <f>IF($A993="","",IF(AND(D993="GAS",E993="OIL"),"GOC",IF(AND(D993="OIL",E993="WATER"),"OWC",IF(AND(D993="GAS",E993="WATER"),"GWC",IF(AND(D993="OIL",E993="OIL_WATER"),"OWC_TRANSITION",IF(AND(D993="OIL_WATER",E993="WATER"),"OWC_TRANSITION",IF(AND(D993="GAS",E993="GAS_WATER"),"GOC_TRANSITION",IF(AND(D993="GAS_WATER",E993="OIL"),"GOC_TRANSITION",IF(OR(D993="OIL_WATER",D993="GAS_WATER"),"TRANSITION_INTERVAL","")))))))))</f>
        <v/>
      </c>
      <c r="G993" s="20">
        <f>IF(OR(F993="",Master_Data!R993="",Master_Data!S993=""),"",IF(RIGHT(F993,10)="TRANSITION",AVERAGE(Master_Data!R993:Master_Data!S993),AVERAGE(Master_Data!S993,Master_Data!R994)))</f>
        <v/>
      </c>
      <c r="H993" s="20">
        <f>IF(G993="","",MAX(Settings!$B$4,Settings!$B$5*AVERAGE(IF(Master_Data!O993&lt;&gt;"",Master_Data!O993,Master_Data!H993),IF(Master_Data!O994&lt;&gt;"",Master_Data!O994,Master_Data!H994))))</f>
        <v/>
      </c>
      <c r="I993" s="20">
        <f>IF(G993="","",G993-H993)</f>
        <v/>
      </c>
      <c r="J993" s="20">
        <f>IF(G993="","",G993+H993)</f>
        <v/>
      </c>
      <c r="K993" s="20">
        <f>IF($A993="","",Master_Data!G993)</f>
        <v/>
      </c>
      <c r="L993" s="20">
        <f>IF($A993="","",Master_Data!G994)</f>
        <v/>
      </c>
      <c r="M993" s="20">
        <f>IF(AND(ISNUMBER(K993),ISNUMBER(L993)),L993-K993,"")</f>
        <v/>
      </c>
      <c r="N993" s="19">
        <f>IF(G993="","",IF(AND(ISNUMBER(K993),ISNUMBER(L993)),IF(OR(F993="GOC",F993="OWC",F993="GWC",F993="OWC_TRANSITION",F993="GOC_TRANSITION"),IF(L993&gt;=K993,"Supports","Conflicts"),"N/A"),"No Sw"))</f>
        <v/>
      </c>
      <c r="O993" s="20">
        <f>IF(G993="","",Settings!$B$6*IF(OR(F993="GOC",F993="OWC",F993="GWC"),1,0.7)+Settings!$B$7*IF(N993="Supports",1,IF(N993="Conflicts",0,0.5))+Settings!$B$8*IF(AND(Master_Data!R993&lt;&gt;"",Master_Data!S993&lt;&gt;"",Master_Data!R994&lt;&gt;"",Master_Data!S994&lt;&gt;""),1,0.5))</f>
        <v/>
      </c>
      <c r="P993" s="19">
        <f>IF(G993="","",IF(N993="Conflicts","SW_CONFLICT",IF(OR(F993="GOC",F993="OWC",F993="GWC"),"DIRECT_FLUID_TRANSITION","TRANSITION_INTERVAL")))</f>
        <v/>
      </c>
      <c r="Q993" s="19">
        <f>IF(G993="","",IF(N993="Conflicts","Investigate contact interpretation / saturation behaviour",IF(OR(F993="OWC",F993="GOC",F993="GWC"),"Candidate contact — validate with logs, pressure and dynamic evidence","Transition zone — do not force to a sharp contact")))</f>
        <v/>
      </c>
    </row>
    <row r="994">
      <c r="A994" s="19">
        <f>IF(AND(Master_Data!A994&lt;&gt;"",Master_Data!A994=Master_Data!A995),Master_Data!A994,"")</f>
        <v/>
      </c>
      <c r="B994" s="19">
        <f>IF($A994="","",Master_Data!B994)</f>
        <v/>
      </c>
      <c r="C994" s="19">
        <f>IF($A994="","",Master_Data!B995)</f>
        <v/>
      </c>
      <c r="D994" s="19">
        <f>IF($A994="","",Master_Data!Q994)</f>
        <v/>
      </c>
      <c r="E994" s="19">
        <f>IF($A994="","",Master_Data!Q995)</f>
        <v/>
      </c>
      <c r="F994" s="19">
        <f>IF($A994="","",IF(AND(D994="GAS",E994="OIL"),"GOC",IF(AND(D994="OIL",E994="WATER"),"OWC",IF(AND(D994="GAS",E994="WATER"),"GWC",IF(AND(D994="OIL",E994="OIL_WATER"),"OWC_TRANSITION",IF(AND(D994="OIL_WATER",E994="WATER"),"OWC_TRANSITION",IF(AND(D994="GAS",E994="GAS_WATER"),"GOC_TRANSITION",IF(AND(D994="GAS_WATER",E994="OIL"),"GOC_TRANSITION",IF(OR(D994="OIL_WATER",D994="GAS_WATER"),"TRANSITION_INTERVAL","")))))))))</f>
        <v/>
      </c>
      <c r="G994" s="20">
        <f>IF(OR(F994="",Master_Data!R994="",Master_Data!S994=""),"",IF(RIGHT(F994,10)="TRANSITION",AVERAGE(Master_Data!R994:Master_Data!S994),AVERAGE(Master_Data!S994,Master_Data!R995)))</f>
        <v/>
      </c>
      <c r="H994" s="20">
        <f>IF(G994="","",MAX(Settings!$B$4,Settings!$B$5*AVERAGE(IF(Master_Data!O994&lt;&gt;"",Master_Data!O994,Master_Data!H994),IF(Master_Data!O995&lt;&gt;"",Master_Data!O995,Master_Data!H995))))</f>
        <v/>
      </c>
      <c r="I994" s="20">
        <f>IF(G994="","",G994-H994)</f>
        <v/>
      </c>
      <c r="J994" s="20">
        <f>IF(G994="","",G994+H994)</f>
        <v/>
      </c>
      <c r="K994" s="20">
        <f>IF($A994="","",Master_Data!G994)</f>
        <v/>
      </c>
      <c r="L994" s="20">
        <f>IF($A994="","",Master_Data!G995)</f>
        <v/>
      </c>
      <c r="M994" s="20">
        <f>IF(AND(ISNUMBER(K994),ISNUMBER(L994)),L994-K994,"")</f>
        <v/>
      </c>
      <c r="N994" s="19">
        <f>IF(G994="","",IF(AND(ISNUMBER(K994),ISNUMBER(L994)),IF(OR(F994="GOC",F994="OWC",F994="GWC",F994="OWC_TRANSITION",F994="GOC_TRANSITION"),IF(L994&gt;=K994,"Supports","Conflicts"),"N/A"),"No Sw"))</f>
        <v/>
      </c>
      <c r="O994" s="20">
        <f>IF(G994="","",Settings!$B$6*IF(OR(F994="GOC",F994="OWC",F994="GWC"),1,0.7)+Settings!$B$7*IF(N994="Supports",1,IF(N994="Conflicts",0,0.5))+Settings!$B$8*IF(AND(Master_Data!R994&lt;&gt;"",Master_Data!S994&lt;&gt;"",Master_Data!R995&lt;&gt;"",Master_Data!S995&lt;&gt;""),1,0.5))</f>
        <v/>
      </c>
      <c r="P994" s="19">
        <f>IF(G994="","",IF(N994="Conflicts","SW_CONFLICT",IF(OR(F994="GOC",F994="OWC",F994="GWC"),"DIRECT_FLUID_TRANSITION","TRANSITION_INTERVAL")))</f>
        <v/>
      </c>
      <c r="Q994" s="19">
        <f>IF(G994="","",IF(N994="Conflicts","Investigate contact interpretation / saturation behaviour",IF(OR(F994="OWC",F994="GOC",F994="GWC"),"Candidate contact — validate with logs, pressure and dynamic evidence","Transition zone — do not force to a sharp contact")))</f>
        <v/>
      </c>
    </row>
    <row r="995">
      <c r="A995" s="19">
        <f>IF(AND(Master_Data!A995&lt;&gt;"",Master_Data!A995=Master_Data!A996),Master_Data!A995,"")</f>
        <v/>
      </c>
      <c r="B995" s="19">
        <f>IF($A995="","",Master_Data!B995)</f>
        <v/>
      </c>
      <c r="C995" s="19">
        <f>IF($A995="","",Master_Data!B996)</f>
        <v/>
      </c>
      <c r="D995" s="19">
        <f>IF($A995="","",Master_Data!Q995)</f>
        <v/>
      </c>
      <c r="E995" s="19">
        <f>IF($A995="","",Master_Data!Q996)</f>
        <v/>
      </c>
      <c r="F995" s="19">
        <f>IF($A995="","",IF(AND(D995="GAS",E995="OIL"),"GOC",IF(AND(D995="OIL",E995="WATER"),"OWC",IF(AND(D995="GAS",E995="WATER"),"GWC",IF(AND(D995="OIL",E995="OIL_WATER"),"OWC_TRANSITION",IF(AND(D995="OIL_WATER",E995="WATER"),"OWC_TRANSITION",IF(AND(D995="GAS",E995="GAS_WATER"),"GOC_TRANSITION",IF(AND(D995="GAS_WATER",E995="OIL"),"GOC_TRANSITION",IF(OR(D995="OIL_WATER",D995="GAS_WATER"),"TRANSITION_INTERVAL","")))))))))</f>
        <v/>
      </c>
      <c r="G995" s="20">
        <f>IF(OR(F995="",Master_Data!R995="",Master_Data!S995=""),"",IF(RIGHT(F995,10)="TRANSITION",AVERAGE(Master_Data!R995:Master_Data!S995),AVERAGE(Master_Data!S995,Master_Data!R996)))</f>
        <v/>
      </c>
      <c r="H995" s="20">
        <f>IF(G995="","",MAX(Settings!$B$4,Settings!$B$5*AVERAGE(IF(Master_Data!O995&lt;&gt;"",Master_Data!O995,Master_Data!H995),IF(Master_Data!O996&lt;&gt;"",Master_Data!O996,Master_Data!H996))))</f>
        <v/>
      </c>
      <c r="I995" s="20">
        <f>IF(G995="","",G995-H995)</f>
        <v/>
      </c>
      <c r="J995" s="20">
        <f>IF(G995="","",G995+H995)</f>
        <v/>
      </c>
      <c r="K995" s="20">
        <f>IF($A995="","",Master_Data!G995)</f>
        <v/>
      </c>
      <c r="L995" s="20">
        <f>IF($A995="","",Master_Data!G996)</f>
        <v/>
      </c>
      <c r="M995" s="20">
        <f>IF(AND(ISNUMBER(K995),ISNUMBER(L995)),L995-K995,"")</f>
        <v/>
      </c>
      <c r="N995" s="19">
        <f>IF(G995="","",IF(AND(ISNUMBER(K995),ISNUMBER(L995)),IF(OR(F995="GOC",F995="OWC",F995="GWC",F995="OWC_TRANSITION",F995="GOC_TRANSITION"),IF(L995&gt;=K995,"Supports","Conflicts"),"N/A"),"No Sw"))</f>
        <v/>
      </c>
      <c r="O995" s="20">
        <f>IF(G995="","",Settings!$B$6*IF(OR(F995="GOC",F995="OWC",F995="GWC"),1,0.7)+Settings!$B$7*IF(N995="Supports",1,IF(N995="Conflicts",0,0.5))+Settings!$B$8*IF(AND(Master_Data!R995&lt;&gt;"",Master_Data!S995&lt;&gt;"",Master_Data!R996&lt;&gt;"",Master_Data!S996&lt;&gt;""),1,0.5))</f>
        <v/>
      </c>
      <c r="P995" s="19">
        <f>IF(G995="","",IF(N995="Conflicts","SW_CONFLICT",IF(OR(F995="GOC",F995="OWC",F995="GWC"),"DIRECT_FLUID_TRANSITION","TRANSITION_INTERVAL")))</f>
        <v/>
      </c>
      <c r="Q995" s="19">
        <f>IF(G995="","",IF(N995="Conflicts","Investigate contact interpretation / saturation behaviour",IF(OR(F995="OWC",F995="GOC",F995="GWC"),"Candidate contact — validate with logs, pressure and dynamic evidence","Transition zone — do not force to a sharp contact")))</f>
        <v/>
      </c>
    </row>
    <row r="996">
      <c r="A996" s="19">
        <f>IF(AND(Master_Data!A996&lt;&gt;"",Master_Data!A996=Master_Data!A997),Master_Data!A996,"")</f>
        <v/>
      </c>
      <c r="B996" s="19">
        <f>IF($A996="","",Master_Data!B996)</f>
        <v/>
      </c>
      <c r="C996" s="19">
        <f>IF($A996="","",Master_Data!B997)</f>
        <v/>
      </c>
      <c r="D996" s="19">
        <f>IF($A996="","",Master_Data!Q996)</f>
        <v/>
      </c>
      <c r="E996" s="19">
        <f>IF($A996="","",Master_Data!Q997)</f>
        <v/>
      </c>
      <c r="F996" s="19">
        <f>IF($A996="","",IF(AND(D996="GAS",E996="OIL"),"GOC",IF(AND(D996="OIL",E996="WATER"),"OWC",IF(AND(D996="GAS",E996="WATER"),"GWC",IF(AND(D996="OIL",E996="OIL_WATER"),"OWC_TRANSITION",IF(AND(D996="OIL_WATER",E996="WATER"),"OWC_TRANSITION",IF(AND(D996="GAS",E996="GAS_WATER"),"GOC_TRANSITION",IF(AND(D996="GAS_WATER",E996="OIL"),"GOC_TRANSITION",IF(OR(D996="OIL_WATER",D996="GAS_WATER"),"TRANSITION_INTERVAL","")))))))))</f>
        <v/>
      </c>
      <c r="G996" s="20">
        <f>IF(OR(F996="",Master_Data!R996="",Master_Data!S996=""),"",IF(RIGHT(F996,10)="TRANSITION",AVERAGE(Master_Data!R996:Master_Data!S996),AVERAGE(Master_Data!S996,Master_Data!R997)))</f>
        <v/>
      </c>
      <c r="H996" s="20">
        <f>IF(G996="","",MAX(Settings!$B$4,Settings!$B$5*AVERAGE(IF(Master_Data!O996&lt;&gt;"",Master_Data!O996,Master_Data!H996),IF(Master_Data!O997&lt;&gt;"",Master_Data!O997,Master_Data!H997))))</f>
        <v/>
      </c>
      <c r="I996" s="20">
        <f>IF(G996="","",G996-H996)</f>
        <v/>
      </c>
      <c r="J996" s="20">
        <f>IF(G996="","",G996+H996)</f>
        <v/>
      </c>
      <c r="K996" s="20">
        <f>IF($A996="","",Master_Data!G996)</f>
        <v/>
      </c>
      <c r="L996" s="20">
        <f>IF($A996="","",Master_Data!G997)</f>
        <v/>
      </c>
      <c r="M996" s="20">
        <f>IF(AND(ISNUMBER(K996),ISNUMBER(L996)),L996-K996,"")</f>
        <v/>
      </c>
      <c r="N996" s="19">
        <f>IF(G996="","",IF(AND(ISNUMBER(K996),ISNUMBER(L996)),IF(OR(F996="GOC",F996="OWC",F996="GWC",F996="OWC_TRANSITION",F996="GOC_TRANSITION"),IF(L996&gt;=K996,"Supports","Conflicts"),"N/A"),"No Sw"))</f>
        <v/>
      </c>
      <c r="O996" s="20">
        <f>IF(G996="","",Settings!$B$6*IF(OR(F996="GOC",F996="OWC",F996="GWC"),1,0.7)+Settings!$B$7*IF(N996="Supports",1,IF(N996="Conflicts",0,0.5))+Settings!$B$8*IF(AND(Master_Data!R996&lt;&gt;"",Master_Data!S996&lt;&gt;"",Master_Data!R997&lt;&gt;"",Master_Data!S997&lt;&gt;""),1,0.5))</f>
        <v/>
      </c>
      <c r="P996" s="19">
        <f>IF(G996="","",IF(N996="Conflicts","SW_CONFLICT",IF(OR(F996="GOC",F996="OWC",F996="GWC"),"DIRECT_FLUID_TRANSITION","TRANSITION_INTERVAL")))</f>
        <v/>
      </c>
      <c r="Q996" s="19">
        <f>IF(G996="","",IF(N996="Conflicts","Investigate contact interpretation / saturation behaviour",IF(OR(F996="OWC",F996="GOC",F996="GWC"),"Candidate contact — validate with logs, pressure and dynamic evidence","Transition zone — do not force to a sharp contact")))</f>
        <v/>
      </c>
    </row>
    <row r="997">
      <c r="A997" s="19">
        <f>IF(AND(Master_Data!A997&lt;&gt;"",Master_Data!A997=Master_Data!A998),Master_Data!A997,"")</f>
        <v/>
      </c>
      <c r="B997" s="19">
        <f>IF($A997="","",Master_Data!B997)</f>
        <v/>
      </c>
      <c r="C997" s="19">
        <f>IF($A997="","",Master_Data!B998)</f>
        <v/>
      </c>
      <c r="D997" s="19">
        <f>IF($A997="","",Master_Data!Q997)</f>
        <v/>
      </c>
      <c r="E997" s="19">
        <f>IF($A997="","",Master_Data!Q998)</f>
        <v/>
      </c>
      <c r="F997" s="19">
        <f>IF($A997="","",IF(AND(D997="GAS",E997="OIL"),"GOC",IF(AND(D997="OIL",E997="WATER"),"OWC",IF(AND(D997="GAS",E997="WATER"),"GWC",IF(AND(D997="OIL",E997="OIL_WATER"),"OWC_TRANSITION",IF(AND(D997="OIL_WATER",E997="WATER"),"OWC_TRANSITION",IF(AND(D997="GAS",E997="GAS_WATER"),"GOC_TRANSITION",IF(AND(D997="GAS_WATER",E997="OIL"),"GOC_TRANSITION",IF(OR(D997="OIL_WATER",D997="GAS_WATER"),"TRANSITION_INTERVAL","")))))))))</f>
        <v/>
      </c>
      <c r="G997" s="20">
        <f>IF(OR(F997="",Master_Data!R997="",Master_Data!S997=""),"",IF(RIGHT(F997,10)="TRANSITION",AVERAGE(Master_Data!R997:Master_Data!S997),AVERAGE(Master_Data!S997,Master_Data!R998)))</f>
        <v/>
      </c>
      <c r="H997" s="20">
        <f>IF(G997="","",MAX(Settings!$B$4,Settings!$B$5*AVERAGE(IF(Master_Data!O997&lt;&gt;"",Master_Data!O997,Master_Data!H997),IF(Master_Data!O998&lt;&gt;"",Master_Data!O998,Master_Data!H998))))</f>
        <v/>
      </c>
      <c r="I997" s="20">
        <f>IF(G997="","",G997-H997)</f>
        <v/>
      </c>
      <c r="J997" s="20">
        <f>IF(G997="","",G997+H997)</f>
        <v/>
      </c>
      <c r="K997" s="20">
        <f>IF($A997="","",Master_Data!G997)</f>
        <v/>
      </c>
      <c r="L997" s="20">
        <f>IF($A997="","",Master_Data!G998)</f>
        <v/>
      </c>
      <c r="M997" s="20">
        <f>IF(AND(ISNUMBER(K997),ISNUMBER(L997)),L997-K997,"")</f>
        <v/>
      </c>
      <c r="N997" s="19">
        <f>IF(G997="","",IF(AND(ISNUMBER(K997),ISNUMBER(L997)),IF(OR(F997="GOC",F997="OWC",F997="GWC",F997="OWC_TRANSITION",F997="GOC_TRANSITION"),IF(L997&gt;=K997,"Supports","Conflicts"),"N/A"),"No Sw"))</f>
        <v/>
      </c>
      <c r="O997" s="20">
        <f>IF(G997="","",Settings!$B$6*IF(OR(F997="GOC",F997="OWC",F997="GWC"),1,0.7)+Settings!$B$7*IF(N997="Supports",1,IF(N997="Conflicts",0,0.5))+Settings!$B$8*IF(AND(Master_Data!R997&lt;&gt;"",Master_Data!S997&lt;&gt;"",Master_Data!R998&lt;&gt;"",Master_Data!S998&lt;&gt;""),1,0.5))</f>
        <v/>
      </c>
      <c r="P997" s="19">
        <f>IF(G997="","",IF(N997="Conflicts","SW_CONFLICT",IF(OR(F997="GOC",F997="OWC",F997="GWC"),"DIRECT_FLUID_TRANSITION","TRANSITION_INTERVAL")))</f>
        <v/>
      </c>
      <c r="Q997" s="19">
        <f>IF(G997="","",IF(N997="Conflicts","Investigate contact interpretation / saturation behaviour",IF(OR(F997="OWC",F997="GOC",F997="GWC"),"Candidate contact — validate with logs, pressure and dynamic evidence","Transition zone — do not force to a sharp contact")))</f>
        <v/>
      </c>
    </row>
    <row r="998">
      <c r="A998" s="19">
        <f>IF(AND(Master_Data!A998&lt;&gt;"",Master_Data!A998=Master_Data!A999),Master_Data!A998,"")</f>
        <v/>
      </c>
      <c r="B998" s="19">
        <f>IF($A998="","",Master_Data!B998)</f>
        <v/>
      </c>
      <c r="C998" s="19">
        <f>IF($A998="","",Master_Data!B999)</f>
        <v/>
      </c>
      <c r="D998" s="19">
        <f>IF($A998="","",Master_Data!Q998)</f>
        <v/>
      </c>
      <c r="E998" s="19">
        <f>IF($A998="","",Master_Data!Q999)</f>
        <v/>
      </c>
      <c r="F998" s="19">
        <f>IF($A998="","",IF(AND(D998="GAS",E998="OIL"),"GOC",IF(AND(D998="OIL",E998="WATER"),"OWC",IF(AND(D998="GAS",E998="WATER"),"GWC",IF(AND(D998="OIL",E998="OIL_WATER"),"OWC_TRANSITION",IF(AND(D998="OIL_WATER",E998="WATER"),"OWC_TRANSITION",IF(AND(D998="GAS",E998="GAS_WATER"),"GOC_TRANSITION",IF(AND(D998="GAS_WATER",E998="OIL"),"GOC_TRANSITION",IF(OR(D998="OIL_WATER",D998="GAS_WATER"),"TRANSITION_INTERVAL","")))))))))</f>
        <v/>
      </c>
      <c r="G998" s="20">
        <f>IF(OR(F998="",Master_Data!R998="",Master_Data!S998=""),"",IF(RIGHT(F998,10)="TRANSITION",AVERAGE(Master_Data!R998:Master_Data!S998),AVERAGE(Master_Data!S998,Master_Data!R999)))</f>
        <v/>
      </c>
      <c r="H998" s="20">
        <f>IF(G998="","",MAX(Settings!$B$4,Settings!$B$5*AVERAGE(IF(Master_Data!O998&lt;&gt;"",Master_Data!O998,Master_Data!H998),IF(Master_Data!O999&lt;&gt;"",Master_Data!O999,Master_Data!H999))))</f>
        <v/>
      </c>
      <c r="I998" s="20">
        <f>IF(G998="","",G998-H998)</f>
        <v/>
      </c>
      <c r="J998" s="20">
        <f>IF(G998="","",G998+H998)</f>
        <v/>
      </c>
      <c r="K998" s="20">
        <f>IF($A998="","",Master_Data!G998)</f>
        <v/>
      </c>
      <c r="L998" s="20">
        <f>IF($A998="","",Master_Data!G999)</f>
        <v/>
      </c>
      <c r="M998" s="20">
        <f>IF(AND(ISNUMBER(K998),ISNUMBER(L998)),L998-K998,"")</f>
        <v/>
      </c>
      <c r="N998" s="19">
        <f>IF(G998="","",IF(AND(ISNUMBER(K998),ISNUMBER(L998)),IF(OR(F998="GOC",F998="OWC",F998="GWC",F998="OWC_TRANSITION",F998="GOC_TRANSITION"),IF(L998&gt;=K998,"Supports","Conflicts"),"N/A"),"No Sw"))</f>
        <v/>
      </c>
      <c r="O998" s="20">
        <f>IF(G998="","",Settings!$B$6*IF(OR(F998="GOC",F998="OWC",F998="GWC"),1,0.7)+Settings!$B$7*IF(N998="Supports",1,IF(N998="Conflicts",0,0.5))+Settings!$B$8*IF(AND(Master_Data!R998&lt;&gt;"",Master_Data!S998&lt;&gt;"",Master_Data!R999&lt;&gt;"",Master_Data!S999&lt;&gt;""),1,0.5))</f>
        <v/>
      </c>
      <c r="P998" s="19">
        <f>IF(G998="","",IF(N998="Conflicts","SW_CONFLICT",IF(OR(F998="GOC",F998="OWC",F998="GWC"),"DIRECT_FLUID_TRANSITION","TRANSITION_INTERVAL")))</f>
        <v/>
      </c>
      <c r="Q998" s="19">
        <f>IF(G998="","",IF(N998="Conflicts","Investigate contact interpretation / saturation behaviour",IF(OR(F998="OWC",F998="GOC",F998="GWC"),"Candidate contact — validate with logs, pressure and dynamic evidence","Transition zone — do not force to a sharp contact")))</f>
        <v/>
      </c>
    </row>
    <row r="999">
      <c r="A999" s="19">
        <f>IF(AND(Master_Data!A999&lt;&gt;"",Master_Data!A999=Master_Data!A1000),Master_Data!A999,"")</f>
        <v/>
      </c>
      <c r="B999" s="19">
        <f>IF($A999="","",Master_Data!B999)</f>
        <v/>
      </c>
      <c r="C999" s="19">
        <f>IF($A999="","",Master_Data!B1000)</f>
        <v/>
      </c>
      <c r="D999" s="19">
        <f>IF($A999="","",Master_Data!Q999)</f>
        <v/>
      </c>
      <c r="E999" s="19">
        <f>IF($A999="","",Master_Data!Q1000)</f>
        <v/>
      </c>
      <c r="F999" s="19">
        <f>IF($A999="","",IF(AND(D999="GAS",E999="OIL"),"GOC",IF(AND(D999="OIL",E999="WATER"),"OWC",IF(AND(D999="GAS",E999="WATER"),"GWC",IF(AND(D999="OIL",E999="OIL_WATER"),"OWC_TRANSITION",IF(AND(D999="OIL_WATER",E999="WATER"),"OWC_TRANSITION",IF(AND(D999="GAS",E999="GAS_WATER"),"GOC_TRANSITION",IF(AND(D999="GAS_WATER",E999="OIL"),"GOC_TRANSITION",IF(OR(D999="OIL_WATER",D999="GAS_WATER"),"TRANSITION_INTERVAL","")))))))))</f>
        <v/>
      </c>
      <c r="G999" s="20">
        <f>IF(OR(F999="",Master_Data!R999="",Master_Data!S999=""),"",IF(RIGHT(F999,10)="TRANSITION",AVERAGE(Master_Data!R999:Master_Data!S999),AVERAGE(Master_Data!S999,Master_Data!R1000)))</f>
        <v/>
      </c>
      <c r="H999" s="20">
        <f>IF(G999="","",MAX(Settings!$B$4,Settings!$B$5*AVERAGE(IF(Master_Data!O999&lt;&gt;"",Master_Data!O999,Master_Data!H999),IF(Master_Data!O1000&lt;&gt;"",Master_Data!O1000,Master_Data!H1000))))</f>
        <v/>
      </c>
      <c r="I999" s="20">
        <f>IF(G999="","",G999-H999)</f>
        <v/>
      </c>
      <c r="J999" s="20">
        <f>IF(G999="","",G999+H999)</f>
        <v/>
      </c>
      <c r="K999" s="20">
        <f>IF($A999="","",Master_Data!G999)</f>
        <v/>
      </c>
      <c r="L999" s="20">
        <f>IF($A999="","",Master_Data!G1000)</f>
        <v/>
      </c>
      <c r="M999" s="20">
        <f>IF(AND(ISNUMBER(K999),ISNUMBER(L999)),L999-K999,"")</f>
        <v/>
      </c>
      <c r="N999" s="19">
        <f>IF(G999="","",IF(AND(ISNUMBER(K999),ISNUMBER(L999)),IF(OR(F999="GOC",F999="OWC",F999="GWC",F999="OWC_TRANSITION",F999="GOC_TRANSITION"),IF(L999&gt;=K999,"Supports","Conflicts"),"N/A"),"No Sw"))</f>
        <v/>
      </c>
      <c r="O999" s="20">
        <f>IF(G999="","",Settings!$B$6*IF(OR(F999="GOC",F999="OWC",F999="GWC"),1,0.7)+Settings!$B$7*IF(N999="Supports",1,IF(N999="Conflicts",0,0.5))+Settings!$B$8*IF(AND(Master_Data!R999&lt;&gt;"",Master_Data!S999&lt;&gt;"",Master_Data!R1000&lt;&gt;"",Master_Data!S1000&lt;&gt;""),1,0.5))</f>
        <v/>
      </c>
      <c r="P999" s="19">
        <f>IF(G999="","",IF(N999="Conflicts","SW_CONFLICT",IF(OR(F999="GOC",F999="OWC",F999="GWC"),"DIRECT_FLUID_TRANSITION","TRANSITION_INTERVAL")))</f>
        <v/>
      </c>
      <c r="Q999" s="19">
        <f>IF(G999="","",IF(N999="Conflicts","Investigate contact interpretation / saturation behaviour",IF(OR(F999="OWC",F999="GOC",F999="GWC"),"Candidate contact — validate with logs, pressure and dynamic evidence","Transition zone — do not force to a sharp contact")))</f>
        <v/>
      </c>
    </row>
    <row r="1000">
      <c r="A1000" s="19">
        <f>IF(AND(Master_Data!A1000&lt;&gt;"",Master_Data!A1000=Master_Data!A1001),Master_Data!A1000,"")</f>
        <v/>
      </c>
      <c r="B1000" s="19">
        <f>IF($A1000="","",Master_Data!B1000)</f>
        <v/>
      </c>
      <c r="C1000" s="19">
        <f>IF($A1000="","",Master_Data!B1001)</f>
        <v/>
      </c>
      <c r="D1000" s="19">
        <f>IF($A1000="","",Master_Data!Q1000)</f>
        <v/>
      </c>
      <c r="E1000" s="19">
        <f>IF($A1000="","",Master_Data!Q1001)</f>
        <v/>
      </c>
      <c r="F1000" s="19">
        <f>IF($A1000="","",IF(AND(D1000="GAS",E1000="OIL"),"GOC",IF(AND(D1000="OIL",E1000="WATER"),"OWC",IF(AND(D1000="GAS",E1000="WATER"),"GWC",IF(AND(D1000="OIL",E1000="OIL_WATER"),"OWC_TRANSITION",IF(AND(D1000="OIL_WATER",E1000="WATER"),"OWC_TRANSITION",IF(AND(D1000="GAS",E1000="GAS_WATER"),"GOC_TRANSITION",IF(AND(D1000="GAS_WATER",E1000="OIL"),"GOC_TRANSITION",IF(OR(D1000="OIL_WATER",D1000="GAS_WATER"),"TRANSITION_INTERVAL","")))))))))</f>
        <v/>
      </c>
      <c r="G1000" s="20">
        <f>IF(OR(F1000="",Master_Data!R1000="",Master_Data!S1000=""),"",IF(RIGHT(F1000,10)="TRANSITION",AVERAGE(Master_Data!R1000:Master_Data!S1000),AVERAGE(Master_Data!S1000,Master_Data!R1001)))</f>
        <v/>
      </c>
      <c r="H1000" s="20">
        <f>IF(G1000="","",MAX(Settings!$B$4,Settings!$B$5*AVERAGE(IF(Master_Data!O1000&lt;&gt;"",Master_Data!O1000,Master_Data!H1000),IF(Master_Data!O1001&lt;&gt;"",Master_Data!O1001,Master_Data!H1001))))</f>
        <v/>
      </c>
      <c r="I1000" s="20">
        <f>IF(G1000="","",G1000-H1000)</f>
        <v/>
      </c>
      <c r="J1000" s="20">
        <f>IF(G1000="","",G1000+H1000)</f>
        <v/>
      </c>
      <c r="K1000" s="20">
        <f>IF($A1000="","",Master_Data!G1000)</f>
        <v/>
      </c>
      <c r="L1000" s="20">
        <f>IF($A1000="","",Master_Data!G1001)</f>
        <v/>
      </c>
      <c r="M1000" s="20">
        <f>IF(AND(ISNUMBER(K1000),ISNUMBER(L1000)),L1000-K1000,"")</f>
        <v/>
      </c>
      <c r="N1000" s="19">
        <f>IF(G1000="","",IF(AND(ISNUMBER(K1000),ISNUMBER(L1000)),IF(OR(F1000="GOC",F1000="OWC",F1000="GWC",F1000="OWC_TRANSITION",F1000="GOC_TRANSITION"),IF(L1000&gt;=K1000,"Supports","Conflicts"),"N/A"),"No Sw"))</f>
        <v/>
      </c>
      <c r="O1000" s="20">
        <f>IF(G1000="","",Settings!$B$6*IF(OR(F1000="GOC",F1000="OWC",F1000="GWC"),1,0.7)+Settings!$B$7*IF(N1000="Supports",1,IF(N1000="Conflicts",0,0.5))+Settings!$B$8*IF(AND(Master_Data!R1000&lt;&gt;"",Master_Data!S1000&lt;&gt;"",Master_Data!R1001&lt;&gt;"",Master_Data!S1001&lt;&gt;""),1,0.5))</f>
        <v/>
      </c>
      <c r="P1000" s="19">
        <f>IF(G1000="","",IF(N1000="Conflicts","SW_CONFLICT",IF(OR(F1000="GOC",F1000="OWC",F1000="GWC"),"DIRECT_FLUID_TRANSITION","TRANSITION_INTERVAL")))</f>
        <v/>
      </c>
      <c r="Q1000" s="19">
        <f>IF(G1000="","",IF(N1000="Conflicts","Investigate contact interpretation / saturation behaviour",IF(OR(F1000="OWC",F1000="GOC",F1000="GWC"),"Candidate contact — validate with logs, pressure and dynamic evidence","Transition zone — do not force to a sharp contact")))</f>
        <v/>
      </c>
    </row>
  </sheetData>
  <autoFilter ref="A1:Q1000"/>
  <conditionalFormatting sqref="O2:O1000">
    <cfRule type="cellIs" priority="1" operator="greaterThanOrEqual" dxfId="0">
      <formula>0.8</formula>
    </cfRule>
    <cfRule type="cellIs" priority="2" operator="between" dxfId="1">
      <formula>0.5</formula>
      <formula>0.799999</formula>
    </cfRule>
    <cfRule type="cellIs" priority="3" operator="lessThan" dxfId="2">
      <formula>0.5</formula>
    </cfRule>
  </conditionalFormatting>
  <conditionalFormatting sqref="N2:N1000">
    <cfRule type="expression" priority="4" dxfId="2">
      <formula>N2="Conflicts"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30" customHeight="1">
      <c r="A1" s="8" t="inlineStr">
        <is>
          <t>Well</t>
        </is>
      </c>
      <c r="B1" s="8" t="inlineStr">
        <is>
          <t>GOC count</t>
        </is>
      </c>
      <c r="C1" s="8" t="inlineStr">
        <is>
          <t>GOC median TVD</t>
        </is>
      </c>
      <c r="D1" s="8" t="inlineStr">
        <is>
          <t>GOC P10</t>
        </is>
      </c>
      <c r="E1" s="8" t="inlineStr">
        <is>
          <t>GOC P90</t>
        </is>
      </c>
      <c r="F1" s="8" t="inlineStr">
        <is>
          <t>OWC count</t>
        </is>
      </c>
      <c r="G1" s="8" t="inlineStr">
        <is>
          <t>OWC median TVD</t>
        </is>
      </c>
      <c r="H1" s="8" t="inlineStr">
        <is>
          <t>OWC P10</t>
        </is>
      </c>
      <c r="I1" s="8" t="inlineStr">
        <is>
          <t>OWC P90</t>
        </is>
      </c>
      <c r="J1" s="8" t="inlineStr">
        <is>
          <t>GWC count</t>
        </is>
      </c>
      <c r="K1" s="8" t="inlineStr">
        <is>
          <t>GWC median TVD</t>
        </is>
      </c>
      <c r="L1" s="8" t="inlineStr">
        <is>
          <t>GWC P10</t>
        </is>
      </c>
      <c r="M1" s="8" t="inlineStr">
        <is>
          <t>GWC P90</t>
        </is>
      </c>
    </row>
    <row r="2">
      <c r="A2" s="11" t="inlineStr">
        <is>
          <t>X1</t>
        </is>
      </c>
      <c r="B2" s="11">
        <f>IF($A2="","",COUNTIFS(Contact_Detector!$A$2:$A$1000,$A2,Contact_Detector!$F$2:$F$1000,"GOC"))</f>
        <v/>
      </c>
      <c r="C2" s="12">
        <f>IFERROR(MEDIAN(FILTER(Contact_Detector!$G$2:$G$1000,(Contact_Detector!$A$2:$A$1000=$A2)*(Contact_Detector!$F$2:$F$1000="GOC"))),"")</f>
        <v/>
      </c>
      <c r="D2" s="12">
        <f>IFERROR(PERCENTILE.INC(FILTER(Contact_Detector!$G$2:$G$1000,(Contact_Detector!$A$2:$A$1000=$A2)*(Contact_Detector!$F$2:$F$1000="GOC")),0.1),"")</f>
        <v/>
      </c>
      <c r="E2" s="12">
        <f>IFERROR(PERCENTILE.INC(FILTER(Contact_Detector!$G$2:$G$1000,(Contact_Detector!$A$2:$A$1000=$A2)*(Contact_Detector!$F$2:$F$1000="GOC")),0.9),"")</f>
        <v/>
      </c>
      <c r="F2" s="12">
        <f>IF($A2="","",COUNTIFS(Contact_Detector!$A$2:$A$1000,$A2,Contact_Detector!$F$2:$F$1000,"OWC"))</f>
        <v/>
      </c>
      <c r="G2" s="12">
        <f>IFERROR(MEDIAN(FILTER(Contact_Detector!$G$2:$G$1000,(Contact_Detector!$A$2:$A$1000=$A2)*(Contact_Detector!$F$2:$F$1000="OWC"))),"")</f>
        <v/>
      </c>
      <c r="H2" s="12">
        <f>IFERROR(PERCENTILE.INC(FILTER(Contact_Detector!$G$2:$G$1000,(Contact_Detector!$A$2:$A$1000=$A2)*(Contact_Detector!$F$2:$F$1000="OWC")),0.1),"")</f>
        <v/>
      </c>
      <c r="I2" s="12">
        <f>IFERROR(PERCENTILE.INC(FILTER(Contact_Detector!$G$2:$G$1000,(Contact_Detector!$A$2:$A$1000=$A2)*(Contact_Detector!$F$2:$F$1000="OWC")),0.9),"")</f>
        <v/>
      </c>
      <c r="J2" s="12">
        <f>IF($A2="","",COUNTIFS(Contact_Detector!$A$2:$A$1000,$A2,Contact_Detector!$F$2:$F$1000,"GWC"))</f>
        <v/>
      </c>
      <c r="K2" s="12">
        <f>IFERROR(MEDIAN(FILTER(Contact_Detector!$G$2:$G$1000,(Contact_Detector!$A$2:$A$1000=$A2)*(Contact_Detector!$F$2:$F$1000="GWC"))),"")</f>
        <v/>
      </c>
      <c r="L2" s="12">
        <f>IFERROR(PERCENTILE.INC(FILTER(Contact_Detector!$G$2:$G$1000,(Contact_Detector!$A$2:$A$1000=$A2)*(Contact_Detector!$F$2:$F$1000="GWC")),0.1),"")</f>
        <v/>
      </c>
      <c r="M2" s="12">
        <f>IFERROR(PERCENTILE.INC(FILTER(Contact_Detector!$G$2:$G$1000,(Contact_Detector!$A$2:$A$1000=$A2)*(Contact_Detector!$F$2:$F$1000="GWC")),0.9),"")</f>
        <v/>
      </c>
    </row>
    <row r="3">
      <c r="A3" s="11" t="inlineStr">
        <is>
          <t>X2</t>
        </is>
      </c>
      <c r="B3" s="11">
        <f>IF($A3="","",COUNTIFS(Contact_Detector!$A$2:$A$1000,$A3,Contact_Detector!$F$2:$F$1000,"GOC"))</f>
        <v/>
      </c>
      <c r="C3" s="12">
        <f>IFERROR(MEDIAN(FILTER(Contact_Detector!$G$2:$G$1000,(Contact_Detector!$A$2:$A$1000=$A3)*(Contact_Detector!$F$2:$F$1000="GOC"))),"")</f>
        <v/>
      </c>
      <c r="D3" s="12">
        <f>IFERROR(PERCENTILE.INC(FILTER(Contact_Detector!$G$2:$G$1000,(Contact_Detector!$A$2:$A$1000=$A3)*(Contact_Detector!$F$2:$F$1000="GOC")),0.1),"")</f>
        <v/>
      </c>
      <c r="E3" s="12">
        <f>IFERROR(PERCENTILE.INC(FILTER(Contact_Detector!$G$2:$G$1000,(Contact_Detector!$A$2:$A$1000=$A3)*(Contact_Detector!$F$2:$F$1000="GOC")),0.9),"")</f>
        <v/>
      </c>
      <c r="F3" s="12">
        <f>IF($A3="","",COUNTIFS(Contact_Detector!$A$2:$A$1000,$A3,Contact_Detector!$F$2:$F$1000,"OWC"))</f>
        <v/>
      </c>
      <c r="G3" s="12">
        <f>IFERROR(MEDIAN(FILTER(Contact_Detector!$G$2:$G$1000,(Contact_Detector!$A$2:$A$1000=$A3)*(Contact_Detector!$F$2:$F$1000="OWC"))),"")</f>
        <v/>
      </c>
      <c r="H3" s="12">
        <f>IFERROR(PERCENTILE.INC(FILTER(Contact_Detector!$G$2:$G$1000,(Contact_Detector!$A$2:$A$1000=$A3)*(Contact_Detector!$F$2:$F$1000="OWC")),0.1),"")</f>
        <v/>
      </c>
      <c r="I3" s="12">
        <f>IFERROR(PERCENTILE.INC(FILTER(Contact_Detector!$G$2:$G$1000,(Contact_Detector!$A$2:$A$1000=$A3)*(Contact_Detector!$F$2:$F$1000="OWC")),0.9),"")</f>
        <v/>
      </c>
      <c r="J3" s="12">
        <f>IF($A3="","",COUNTIFS(Contact_Detector!$A$2:$A$1000,$A3,Contact_Detector!$F$2:$F$1000,"GWC"))</f>
        <v/>
      </c>
      <c r="K3" s="12">
        <f>IFERROR(MEDIAN(FILTER(Contact_Detector!$G$2:$G$1000,(Contact_Detector!$A$2:$A$1000=$A3)*(Contact_Detector!$F$2:$F$1000="GWC"))),"")</f>
        <v/>
      </c>
      <c r="L3" s="12">
        <f>IFERROR(PERCENTILE.INC(FILTER(Contact_Detector!$G$2:$G$1000,(Contact_Detector!$A$2:$A$1000=$A3)*(Contact_Detector!$F$2:$F$1000="GWC")),0.1),"")</f>
        <v/>
      </c>
      <c r="M3" s="12">
        <f>IFERROR(PERCENTILE.INC(FILTER(Contact_Detector!$G$2:$G$1000,(Contact_Detector!$A$2:$A$1000=$A3)*(Contact_Detector!$F$2:$F$1000="GWC")),0.9),"")</f>
        <v/>
      </c>
    </row>
    <row r="4">
      <c r="A4" s="11" t="inlineStr">
        <is>
          <t>X3</t>
        </is>
      </c>
      <c r="B4" s="11">
        <f>IF($A4="","",COUNTIFS(Contact_Detector!$A$2:$A$1000,$A4,Contact_Detector!$F$2:$F$1000,"GOC"))</f>
        <v/>
      </c>
      <c r="C4" s="12">
        <f>IFERROR(MEDIAN(FILTER(Contact_Detector!$G$2:$G$1000,(Contact_Detector!$A$2:$A$1000=$A4)*(Contact_Detector!$F$2:$F$1000="GOC"))),"")</f>
        <v/>
      </c>
      <c r="D4" s="12">
        <f>IFERROR(PERCENTILE.INC(FILTER(Contact_Detector!$G$2:$G$1000,(Contact_Detector!$A$2:$A$1000=$A4)*(Contact_Detector!$F$2:$F$1000="GOC")),0.1),"")</f>
        <v/>
      </c>
      <c r="E4" s="12">
        <f>IFERROR(PERCENTILE.INC(FILTER(Contact_Detector!$G$2:$G$1000,(Contact_Detector!$A$2:$A$1000=$A4)*(Contact_Detector!$F$2:$F$1000="GOC")),0.9),"")</f>
        <v/>
      </c>
      <c r="F4" s="12">
        <f>IF($A4="","",COUNTIFS(Contact_Detector!$A$2:$A$1000,$A4,Contact_Detector!$F$2:$F$1000,"OWC"))</f>
        <v/>
      </c>
      <c r="G4" s="12">
        <f>IFERROR(MEDIAN(FILTER(Contact_Detector!$G$2:$G$1000,(Contact_Detector!$A$2:$A$1000=$A4)*(Contact_Detector!$F$2:$F$1000="OWC"))),"")</f>
        <v/>
      </c>
      <c r="H4" s="12">
        <f>IFERROR(PERCENTILE.INC(FILTER(Contact_Detector!$G$2:$G$1000,(Contact_Detector!$A$2:$A$1000=$A4)*(Contact_Detector!$F$2:$F$1000="OWC")),0.1),"")</f>
        <v/>
      </c>
      <c r="I4" s="12">
        <f>IFERROR(PERCENTILE.INC(FILTER(Contact_Detector!$G$2:$G$1000,(Contact_Detector!$A$2:$A$1000=$A4)*(Contact_Detector!$F$2:$F$1000="OWC")),0.9),"")</f>
        <v/>
      </c>
      <c r="J4" s="12">
        <f>IF($A4="","",COUNTIFS(Contact_Detector!$A$2:$A$1000,$A4,Contact_Detector!$F$2:$F$1000,"GWC"))</f>
        <v/>
      </c>
      <c r="K4" s="12">
        <f>IFERROR(MEDIAN(FILTER(Contact_Detector!$G$2:$G$1000,(Contact_Detector!$A$2:$A$1000=$A4)*(Contact_Detector!$F$2:$F$1000="GWC"))),"")</f>
        <v/>
      </c>
      <c r="L4" s="12">
        <f>IFERROR(PERCENTILE.INC(FILTER(Contact_Detector!$G$2:$G$1000,(Contact_Detector!$A$2:$A$1000=$A4)*(Contact_Detector!$F$2:$F$1000="GWC")),0.1),"")</f>
        <v/>
      </c>
      <c r="M4" s="12">
        <f>IFERROR(PERCENTILE.INC(FILTER(Contact_Detector!$G$2:$G$1000,(Contact_Detector!$A$2:$A$1000=$A4)*(Contact_Detector!$F$2:$F$1000="GWC")),0.9),"")</f>
        <v/>
      </c>
    </row>
    <row r="5">
      <c r="A5" s="11" t="inlineStr">
        <is>
          <t>X4</t>
        </is>
      </c>
      <c r="B5" s="11">
        <f>IF($A5="","",COUNTIFS(Contact_Detector!$A$2:$A$1000,$A5,Contact_Detector!$F$2:$F$1000,"GOC"))</f>
        <v/>
      </c>
      <c r="C5" s="12">
        <f>IFERROR(MEDIAN(FILTER(Contact_Detector!$G$2:$G$1000,(Contact_Detector!$A$2:$A$1000=$A5)*(Contact_Detector!$F$2:$F$1000="GOC"))),"")</f>
        <v/>
      </c>
      <c r="D5" s="12">
        <f>IFERROR(PERCENTILE.INC(FILTER(Contact_Detector!$G$2:$G$1000,(Contact_Detector!$A$2:$A$1000=$A5)*(Contact_Detector!$F$2:$F$1000="GOC")),0.1),"")</f>
        <v/>
      </c>
      <c r="E5" s="12">
        <f>IFERROR(PERCENTILE.INC(FILTER(Contact_Detector!$G$2:$G$1000,(Contact_Detector!$A$2:$A$1000=$A5)*(Contact_Detector!$F$2:$F$1000="GOC")),0.9),"")</f>
        <v/>
      </c>
      <c r="F5" s="12">
        <f>IF($A5="","",COUNTIFS(Contact_Detector!$A$2:$A$1000,$A5,Contact_Detector!$F$2:$F$1000,"OWC"))</f>
        <v/>
      </c>
      <c r="G5" s="12">
        <f>IFERROR(MEDIAN(FILTER(Contact_Detector!$G$2:$G$1000,(Contact_Detector!$A$2:$A$1000=$A5)*(Contact_Detector!$F$2:$F$1000="OWC"))),"")</f>
        <v/>
      </c>
      <c r="H5" s="12">
        <f>IFERROR(PERCENTILE.INC(FILTER(Contact_Detector!$G$2:$G$1000,(Contact_Detector!$A$2:$A$1000=$A5)*(Contact_Detector!$F$2:$F$1000="OWC")),0.1),"")</f>
        <v/>
      </c>
      <c r="I5" s="12">
        <f>IFERROR(PERCENTILE.INC(FILTER(Contact_Detector!$G$2:$G$1000,(Contact_Detector!$A$2:$A$1000=$A5)*(Contact_Detector!$F$2:$F$1000="OWC")),0.9),"")</f>
        <v/>
      </c>
      <c r="J5" s="12">
        <f>IF($A5="","",COUNTIFS(Contact_Detector!$A$2:$A$1000,$A5,Contact_Detector!$F$2:$F$1000,"GWC"))</f>
        <v/>
      </c>
      <c r="K5" s="12">
        <f>IFERROR(MEDIAN(FILTER(Contact_Detector!$G$2:$G$1000,(Contact_Detector!$A$2:$A$1000=$A5)*(Contact_Detector!$F$2:$F$1000="GWC"))),"")</f>
        <v/>
      </c>
      <c r="L5" s="12">
        <f>IFERROR(PERCENTILE.INC(FILTER(Contact_Detector!$G$2:$G$1000,(Contact_Detector!$A$2:$A$1000=$A5)*(Contact_Detector!$F$2:$F$1000="GWC")),0.1),"")</f>
        <v/>
      </c>
      <c r="M5" s="12">
        <f>IFERROR(PERCENTILE.INC(FILTER(Contact_Detector!$G$2:$G$1000,(Contact_Detector!$A$2:$A$1000=$A5)*(Contact_Detector!$F$2:$F$1000="GWC")),0.9),"")</f>
        <v/>
      </c>
    </row>
    <row r="6">
      <c r="A6" s="11" t="inlineStr">
        <is>
          <t>X5</t>
        </is>
      </c>
      <c r="B6" s="11">
        <f>IF($A6="","",COUNTIFS(Contact_Detector!$A$2:$A$1000,$A6,Contact_Detector!$F$2:$F$1000,"GOC"))</f>
        <v/>
      </c>
      <c r="C6" s="12">
        <f>IFERROR(MEDIAN(FILTER(Contact_Detector!$G$2:$G$1000,(Contact_Detector!$A$2:$A$1000=$A6)*(Contact_Detector!$F$2:$F$1000="GOC"))),"")</f>
        <v/>
      </c>
      <c r="D6" s="12">
        <f>IFERROR(PERCENTILE.INC(FILTER(Contact_Detector!$G$2:$G$1000,(Contact_Detector!$A$2:$A$1000=$A6)*(Contact_Detector!$F$2:$F$1000="GOC")),0.1),"")</f>
        <v/>
      </c>
      <c r="E6" s="12">
        <f>IFERROR(PERCENTILE.INC(FILTER(Contact_Detector!$G$2:$G$1000,(Contact_Detector!$A$2:$A$1000=$A6)*(Contact_Detector!$F$2:$F$1000="GOC")),0.9),"")</f>
        <v/>
      </c>
      <c r="F6" s="12">
        <f>IF($A6="","",COUNTIFS(Contact_Detector!$A$2:$A$1000,$A6,Contact_Detector!$F$2:$F$1000,"OWC"))</f>
        <v/>
      </c>
      <c r="G6" s="12">
        <f>IFERROR(MEDIAN(FILTER(Contact_Detector!$G$2:$G$1000,(Contact_Detector!$A$2:$A$1000=$A6)*(Contact_Detector!$F$2:$F$1000="OWC"))),"")</f>
        <v/>
      </c>
      <c r="H6" s="12">
        <f>IFERROR(PERCENTILE.INC(FILTER(Contact_Detector!$G$2:$G$1000,(Contact_Detector!$A$2:$A$1000=$A6)*(Contact_Detector!$F$2:$F$1000="OWC")),0.1),"")</f>
        <v/>
      </c>
      <c r="I6" s="12">
        <f>IFERROR(PERCENTILE.INC(FILTER(Contact_Detector!$G$2:$G$1000,(Contact_Detector!$A$2:$A$1000=$A6)*(Contact_Detector!$F$2:$F$1000="OWC")),0.9),"")</f>
        <v/>
      </c>
      <c r="J6" s="12">
        <f>IF($A6="","",COUNTIFS(Contact_Detector!$A$2:$A$1000,$A6,Contact_Detector!$F$2:$F$1000,"GWC"))</f>
        <v/>
      </c>
      <c r="K6" s="12">
        <f>IFERROR(MEDIAN(FILTER(Contact_Detector!$G$2:$G$1000,(Contact_Detector!$A$2:$A$1000=$A6)*(Contact_Detector!$F$2:$F$1000="GWC"))),"")</f>
        <v/>
      </c>
      <c r="L6" s="12">
        <f>IFERROR(PERCENTILE.INC(FILTER(Contact_Detector!$G$2:$G$1000,(Contact_Detector!$A$2:$A$1000=$A6)*(Contact_Detector!$F$2:$F$1000="GWC")),0.1),"")</f>
        <v/>
      </c>
      <c r="M6" s="12">
        <f>IFERROR(PERCENTILE.INC(FILTER(Contact_Detector!$G$2:$G$1000,(Contact_Detector!$A$2:$A$1000=$A6)*(Contact_Detector!$F$2:$F$1000="GWC")),0.9),"")</f>
        <v/>
      </c>
    </row>
    <row r="7">
      <c r="A7" s="11" t="inlineStr">
        <is>
          <t>X6</t>
        </is>
      </c>
      <c r="B7" s="11">
        <f>IF($A7="","",COUNTIFS(Contact_Detector!$A$2:$A$1000,$A7,Contact_Detector!$F$2:$F$1000,"GOC"))</f>
        <v/>
      </c>
      <c r="C7" s="12">
        <f>IFERROR(MEDIAN(FILTER(Contact_Detector!$G$2:$G$1000,(Contact_Detector!$A$2:$A$1000=$A7)*(Contact_Detector!$F$2:$F$1000="GOC"))),"")</f>
        <v/>
      </c>
      <c r="D7" s="12">
        <f>IFERROR(PERCENTILE.INC(FILTER(Contact_Detector!$G$2:$G$1000,(Contact_Detector!$A$2:$A$1000=$A7)*(Contact_Detector!$F$2:$F$1000="GOC")),0.1),"")</f>
        <v/>
      </c>
      <c r="E7" s="12">
        <f>IFERROR(PERCENTILE.INC(FILTER(Contact_Detector!$G$2:$G$1000,(Contact_Detector!$A$2:$A$1000=$A7)*(Contact_Detector!$F$2:$F$1000="GOC")),0.9),"")</f>
        <v/>
      </c>
      <c r="F7" s="12">
        <f>IF($A7="","",COUNTIFS(Contact_Detector!$A$2:$A$1000,$A7,Contact_Detector!$F$2:$F$1000,"OWC"))</f>
        <v/>
      </c>
      <c r="G7" s="12">
        <f>IFERROR(MEDIAN(FILTER(Contact_Detector!$G$2:$G$1000,(Contact_Detector!$A$2:$A$1000=$A7)*(Contact_Detector!$F$2:$F$1000="OWC"))),"")</f>
        <v/>
      </c>
      <c r="H7" s="12">
        <f>IFERROR(PERCENTILE.INC(FILTER(Contact_Detector!$G$2:$G$1000,(Contact_Detector!$A$2:$A$1000=$A7)*(Contact_Detector!$F$2:$F$1000="OWC")),0.1),"")</f>
        <v/>
      </c>
      <c r="I7" s="12">
        <f>IFERROR(PERCENTILE.INC(FILTER(Contact_Detector!$G$2:$G$1000,(Contact_Detector!$A$2:$A$1000=$A7)*(Contact_Detector!$F$2:$F$1000="OWC")),0.9),"")</f>
        <v/>
      </c>
      <c r="J7" s="12">
        <f>IF($A7="","",COUNTIFS(Contact_Detector!$A$2:$A$1000,$A7,Contact_Detector!$F$2:$F$1000,"GWC"))</f>
        <v/>
      </c>
      <c r="K7" s="12">
        <f>IFERROR(MEDIAN(FILTER(Contact_Detector!$G$2:$G$1000,(Contact_Detector!$A$2:$A$1000=$A7)*(Contact_Detector!$F$2:$F$1000="GWC"))),"")</f>
        <v/>
      </c>
      <c r="L7" s="12">
        <f>IFERROR(PERCENTILE.INC(FILTER(Contact_Detector!$G$2:$G$1000,(Contact_Detector!$A$2:$A$1000=$A7)*(Contact_Detector!$F$2:$F$1000="GWC")),0.1),"")</f>
        <v/>
      </c>
      <c r="M7" s="12">
        <f>IFERROR(PERCENTILE.INC(FILTER(Contact_Detector!$G$2:$G$1000,(Contact_Detector!$A$2:$A$1000=$A7)*(Contact_Detector!$F$2:$F$1000="GWC")),0.9),"")</f>
        <v/>
      </c>
    </row>
    <row r="8">
      <c r="A8" s="11" t="inlineStr">
        <is>
          <t>X7</t>
        </is>
      </c>
      <c r="B8" s="11">
        <f>IF($A8="","",COUNTIFS(Contact_Detector!$A$2:$A$1000,$A8,Contact_Detector!$F$2:$F$1000,"GOC"))</f>
        <v/>
      </c>
      <c r="C8" s="12">
        <f>IFERROR(MEDIAN(FILTER(Contact_Detector!$G$2:$G$1000,(Contact_Detector!$A$2:$A$1000=$A8)*(Contact_Detector!$F$2:$F$1000="GOC"))),"")</f>
        <v/>
      </c>
      <c r="D8" s="12">
        <f>IFERROR(PERCENTILE.INC(FILTER(Contact_Detector!$G$2:$G$1000,(Contact_Detector!$A$2:$A$1000=$A8)*(Contact_Detector!$F$2:$F$1000="GOC")),0.1),"")</f>
        <v/>
      </c>
      <c r="E8" s="12">
        <f>IFERROR(PERCENTILE.INC(FILTER(Contact_Detector!$G$2:$G$1000,(Contact_Detector!$A$2:$A$1000=$A8)*(Contact_Detector!$F$2:$F$1000="GOC")),0.9),"")</f>
        <v/>
      </c>
      <c r="F8" s="12">
        <f>IF($A8="","",COUNTIFS(Contact_Detector!$A$2:$A$1000,$A8,Contact_Detector!$F$2:$F$1000,"OWC"))</f>
        <v/>
      </c>
      <c r="G8" s="12">
        <f>IFERROR(MEDIAN(FILTER(Contact_Detector!$G$2:$G$1000,(Contact_Detector!$A$2:$A$1000=$A8)*(Contact_Detector!$F$2:$F$1000="OWC"))),"")</f>
        <v/>
      </c>
      <c r="H8" s="12">
        <f>IFERROR(PERCENTILE.INC(FILTER(Contact_Detector!$G$2:$G$1000,(Contact_Detector!$A$2:$A$1000=$A8)*(Contact_Detector!$F$2:$F$1000="OWC")),0.1),"")</f>
        <v/>
      </c>
      <c r="I8" s="12">
        <f>IFERROR(PERCENTILE.INC(FILTER(Contact_Detector!$G$2:$G$1000,(Contact_Detector!$A$2:$A$1000=$A8)*(Contact_Detector!$F$2:$F$1000="OWC")),0.9),"")</f>
        <v/>
      </c>
      <c r="J8" s="12">
        <f>IF($A8="","",COUNTIFS(Contact_Detector!$A$2:$A$1000,$A8,Contact_Detector!$F$2:$F$1000,"GWC"))</f>
        <v/>
      </c>
      <c r="K8" s="12">
        <f>IFERROR(MEDIAN(FILTER(Contact_Detector!$G$2:$G$1000,(Contact_Detector!$A$2:$A$1000=$A8)*(Contact_Detector!$F$2:$F$1000="GWC"))),"")</f>
        <v/>
      </c>
      <c r="L8" s="12">
        <f>IFERROR(PERCENTILE.INC(FILTER(Contact_Detector!$G$2:$G$1000,(Contact_Detector!$A$2:$A$1000=$A8)*(Contact_Detector!$F$2:$F$1000="GWC")),0.1),"")</f>
        <v/>
      </c>
      <c r="M8" s="12">
        <f>IFERROR(PERCENTILE.INC(FILTER(Contact_Detector!$G$2:$G$1000,(Contact_Detector!$A$2:$A$1000=$A8)*(Contact_Detector!$F$2:$F$1000="GWC")),0.9),"")</f>
        <v/>
      </c>
    </row>
    <row r="9">
      <c r="A9" s="11" t="inlineStr">
        <is>
          <t>X8</t>
        </is>
      </c>
      <c r="B9" s="11">
        <f>IF($A9="","",COUNTIFS(Contact_Detector!$A$2:$A$1000,$A9,Contact_Detector!$F$2:$F$1000,"GOC"))</f>
        <v/>
      </c>
      <c r="C9" s="12">
        <f>IFERROR(MEDIAN(FILTER(Contact_Detector!$G$2:$G$1000,(Contact_Detector!$A$2:$A$1000=$A9)*(Contact_Detector!$F$2:$F$1000="GOC"))),"")</f>
        <v/>
      </c>
      <c r="D9" s="12">
        <f>IFERROR(PERCENTILE.INC(FILTER(Contact_Detector!$G$2:$G$1000,(Contact_Detector!$A$2:$A$1000=$A9)*(Contact_Detector!$F$2:$F$1000="GOC")),0.1),"")</f>
        <v/>
      </c>
      <c r="E9" s="12">
        <f>IFERROR(PERCENTILE.INC(FILTER(Contact_Detector!$G$2:$G$1000,(Contact_Detector!$A$2:$A$1000=$A9)*(Contact_Detector!$F$2:$F$1000="GOC")),0.9),"")</f>
        <v/>
      </c>
      <c r="F9" s="12">
        <f>IF($A9="","",COUNTIFS(Contact_Detector!$A$2:$A$1000,$A9,Contact_Detector!$F$2:$F$1000,"OWC"))</f>
        <v/>
      </c>
      <c r="G9" s="12">
        <f>IFERROR(MEDIAN(FILTER(Contact_Detector!$G$2:$G$1000,(Contact_Detector!$A$2:$A$1000=$A9)*(Contact_Detector!$F$2:$F$1000="OWC"))),"")</f>
        <v/>
      </c>
      <c r="H9" s="12">
        <f>IFERROR(PERCENTILE.INC(FILTER(Contact_Detector!$G$2:$G$1000,(Contact_Detector!$A$2:$A$1000=$A9)*(Contact_Detector!$F$2:$F$1000="OWC")),0.1),"")</f>
        <v/>
      </c>
      <c r="I9" s="12">
        <f>IFERROR(PERCENTILE.INC(FILTER(Contact_Detector!$G$2:$G$1000,(Contact_Detector!$A$2:$A$1000=$A9)*(Contact_Detector!$F$2:$F$1000="OWC")),0.9),"")</f>
        <v/>
      </c>
      <c r="J9" s="12">
        <f>IF($A9="","",COUNTIFS(Contact_Detector!$A$2:$A$1000,$A9,Contact_Detector!$F$2:$F$1000,"GWC"))</f>
        <v/>
      </c>
      <c r="K9" s="12">
        <f>IFERROR(MEDIAN(FILTER(Contact_Detector!$G$2:$G$1000,(Contact_Detector!$A$2:$A$1000=$A9)*(Contact_Detector!$F$2:$F$1000="GWC"))),"")</f>
        <v/>
      </c>
      <c r="L9" s="12">
        <f>IFERROR(PERCENTILE.INC(FILTER(Contact_Detector!$G$2:$G$1000,(Contact_Detector!$A$2:$A$1000=$A9)*(Contact_Detector!$F$2:$F$1000="GWC")),0.1),"")</f>
        <v/>
      </c>
      <c r="M9" s="12">
        <f>IFERROR(PERCENTILE.INC(FILTER(Contact_Detector!$G$2:$G$1000,(Contact_Detector!$A$2:$A$1000=$A9)*(Contact_Detector!$F$2:$F$1000="GWC")),0.9),"")</f>
        <v/>
      </c>
    </row>
    <row r="10">
      <c r="A10" s="11" t="inlineStr">
        <is>
          <t>X9</t>
        </is>
      </c>
      <c r="B10" s="11">
        <f>IF($A10="","",COUNTIFS(Contact_Detector!$A$2:$A$1000,$A10,Contact_Detector!$F$2:$F$1000,"GOC"))</f>
        <v/>
      </c>
      <c r="C10" s="12">
        <f>IFERROR(MEDIAN(FILTER(Contact_Detector!$G$2:$G$1000,(Contact_Detector!$A$2:$A$1000=$A10)*(Contact_Detector!$F$2:$F$1000="GOC"))),"")</f>
        <v/>
      </c>
      <c r="D10" s="12">
        <f>IFERROR(PERCENTILE.INC(FILTER(Contact_Detector!$G$2:$G$1000,(Contact_Detector!$A$2:$A$1000=$A10)*(Contact_Detector!$F$2:$F$1000="GOC")),0.1),"")</f>
        <v/>
      </c>
      <c r="E10" s="12">
        <f>IFERROR(PERCENTILE.INC(FILTER(Contact_Detector!$G$2:$G$1000,(Contact_Detector!$A$2:$A$1000=$A10)*(Contact_Detector!$F$2:$F$1000="GOC")),0.9),"")</f>
        <v/>
      </c>
      <c r="F10" s="12">
        <f>IF($A10="","",COUNTIFS(Contact_Detector!$A$2:$A$1000,$A10,Contact_Detector!$F$2:$F$1000,"OWC"))</f>
        <v/>
      </c>
      <c r="G10" s="12">
        <f>IFERROR(MEDIAN(FILTER(Contact_Detector!$G$2:$G$1000,(Contact_Detector!$A$2:$A$1000=$A10)*(Contact_Detector!$F$2:$F$1000="OWC"))),"")</f>
        <v/>
      </c>
      <c r="H10" s="12">
        <f>IFERROR(PERCENTILE.INC(FILTER(Contact_Detector!$G$2:$G$1000,(Contact_Detector!$A$2:$A$1000=$A10)*(Contact_Detector!$F$2:$F$1000="OWC")),0.1),"")</f>
        <v/>
      </c>
      <c r="I10" s="12">
        <f>IFERROR(PERCENTILE.INC(FILTER(Contact_Detector!$G$2:$G$1000,(Contact_Detector!$A$2:$A$1000=$A10)*(Contact_Detector!$F$2:$F$1000="OWC")),0.9),"")</f>
        <v/>
      </c>
      <c r="J10" s="12">
        <f>IF($A10="","",COUNTIFS(Contact_Detector!$A$2:$A$1000,$A10,Contact_Detector!$F$2:$F$1000,"GWC"))</f>
        <v/>
      </c>
      <c r="K10" s="12">
        <f>IFERROR(MEDIAN(FILTER(Contact_Detector!$G$2:$G$1000,(Contact_Detector!$A$2:$A$1000=$A10)*(Contact_Detector!$F$2:$F$1000="GWC"))),"")</f>
        <v/>
      </c>
      <c r="L10" s="12">
        <f>IFERROR(PERCENTILE.INC(FILTER(Contact_Detector!$G$2:$G$1000,(Contact_Detector!$A$2:$A$1000=$A10)*(Contact_Detector!$F$2:$F$1000="GWC")),0.1),"")</f>
        <v/>
      </c>
      <c r="M10" s="12">
        <f>IFERROR(PERCENTILE.INC(FILTER(Contact_Detector!$G$2:$G$1000,(Contact_Detector!$A$2:$A$1000=$A10)*(Contact_Detector!$F$2:$F$1000="GWC")),0.9),"")</f>
        <v/>
      </c>
    </row>
    <row r="11">
      <c r="A11" s="11" t="inlineStr">
        <is>
          <t>X10</t>
        </is>
      </c>
      <c r="B11" s="11">
        <f>IF($A11="","",COUNTIFS(Contact_Detector!$A$2:$A$1000,$A11,Contact_Detector!$F$2:$F$1000,"GOC"))</f>
        <v/>
      </c>
      <c r="C11" s="12">
        <f>IFERROR(MEDIAN(FILTER(Contact_Detector!$G$2:$G$1000,(Contact_Detector!$A$2:$A$1000=$A11)*(Contact_Detector!$F$2:$F$1000="GOC"))),"")</f>
        <v/>
      </c>
      <c r="D11" s="12">
        <f>IFERROR(PERCENTILE.INC(FILTER(Contact_Detector!$G$2:$G$1000,(Contact_Detector!$A$2:$A$1000=$A11)*(Contact_Detector!$F$2:$F$1000="GOC")),0.1),"")</f>
        <v/>
      </c>
      <c r="E11" s="12">
        <f>IFERROR(PERCENTILE.INC(FILTER(Contact_Detector!$G$2:$G$1000,(Contact_Detector!$A$2:$A$1000=$A11)*(Contact_Detector!$F$2:$F$1000="GOC")),0.9),"")</f>
        <v/>
      </c>
      <c r="F11" s="12">
        <f>IF($A11="","",COUNTIFS(Contact_Detector!$A$2:$A$1000,$A11,Contact_Detector!$F$2:$F$1000,"OWC"))</f>
        <v/>
      </c>
      <c r="G11" s="12">
        <f>IFERROR(MEDIAN(FILTER(Contact_Detector!$G$2:$G$1000,(Contact_Detector!$A$2:$A$1000=$A11)*(Contact_Detector!$F$2:$F$1000="OWC"))),"")</f>
        <v/>
      </c>
      <c r="H11" s="12">
        <f>IFERROR(PERCENTILE.INC(FILTER(Contact_Detector!$G$2:$G$1000,(Contact_Detector!$A$2:$A$1000=$A11)*(Contact_Detector!$F$2:$F$1000="OWC")),0.1),"")</f>
        <v/>
      </c>
      <c r="I11" s="12">
        <f>IFERROR(PERCENTILE.INC(FILTER(Contact_Detector!$G$2:$G$1000,(Contact_Detector!$A$2:$A$1000=$A11)*(Contact_Detector!$F$2:$F$1000="OWC")),0.9),"")</f>
        <v/>
      </c>
      <c r="J11" s="12">
        <f>IF($A11="","",COUNTIFS(Contact_Detector!$A$2:$A$1000,$A11,Contact_Detector!$F$2:$F$1000,"GWC"))</f>
        <v/>
      </c>
      <c r="K11" s="12">
        <f>IFERROR(MEDIAN(FILTER(Contact_Detector!$G$2:$G$1000,(Contact_Detector!$A$2:$A$1000=$A11)*(Contact_Detector!$F$2:$F$1000="GWC"))),"")</f>
        <v/>
      </c>
      <c r="L11" s="12">
        <f>IFERROR(PERCENTILE.INC(FILTER(Contact_Detector!$G$2:$G$1000,(Contact_Detector!$A$2:$A$1000=$A11)*(Contact_Detector!$F$2:$F$1000="GWC")),0.1),"")</f>
        <v/>
      </c>
      <c r="M11" s="12">
        <f>IFERROR(PERCENTILE.INC(FILTER(Contact_Detector!$G$2:$G$1000,(Contact_Detector!$A$2:$A$1000=$A11)*(Contact_Detector!$F$2:$F$1000="GWC")),0.9),"")</f>
        <v/>
      </c>
    </row>
    <row r="12">
      <c r="A12" s="11" t="inlineStr">
        <is>
          <t>X11</t>
        </is>
      </c>
      <c r="B12" s="11">
        <f>IF($A12="","",COUNTIFS(Contact_Detector!$A$2:$A$1000,$A12,Contact_Detector!$F$2:$F$1000,"GOC"))</f>
        <v/>
      </c>
      <c r="C12" s="12">
        <f>IFERROR(MEDIAN(FILTER(Contact_Detector!$G$2:$G$1000,(Contact_Detector!$A$2:$A$1000=$A12)*(Contact_Detector!$F$2:$F$1000="GOC"))),"")</f>
        <v/>
      </c>
      <c r="D12" s="12">
        <f>IFERROR(PERCENTILE.INC(FILTER(Contact_Detector!$G$2:$G$1000,(Contact_Detector!$A$2:$A$1000=$A12)*(Contact_Detector!$F$2:$F$1000="GOC")),0.1),"")</f>
        <v/>
      </c>
      <c r="E12" s="12">
        <f>IFERROR(PERCENTILE.INC(FILTER(Contact_Detector!$G$2:$G$1000,(Contact_Detector!$A$2:$A$1000=$A12)*(Contact_Detector!$F$2:$F$1000="GOC")),0.9),"")</f>
        <v/>
      </c>
      <c r="F12" s="12">
        <f>IF($A12="","",COUNTIFS(Contact_Detector!$A$2:$A$1000,$A12,Contact_Detector!$F$2:$F$1000,"OWC"))</f>
        <v/>
      </c>
      <c r="G12" s="12">
        <f>IFERROR(MEDIAN(FILTER(Contact_Detector!$G$2:$G$1000,(Contact_Detector!$A$2:$A$1000=$A12)*(Contact_Detector!$F$2:$F$1000="OWC"))),"")</f>
        <v/>
      </c>
      <c r="H12" s="12">
        <f>IFERROR(PERCENTILE.INC(FILTER(Contact_Detector!$G$2:$G$1000,(Contact_Detector!$A$2:$A$1000=$A12)*(Contact_Detector!$F$2:$F$1000="OWC")),0.1),"")</f>
        <v/>
      </c>
      <c r="I12" s="12">
        <f>IFERROR(PERCENTILE.INC(FILTER(Contact_Detector!$G$2:$G$1000,(Contact_Detector!$A$2:$A$1000=$A12)*(Contact_Detector!$F$2:$F$1000="OWC")),0.9),"")</f>
        <v/>
      </c>
      <c r="J12" s="12">
        <f>IF($A12="","",COUNTIFS(Contact_Detector!$A$2:$A$1000,$A12,Contact_Detector!$F$2:$F$1000,"GWC"))</f>
        <v/>
      </c>
      <c r="K12" s="12">
        <f>IFERROR(MEDIAN(FILTER(Contact_Detector!$G$2:$G$1000,(Contact_Detector!$A$2:$A$1000=$A12)*(Contact_Detector!$F$2:$F$1000="GWC"))),"")</f>
        <v/>
      </c>
      <c r="L12" s="12">
        <f>IFERROR(PERCENTILE.INC(FILTER(Contact_Detector!$G$2:$G$1000,(Contact_Detector!$A$2:$A$1000=$A12)*(Contact_Detector!$F$2:$F$1000="GWC")),0.1),"")</f>
        <v/>
      </c>
      <c r="M12" s="12">
        <f>IFERROR(PERCENTILE.INC(FILTER(Contact_Detector!$G$2:$G$1000,(Contact_Detector!$A$2:$A$1000=$A12)*(Contact_Detector!$F$2:$F$1000="GWC")),0.9),"")</f>
        <v/>
      </c>
    </row>
    <row r="13">
      <c r="A13" s="11" t="inlineStr">
        <is>
          <t>X12</t>
        </is>
      </c>
      <c r="B13" s="11">
        <f>IF($A13="","",COUNTIFS(Contact_Detector!$A$2:$A$1000,$A13,Contact_Detector!$F$2:$F$1000,"GOC"))</f>
        <v/>
      </c>
      <c r="C13" s="12">
        <f>IFERROR(MEDIAN(FILTER(Contact_Detector!$G$2:$G$1000,(Contact_Detector!$A$2:$A$1000=$A13)*(Contact_Detector!$F$2:$F$1000="GOC"))),"")</f>
        <v/>
      </c>
      <c r="D13" s="12">
        <f>IFERROR(PERCENTILE.INC(FILTER(Contact_Detector!$G$2:$G$1000,(Contact_Detector!$A$2:$A$1000=$A13)*(Contact_Detector!$F$2:$F$1000="GOC")),0.1),"")</f>
        <v/>
      </c>
      <c r="E13" s="12">
        <f>IFERROR(PERCENTILE.INC(FILTER(Contact_Detector!$G$2:$G$1000,(Contact_Detector!$A$2:$A$1000=$A13)*(Contact_Detector!$F$2:$F$1000="GOC")),0.9),"")</f>
        <v/>
      </c>
      <c r="F13" s="12">
        <f>IF($A13="","",COUNTIFS(Contact_Detector!$A$2:$A$1000,$A13,Contact_Detector!$F$2:$F$1000,"OWC"))</f>
        <v/>
      </c>
      <c r="G13" s="12">
        <f>IFERROR(MEDIAN(FILTER(Contact_Detector!$G$2:$G$1000,(Contact_Detector!$A$2:$A$1000=$A13)*(Contact_Detector!$F$2:$F$1000="OWC"))),"")</f>
        <v/>
      </c>
      <c r="H13" s="12">
        <f>IFERROR(PERCENTILE.INC(FILTER(Contact_Detector!$G$2:$G$1000,(Contact_Detector!$A$2:$A$1000=$A13)*(Contact_Detector!$F$2:$F$1000="OWC")),0.1),"")</f>
        <v/>
      </c>
      <c r="I13" s="12">
        <f>IFERROR(PERCENTILE.INC(FILTER(Contact_Detector!$G$2:$G$1000,(Contact_Detector!$A$2:$A$1000=$A13)*(Contact_Detector!$F$2:$F$1000="OWC")),0.9),"")</f>
        <v/>
      </c>
      <c r="J13" s="12">
        <f>IF($A13="","",COUNTIFS(Contact_Detector!$A$2:$A$1000,$A13,Contact_Detector!$F$2:$F$1000,"GWC"))</f>
        <v/>
      </c>
      <c r="K13" s="12">
        <f>IFERROR(MEDIAN(FILTER(Contact_Detector!$G$2:$G$1000,(Contact_Detector!$A$2:$A$1000=$A13)*(Contact_Detector!$F$2:$F$1000="GWC"))),"")</f>
        <v/>
      </c>
      <c r="L13" s="12">
        <f>IFERROR(PERCENTILE.INC(FILTER(Contact_Detector!$G$2:$G$1000,(Contact_Detector!$A$2:$A$1000=$A13)*(Contact_Detector!$F$2:$F$1000="GWC")),0.1),"")</f>
        <v/>
      </c>
      <c r="M13" s="12">
        <f>IFERROR(PERCENTILE.INC(FILTER(Contact_Detector!$G$2:$G$1000,(Contact_Detector!$A$2:$A$1000=$A13)*(Contact_Detector!$F$2:$F$1000="GWC")),0.9),"")</f>
        <v/>
      </c>
    </row>
    <row r="14">
      <c r="A14" s="11" t="inlineStr">
        <is>
          <t>X13</t>
        </is>
      </c>
      <c r="B14" s="11">
        <f>IF($A14="","",COUNTIFS(Contact_Detector!$A$2:$A$1000,$A14,Contact_Detector!$F$2:$F$1000,"GOC"))</f>
        <v/>
      </c>
      <c r="C14" s="12">
        <f>IFERROR(MEDIAN(FILTER(Contact_Detector!$G$2:$G$1000,(Contact_Detector!$A$2:$A$1000=$A14)*(Contact_Detector!$F$2:$F$1000="GOC"))),"")</f>
        <v/>
      </c>
      <c r="D14" s="12">
        <f>IFERROR(PERCENTILE.INC(FILTER(Contact_Detector!$G$2:$G$1000,(Contact_Detector!$A$2:$A$1000=$A14)*(Contact_Detector!$F$2:$F$1000="GOC")),0.1),"")</f>
        <v/>
      </c>
      <c r="E14" s="12">
        <f>IFERROR(PERCENTILE.INC(FILTER(Contact_Detector!$G$2:$G$1000,(Contact_Detector!$A$2:$A$1000=$A14)*(Contact_Detector!$F$2:$F$1000="GOC")),0.9),"")</f>
        <v/>
      </c>
      <c r="F14" s="12">
        <f>IF($A14="","",COUNTIFS(Contact_Detector!$A$2:$A$1000,$A14,Contact_Detector!$F$2:$F$1000,"OWC"))</f>
        <v/>
      </c>
      <c r="G14" s="12">
        <f>IFERROR(MEDIAN(FILTER(Contact_Detector!$G$2:$G$1000,(Contact_Detector!$A$2:$A$1000=$A14)*(Contact_Detector!$F$2:$F$1000="OWC"))),"")</f>
        <v/>
      </c>
      <c r="H14" s="12">
        <f>IFERROR(PERCENTILE.INC(FILTER(Contact_Detector!$G$2:$G$1000,(Contact_Detector!$A$2:$A$1000=$A14)*(Contact_Detector!$F$2:$F$1000="OWC")),0.1),"")</f>
        <v/>
      </c>
      <c r="I14" s="12">
        <f>IFERROR(PERCENTILE.INC(FILTER(Contact_Detector!$G$2:$G$1000,(Contact_Detector!$A$2:$A$1000=$A14)*(Contact_Detector!$F$2:$F$1000="OWC")),0.9),"")</f>
        <v/>
      </c>
      <c r="J14" s="12">
        <f>IF($A14="","",COUNTIFS(Contact_Detector!$A$2:$A$1000,$A14,Contact_Detector!$F$2:$F$1000,"GWC"))</f>
        <v/>
      </c>
      <c r="K14" s="12">
        <f>IFERROR(MEDIAN(FILTER(Contact_Detector!$G$2:$G$1000,(Contact_Detector!$A$2:$A$1000=$A14)*(Contact_Detector!$F$2:$F$1000="GWC"))),"")</f>
        <v/>
      </c>
      <c r="L14" s="12">
        <f>IFERROR(PERCENTILE.INC(FILTER(Contact_Detector!$G$2:$G$1000,(Contact_Detector!$A$2:$A$1000=$A14)*(Contact_Detector!$F$2:$F$1000="GWC")),0.1),"")</f>
        <v/>
      </c>
      <c r="M14" s="12">
        <f>IFERROR(PERCENTILE.INC(FILTER(Contact_Detector!$G$2:$G$1000,(Contact_Detector!$A$2:$A$1000=$A14)*(Contact_Detector!$F$2:$F$1000="GWC")),0.9),"")</f>
        <v/>
      </c>
    </row>
    <row r="15">
      <c r="A15" s="11" t="inlineStr">
        <is>
          <t>X14</t>
        </is>
      </c>
      <c r="B15" s="11">
        <f>IF($A15="","",COUNTIFS(Contact_Detector!$A$2:$A$1000,$A15,Contact_Detector!$F$2:$F$1000,"GOC"))</f>
        <v/>
      </c>
      <c r="C15" s="12">
        <f>IFERROR(MEDIAN(FILTER(Contact_Detector!$G$2:$G$1000,(Contact_Detector!$A$2:$A$1000=$A15)*(Contact_Detector!$F$2:$F$1000="GOC"))),"")</f>
        <v/>
      </c>
      <c r="D15" s="12">
        <f>IFERROR(PERCENTILE.INC(FILTER(Contact_Detector!$G$2:$G$1000,(Contact_Detector!$A$2:$A$1000=$A15)*(Contact_Detector!$F$2:$F$1000="GOC")),0.1),"")</f>
        <v/>
      </c>
      <c r="E15" s="12">
        <f>IFERROR(PERCENTILE.INC(FILTER(Contact_Detector!$G$2:$G$1000,(Contact_Detector!$A$2:$A$1000=$A15)*(Contact_Detector!$F$2:$F$1000="GOC")),0.9),"")</f>
        <v/>
      </c>
      <c r="F15" s="12">
        <f>IF($A15="","",COUNTIFS(Contact_Detector!$A$2:$A$1000,$A15,Contact_Detector!$F$2:$F$1000,"OWC"))</f>
        <v/>
      </c>
      <c r="G15" s="12">
        <f>IFERROR(MEDIAN(FILTER(Contact_Detector!$G$2:$G$1000,(Contact_Detector!$A$2:$A$1000=$A15)*(Contact_Detector!$F$2:$F$1000="OWC"))),"")</f>
        <v/>
      </c>
      <c r="H15" s="12">
        <f>IFERROR(PERCENTILE.INC(FILTER(Contact_Detector!$G$2:$G$1000,(Contact_Detector!$A$2:$A$1000=$A15)*(Contact_Detector!$F$2:$F$1000="OWC")),0.1),"")</f>
        <v/>
      </c>
      <c r="I15" s="12">
        <f>IFERROR(PERCENTILE.INC(FILTER(Contact_Detector!$G$2:$G$1000,(Contact_Detector!$A$2:$A$1000=$A15)*(Contact_Detector!$F$2:$F$1000="OWC")),0.9),"")</f>
        <v/>
      </c>
      <c r="J15" s="12">
        <f>IF($A15="","",COUNTIFS(Contact_Detector!$A$2:$A$1000,$A15,Contact_Detector!$F$2:$F$1000,"GWC"))</f>
        <v/>
      </c>
      <c r="K15" s="12">
        <f>IFERROR(MEDIAN(FILTER(Contact_Detector!$G$2:$G$1000,(Contact_Detector!$A$2:$A$1000=$A15)*(Contact_Detector!$F$2:$F$1000="GWC"))),"")</f>
        <v/>
      </c>
      <c r="L15" s="12">
        <f>IFERROR(PERCENTILE.INC(FILTER(Contact_Detector!$G$2:$G$1000,(Contact_Detector!$A$2:$A$1000=$A15)*(Contact_Detector!$F$2:$F$1000="GWC")),0.1),"")</f>
        <v/>
      </c>
      <c r="M15" s="12">
        <f>IFERROR(PERCENTILE.INC(FILTER(Contact_Detector!$G$2:$G$1000,(Contact_Detector!$A$2:$A$1000=$A15)*(Contact_Detector!$F$2:$F$1000="GWC")),0.9),"")</f>
        <v/>
      </c>
    </row>
    <row r="16">
      <c r="A16" s="11" t="inlineStr">
        <is>
          <t>X15</t>
        </is>
      </c>
      <c r="B16" s="11">
        <f>IF($A16="","",COUNTIFS(Contact_Detector!$A$2:$A$1000,$A16,Contact_Detector!$F$2:$F$1000,"GOC"))</f>
        <v/>
      </c>
      <c r="C16" s="12">
        <f>IFERROR(MEDIAN(FILTER(Contact_Detector!$G$2:$G$1000,(Contact_Detector!$A$2:$A$1000=$A16)*(Contact_Detector!$F$2:$F$1000="GOC"))),"")</f>
        <v/>
      </c>
      <c r="D16" s="12">
        <f>IFERROR(PERCENTILE.INC(FILTER(Contact_Detector!$G$2:$G$1000,(Contact_Detector!$A$2:$A$1000=$A16)*(Contact_Detector!$F$2:$F$1000="GOC")),0.1),"")</f>
        <v/>
      </c>
      <c r="E16" s="12">
        <f>IFERROR(PERCENTILE.INC(FILTER(Contact_Detector!$G$2:$G$1000,(Contact_Detector!$A$2:$A$1000=$A16)*(Contact_Detector!$F$2:$F$1000="GOC")),0.9),"")</f>
        <v/>
      </c>
      <c r="F16" s="12">
        <f>IF($A16="","",COUNTIFS(Contact_Detector!$A$2:$A$1000,$A16,Contact_Detector!$F$2:$F$1000,"OWC"))</f>
        <v/>
      </c>
      <c r="G16" s="12">
        <f>IFERROR(MEDIAN(FILTER(Contact_Detector!$G$2:$G$1000,(Contact_Detector!$A$2:$A$1000=$A16)*(Contact_Detector!$F$2:$F$1000="OWC"))),"")</f>
        <v/>
      </c>
      <c r="H16" s="12">
        <f>IFERROR(PERCENTILE.INC(FILTER(Contact_Detector!$G$2:$G$1000,(Contact_Detector!$A$2:$A$1000=$A16)*(Contact_Detector!$F$2:$F$1000="OWC")),0.1),"")</f>
        <v/>
      </c>
      <c r="I16" s="12">
        <f>IFERROR(PERCENTILE.INC(FILTER(Contact_Detector!$G$2:$G$1000,(Contact_Detector!$A$2:$A$1000=$A16)*(Contact_Detector!$F$2:$F$1000="OWC")),0.9),"")</f>
        <v/>
      </c>
      <c r="J16" s="12">
        <f>IF($A16="","",COUNTIFS(Contact_Detector!$A$2:$A$1000,$A16,Contact_Detector!$F$2:$F$1000,"GWC"))</f>
        <v/>
      </c>
      <c r="K16" s="12">
        <f>IFERROR(MEDIAN(FILTER(Contact_Detector!$G$2:$G$1000,(Contact_Detector!$A$2:$A$1000=$A16)*(Contact_Detector!$F$2:$F$1000="GWC"))),"")</f>
        <v/>
      </c>
      <c r="L16" s="12">
        <f>IFERROR(PERCENTILE.INC(FILTER(Contact_Detector!$G$2:$G$1000,(Contact_Detector!$A$2:$A$1000=$A16)*(Contact_Detector!$F$2:$F$1000="GWC")),0.1),"")</f>
        <v/>
      </c>
      <c r="M16" s="12">
        <f>IFERROR(PERCENTILE.INC(FILTER(Contact_Detector!$G$2:$G$1000,(Contact_Detector!$A$2:$A$1000=$A16)*(Contact_Detector!$F$2:$F$1000="GWC")),0.9),"")</f>
        <v/>
      </c>
    </row>
    <row r="17">
      <c r="A17" s="11" t="inlineStr">
        <is>
          <t>X16</t>
        </is>
      </c>
      <c r="B17" s="11">
        <f>IF($A17="","",COUNTIFS(Contact_Detector!$A$2:$A$1000,$A17,Contact_Detector!$F$2:$F$1000,"GOC"))</f>
        <v/>
      </c>
      <c r="C17" s="12">
        <f>IFERROR(MEDIAN(FILTER(Contact_Detector!$G$2:$G$1000,(Contact_Detector!$A$2:$A$1000=$A17)*(Contact_Detector!$F$2:$F$1000="GOC"))),"")</f>
        <v/>
      </c>
      <c r="D17" s="12">
        <f>IFERROR(PERCENTILE.INC(FILTER(Contact_Detector!$G$2:$G$1000,(Contact_Detector!$A$2:$A$1000=$A17)*(Contact_Detector!$F$2:$F$1000="GOC")),0.1),"")</f>
        <v/>
      </c>
      <c r="E17" s="12">
        <f>IFERROR(PERCENTILE.INC(FILTER(Contact_Detector!$G$2:$G$1000,(Contact_Detector!$A$2:$A$1000=$A17)*(Contact_Detector!$F$2:$F$1000="GOC")),0.9),"")</f>
        <v/>
      </c>
      <c r="F17" s="12">
        <f>IF($A17="","",COUNTIFS(Contact_Detector!$A$2:$A$1000,$A17,Contact_Detector!$F$2:$F$1000,"OWC"))</f>
        <v/>
      </c>
      <c r="G17" s="12">
        <f>IFERROR(MEDIAN(FILTER(Contact_Detector!$G$2:$G$1000,(Contact_Detector!$A$2:$A$1000=$A17)*(Contact_Detector!$F$2:$F$1000="OWC"))),"")</f>
        <v/>
      </c>
      <c r="H17" s="12">
        <f>IFERROR(PERCENTILE.INC(FILTER(Contact_Detector!$G$2:$G$1000,(Contact_Detector!$A$2:$A$1000=$A17)*(Contact_Detector!$F$2:$F$1000="OWC")),0.1),"")</f>
        <v/>
      </c>
      <c r="I17" s="12">
        <f>IFERROR(PERCENTILE.INC(FILTER(Contact_Detector!$G$2:$G$1000,(Contact_Detector!$A$2:$A$1000=$A17)*(Contact_Detector!$F$2:$F$1000="OWC")),0.9),"")</f>
        <v/>
      </c>
      <c r="J17" s="12">
        <f>IF($A17="","",COUNTIFS(Contact_Detector!$A$2:$A$1000,$A17,Contact_Detector!$F$2:$F$1000,"GWC"))</f>
        <v/>
      </c>
      <c r="K17" s="12">
        <f>IFERROR(MEDIAN(FILTER(Contact_Detector!$G$2:$G$1000,(Contact_Detector!$A$2:$A$1000=$A17)*(Contact_Detector!$F$2:$F$1000="GWC"))),"")</f>
        <v/>
      </c>
      <c r="L17" s="12">
        <f>IFERROR(PERCENTILE.INC(FILTER(Contact_Detector!$G$2:$G$1000,(Contact_Detector!$A$2:$A$1000=$A17)*(Contact_Detector!$F$2:$F$1000="GWC")),0.1),"")</f>
        <v/>
      </c>
      <c r="M17" s="12">
        <f>IFERROR(PERCENTILE.INC(FILTER(Contact_Detector!$G$2:$G$1000,(Contact_Detector!$A$2:$A$1000=$A17)*(Contact_Detector!$F$2:$F$1000="GWC")),0.9),"")</f>
        <v/>
      </c>
    </row>
    <row r="18">
      <c r="A18" s="11" t="inlineStr">
        <is>
          <t>X17</t>
        </is>
      </c>
      <c r="B18" s="11">
        <f>IF($A18="","",COUNTIFS(Contact_Detector!$A$2:$A$1000,$A18,Contact_Detector!$F$2:$F$1000,"GOC"))</f>
        <v/>
      </c>
      <c r="C18" s="12">
        <f>IFERROR(MEDIAN(FILTER(Contact_Detector!$G$2:$G$1000,(Contact_Detector!$A$2:$A$1000=$A18)*(Contact_Detector!$F$2:$F$1000="GOC"))),"")</f>
        <v/>
      </c>
      <c r="D18" s="12">
        <f>IFERROR(PERCENTILE.INC(FILTER(Contact_Detector!$G$2:$G$1000,(Contact_Detector!$A$2:$A$1000=$A18)*(Contact_Detector!$F$2:$F$1000="GOC")),0.1),"")</f>
        <v/>
      </c>
      <c r="E18" s="12">
        <f>IFERROR(PERCENTILE.INC(FILTER(Contact_Detector!$G$2:$G$1000,(Contact_Detector!$A$2:$A$1000=$A18)*(Contact_Detector!$F$2:$F$1000="GOC")),0.9),"")</f>
        <v/>
      </c>
      <c r="F18" s="12">
        <f>IF($A18="","",COUNTIFS(Contact_Detector!$A$2:$A$1000,$A18,Contact_Detector!$F$2:$F$1000,"OWC"))</f>
        <v/>
      </c>
      <c r="G18" s="12">
        <f>IFERROR(MEDIAN(FILTER(Contact_Detector!$G$2:$G$1000,(Contact_Detector!$A$2:$A$1000=$A18)*(Contact_Detector!$F$2:$F$1000="OWC"))),"")</f>
        <v/>
      </c>
      <c r="H18" s="12">
        <f>IFERROR(PERCENTILE.INC(FILTER(Contact_Detector!$G$2:$G$1000,(Contact_Detector!$A$2:$A$1000=$A18)*(Contact_Detector!$F$2:$F$1000="OWC")),0.1),"")</f>
        <v/>
      </c>
      <c r="I18" s="12">
        <f>IFERROR(PERCENTILE.INC(FILTER(Contact_Detector!$G$2:$G$1000,(Contact_Detector!$A$2:$A$1000=$A18)*(Contact_Detector!$F$2:$F$1000="OWC")),0.9),"")</f>
        <v/>
      </c>
      <c r="J18" s="12">
        <f>IF($A18="","",COUNTIFS(Contact_Detector!$A$2:$A$1000,$A18,Contact_Detector!$F$2:$F$1000,"GWC"))</f>
        <v/>
      </c>
      <c r="K18" s="12">
        <f>IFERROR(MEDIAN(FILTER(Contact_Detector!$G$2:$G$1000,(Contact_Detector!$A$2:$A$1000=$A18)*(Contact_Detector!$F$2:$F$1000="GWC"))),"")</f>
        <v/>
      </c>
      <c r="L18" s="12">
        <f>IFERROR(PERCENTILE.INC(FILTER(Contact_Detector!$G$2:$G$1000,(Contact_Detector!$A$2:$A$1000=$A18)*(Contact_Detector!$F$2:$F$1000="GWC")),0.1),"")</f>
        <v/>
      </c>
      <c r="M18" s="12">
        <f>IFERROR(PERCENTILE.INC(FILTER(Contact_Detector!$G$2:$G$1000,(Contact_Detector!$A$2:$A$1000=$A18)*(Contact_Detector!$F$2:$F$1000="GWC")),0.9),"")</f>
        <v/>
      </c>
    </row>
    <row r="19">
      <c r="A19" s="11" t="inlineStr">
        <is>
          <t>X18</t>
        </is>
      </c>
      <c r="B19" s="11">
        <f>IF($A19="","",COUNTIFS(Contact_Detector!$A$2:$A$1000,$A19,Contact_Detector!$F$2:$F$1000,"GOC"))</f>
        <v/>
      </c>
      <c r="C19" s="12">
        <f>IFERROR(MEDIAN(FILTER(Contact_Detector!$G$2:$G$1000,(Contact_Detector!$A$2:$A$1000=$A19)*(Contact_Detector!$F$2:$F$1000="GOC"))),"")</f>
        <v/>
      </c>
      <c r="D19" s="12">
        <f>IFERROR(PERCENTILE.INC(FILTER(Contact_Detector!$G$2:$G$1000,(Contact_Detector!$A$2:$A$1000=$A19)*(Contact_Detector!$F$2:$F$1000="GOC")),0.1),"")</f>
        <v/>
      </c>
      <c r="E19" s="12">
        <f>IFERROR(PERCENTILE.INC(FILTER(Contact_Detector!$G$2:$G$1000,(Contact_Detector!$A$2:$A$1000=$A19)*(Contact_Detector!$F$2:$F$1000="GOC")),0.9),"")</f>
        <v/>
      </c>
      <c r="F19" s="12">
        <f>IF($A19="","",COUNTIFS(Contact_Detector!$A$2:$A$1000,$A19,Contact_Detector!$F$2:$F$1000,"OWC"))</f>
        <v/>
      </c>
      <c r="G19" s="12">
        <f>IFERROR(MEDIAN(FILTER(Contact_Detector!$G$2:$G$1000,(Contact_Detector!$A$2:$A$1000=$A19)*(Contact_Detector!$F$2:$F$1000="OWC"))),"")</f>
        <v/>
      </c>
      <c r="H19" s="12">
        <f>IFERROR(PERCENTILE.INC(FILTER(Contact_Detector!$G$2:$G$1000,(Contact_Detector!$A$2:$A$1000=$A19)*(Contact_Detector!$F$2:$F$1000="OWC")),0.1),"")</f>
        <v/>
      </c>
      <c r="I19" s="12">
        <f>IFERROR(PERCENTILE.INC(FILTER(Contact_Detector!$G$2:$G$1000,(Contact_Detector!$A$2:$A$1000=$A19)*(Contact_Detector!$F$2:$F$1000="OWC")),0.9),"")</f>
        <v/>
      </c>
      <c r="J19" s="12">
        <f>IF($A19="","",COUNTIFS(Contact_Detector!$A$2:$A$1000,$A19,Contact_Detector!$F$2:$F$1000,"GWC"))</f>
        <v/>
      </c>
      <c r="K19" s="12">
        <f>IFERROR(MEDIAN(FILTER(Contact_Detector!$G$2:$G$1000,(Contact_Detector!$A$2:$A$1000=$A19)*(Contact_Detector!$F$2:$F$1000="GWC"))),"")</f>
        <v/>
      </c>
      <c r="L19" s="12">
        <f>IFERROR(PERCENTILE.INC(FILTER(Contact_Detector!$G$2:$G$1000,(Contact_Detector!$A$2:$A$1000=$A19)*(Contact_Detector!$F$2:$F$1000="GWC")),0.1),"")</f>
        <v/>
      </c>
      <c r="M19" s="12">
        <f>IFERROR(PERCENTILE.INC(FILTER(Contact_Detector!$G$2:$G$1000,(Contact_Detector!$A$2:$A$1000=$A19)*(Contact_Detector!$F$2:$F$1000="GWC")),0.9),"")</f>
        <v/>
      </c>
    </row>
    <row r="20">
      <c r="A20" s="11" t="inlineStr">
        <is>
          <t>X19</t>
        </is>
      </c>
      <c r="B20" s="11">
        <f>IF($A20="","",COUNTIFS(Contact_Detector!$A$2:$A$1000,$A20,Contact_Detector!$F$2:$F$1000,"GOC"))</f>
        <v/>
      </c>
      <c r="C20" s="12">
        <f>IFERROR(MEDIAN(FILTER(Contact_Detector!$G$2:$G$1000,(Contact_Detector!$A$2:$A$1000=$A20)*(Contact_Detector!$F$2:$F$1000="GOC"))),"")</f>
        <v/>
      </c>
      <c r="D20" s="12">
        <f>IFERROR(PERCENTILE.INC(FILTER(Contact_Detector!$G$2:$G$1000,(Contact_Detector!$A$2:$A$1000=$A20)*(Contact_Detector!$F$2:$F$1000="GOC")),0.1),"")</f>
        <v/>
      </c>
      <c r="E20" s="12">
        <f>IFERROR(PERCENTILE.INC(FILTER(Contact_Detector!$G$2:$G$1000,(Contact_Detector!$A$2:$A$1000=$A20)*(Contact_Detector!$F$2:$F$1000="GOC")),0.9),"")</f>
        <v/>
      </c>
      <c r="F20" s="12">
        <f>IF($A20="","",COUNTIFS(Contact_Detector!$A$2:$A$1000,$A20,Contact_Detector!$F$2:$F$1000,"OWC"))</f>
        <v/>
      </c>
      <c r="G20" s="12">
        <f>IFERROR(MEDIAN(FILTER(Contact_Detector!$G$2:$G$1000,(Contact_Detector!$A$2:$A$1000=$A20)*(Contact_Detector!$F$2:$F$1000="OWC"))),"")</f>
        <v/>
      </c>
      <c r="H20" s="12">
        <f>IFERROR(PERCENTILE.INC(FILTER(Contact_Detector!$G$2:$G$1000,(Contact_Detector!$A$2:$A$1000=$A20)*(Contact_Detector!$F$2:$F$1000="OWC")),0.1),"")</f>
        <v/>
      </c>
      <c r="I20" s="12">
        <f>IFERROR(PERCENTILE.INC(FILTER(Contact_Detector!$G$2:$G$1000,(Contact_Detector!$A$2:$A$1000=$A20)*(Contact_Detector!$F$2:$F$1000="OWC")),0.9),"")</f>
        <v/>
      </c>
      <c r="J20" s="12">
        <f>IF($A20="","",COUNTIFS(Contact_Detector!$A$2:$A$1000,$A20,Contact_Detector!$F$2:$F$1000,"GWC"))</f>
        <v/>
      </c>
      <c r="K20" s="12">
        <f>IFERROR(MEDIAN(FILTER(Contact_Detector!$G$2:$G$1000,(Contact_Detector!$A$2:$A$1000=$A20)*(Contact_Detector!$F$2:$F$1000="GWC"))),"")</f>
        <v/>
      </c>
      <c r="L20" s="12">
        <f>IFERROR(PERCENTILE.INC(FILTER(Contact_Detector!$G$2:$G$1000,(Contact_Detector!$A$2:$A$1000=$A20)*(Contact_Detector!$F$2:$F$1000="GWC")),0.1),"")</f>
        <v/>
      </c>
      <c r="M20" s="12">
        <f>IFERROR(PERCENTILE.INC(FILTER(Contact_Detector!$G$2:$G$1000,(Contact_Detector!$A$2:$A$1000=$A20)*(Contact_Detector!$F$2:$F$1000="GWC")),0.9),"")</f>
        <v/>
      </c>
    </row>
    <row r="21">
      <c r="A21" s="11" t="inlineStr">
        <is>
          <t>X20</t>
        </is>
      </c>
      <c r="B21" s="11">
        <f>IF($A21="","",COUNTIFS(Contact_Detector!$A$2:$A$1000,$A21,Contact_Detector!$F$2:$F$1000,"GOC"))</f>
        <v/>
      </c>
      <c r="C21" s="12">
        <f>IFERROR(MEDIAN(FILTER(Contact_Detector!$G$2:$G$1000,(Contact_Detector!$A$2:$A$1000=$A21)*(Contact_Detector!$F$2:$F$1000="GOC"))),"")</f>
        <v/>
      </c>
      <c r="D21" s="12">
        <f>IFERROR(PERCENTILE.INC(FILTER(Contact_Detector!$G$2:$G$1000,(Contact_Detector!$A$2:$A$1000=$A21)*(Contact_Detector!$F$2:$F$1000="GOC")),0.1),"")</f>
        <v/>
      </c>
      <c r="E21" s="12">
        <f>IFERROR(PERCENTILE.INC(FILTER(Contact_Detector!$G$2:$G$1000,(Contact_Detector!$A$2:$A$1000=$A21)*(Contact_Detector!$F$2:$F$1000="GOC")),0.9),"")</f>
        <v/>
      </c>
      <c r="F21" s="12">
        <f>IF($A21="","",COUNTIFS(Contact_Detector!$A$2:$A$1000,$A21,Contact_Detector!$F$2:$F$1000,"OWC"))</f>
        <v/>
      </c>
      <c r="G21" s="12">
        <f>IFERROR(MEDIAN(FILTER(Contact_Detector!$G$2:$G$1000,(Contact_Detector!$A$2:$A$1000=$A21)*(Contact_Detector!$F$2:$F$1000="OWC"))),"")</f>
        <v/>
      </c>
      <c r="H21" s="12">
        <f>IFERROR(PERCENTILE.INC(FILTER(Contact_Detector!$G$2:$G$1000,(Contact_Detector!$A$2:$A$1000=$A21)*(Contact_Detector!$F$2:$F$1000="OWC")),0.1),"")</f>
        <v/>
      </c>
      <c r="I21" s="12">
        <f>IFERROR(PERCENTILE.INC(FILTER(Contact_Detector!$G$2:$G$1000,(Contact_Detector!$A$2:$A$1000=$A21)*(Contact_Detector!$F$2:$F$1000="OWC")),0.9),"")</f>
        <v/>
      </c>
      <c r="J21" s="12">
        <f>IF($A21="","",COUNTIFS(Contact_Detector!$A$2:$A$1000,$A21,Contact_Detector!$F$2:$F$1000,"GWC"))</f>
        <v/>
      </c>
      <c r="K21" s="12">
        <f>IFERROR(MEDIAN(FILTER(Contact_Detector!$G$2:$G$1000,(Contact_Detector!$A$2:$A$1000=$A21)*(Contact_Detector!$F$2:$F$1000="GWC"))),"")</f>
        <v/>
      </c>
      <c r="L21" s="12">
        <f>IFERROR(PERCENTILE.INC(FILTER(Contact_Detector!$G$2:$G$1000,(Contact_Detector!$A$2:$A$1000=$A21)*(Contact_Detector!$F$2:$F$1000="GWC")),0.1),"")</f>
        <v/>
      </c>
      <c r="M21" s="12">
        <f>IFERROR(PERCENTILE.INC(FILTER(Contact_Detector!$G$2:$G$1000,(Contact_Detector!$A$2:$A$1000=$A21)*(Contact_Detector!$F$2:$F$1000="GWC")),0.9),"")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58" customWidth="1" min="3" max="3"/>
    <col width="52" customWidth="1" min="4" max="4"/>
  </cols>
  <sheetData>
    <row r="1">
      <c r="A1" s="13" t="inlineStr">
        <is>
          <t>METHOD / RESEARCH TRACEABILITY</t>
        </is>
      </c>
    </row>
    <row r="3" ht="30" customHeight="1">
      <c r="A3" s="8" t="inlineStr">
        <is>
          <t>Component</t>
        </is>
      </c>
      <c r="B3" s="8" t="inlineStr">
        <is>
          <t>Implementation in tool</t>
        </is>
      </c>
      <c r="C3" s="8" t="inlineStr">
        <is>
          <t>Research rationale</t>
        </is>
      </c>
      <c r="D3" s="8" t="inlineStr">
        <is>
          <t>Caution</t>
        </is>
      </c>
      <c r="E3" s="8" t="n"/>
      <c r="F3" s="8" t="n"/>
    </row>
    <row r="4">
      <c r="A4" s="14" t="inlineStr">
        <is>
          <t>Fluid classification</t>
        </is>
      </c>
      <c r="B4" s="14" t="inlineStr">
        <is>
          <t>Automatic parsing + optional override</t>
        </is>
      </c>
      <c r="C4" s="14" t="inlineStr">
        <is>
          <t>Preserve formation-specific gas/oil/water/transition information rather than forcing a common contact.</t>
        </is>
      </c>
      <c r="D4" s="14" t="inlineStr">
        <is>
          <t>Text classification is only as good as the supplied fluid description.</t>
        </is>
      </c>
    </row>
    <row r="5">
      <c r="A5" s="14" t="inlineStr">
        <is>
          <t>Top / base</t>
        </is>
      </c>
      <c r="B5" s="14" t="inlineStr">
        <is>
          <t>Top=TVD_SCS; Base=TVD_SCS + TST-S when available, otherwise Gross TST</t>
        </is>
      </c>
      <c r="C5" s="14" t="inlineStr">
        <is>
          <t>Matches the supplied methodology for theoretical shifted positions and original thickness reference.</t>
        </is>
      </c>
      <c r="D5" s="14" t="inlineStr">
        <is>
          <t>TST-S is not present in the original master, so the optional field should be populated when available.</t>
        </is>
      </c>
    </row>
    <row r="6">
      <c r="A6" s="14" t="inlineStr">
        <is>
          <t>Contact candidate</t>
        </is>
      </c>
      <c r="B6" s="14" t="inlineStr">
        <is>
          <t>Adjacent shallow-to-deep fluid transition or mixed-fluid interval</t>
        </is>
      </c>
      <c r="C6" s="14" t="inlineStr">
        <is>
          <t>Makes contact interpretation formation-specific and avoids forcing a single field-wide contact.</t>
        </is>
      </c>
      <c r="D6" s="14" t="inlineStr">
        <is>
          <t>Requires records to be ordered shallow-to-deep within each well.</t>
        </is>
      </c>
    </row>
    <row r="7">
      <c r="A7" s="14" t="inlineStr">
        <is>
          <t>Uncertainty</t>
        </is>
      </c>
      <c r="B7" s="14" t="inlineStr">
        <is>
          <t>MAX(5 m, 3% × effective thickness)</t>
        </is>
      </c>
      <c r="C7" s="14" t="inlineStr">
        <is>
          <t>Screening envelope used in the supplied CHIRAG FLOWSCAPE manuscript.</t>
        </is>
      </c>
      <c r="D7" s="14" t="inlineStr">
        <is>
          <t>This is a screening assumption; field implementation should derive uncertainty from seismic, correlation, pressure and calibration.</t>
        </is>
      </c>
    </row>
    <row r="8">
      <c r="A8" s="14" t="inlineStr">
        <is>
          <t>Permeability</t>
        </is>
      </c>
      <c r="B8" s="14" t="inlineStr">
        <is>
          <t>Retained as an input, not used as a stand-alone contact detector</t>
        </is>
      </c>
      <c r="C8" s="14" t="inlineStr">
        <is>
          <t>The research states permeability should be integrated with thickness/net rock and should not alone establish connectivity.</t>
        </is>
      </c>
      <c r="D8" s="14" t="inlineStr">
        <is>
          <t>A contact detector is not a permeability/connectivity model.</t>
        </is>
      </c>
    </row>
    <row r="9">
      <c r="A9" s="14" t="inlineStr">
        <is>
          <t>Sw check</t>
        </is>
      </c>
      <c r="B9" s="14" t="inlineStr">
        <is>
          <t>Lower interval Sw &gt;= upper interval Sw supports a downward increase in water saturation</t>
        </is>
      </c>
      <c r="C9" s="14" t="inlineStr">
        <is>
          <t>Provides a simple saturation-consistency diagnostic around candidate contacts.</t>
        </is>
      </c>
      <c r="D9" s="14" t="inlineStr">
        <is>
          <t>Sw behavior can be affected by sweep, transition zones and data quality.</t>
        </is>
      </c>
    </row>
    <row r="10">
      <c r="A10" s="14" t="inlineStr">
        <is>
          <t>Screening score</t>
        </is>
      </c>
      <c r="B10" s="14" t="inlineStr">
        <is>
          <t>Editable weighted combination of transition, Sw support and data completeness</t>
        </is>
      </c>
      <c r="C10" s="14" t="inlineStr">
        <is>
          <t>Provides transparent screening rather than a hidden black-box score.</t>
        </is>
      </c>
      <c r="D10" s="14" t="inlineStr">
        <is>
          <t>Weights are illustrative and must be calibrated; this score is NOT the DCI.</t>
        </is>
      </c>
    </row>
    <row r="11">
      <c r="A11" s="14" t="inlineStr">
        <is>
          <t>Dynamic update</t>
        </is>
      </c>
      <c r="B11" s="14" t="inlineStr">
        <is>
          <t>Reserved for future pressure/rate/4D integration</t>
        </is>
      </c>
      <c r="C11" s="14" t="inlineStr">
        <is>
          <t>Research proposes Bayesian updating from static prior to posterior connectivity.</t>
        </is>
      </c>
      <c r="D11" s="14" t="inlineStr">
        <is>
          <t>No dynamic history is contained in the current master template.</t>
        </is>
      </c>
    </row>
    <row r="14">
      <c r="A14" s="21" t="inlineStr">
        <is>
          <t>Source documents used to design this workbook</t>
        </is>
      </c>
    </row>
    <row r="15">
      <c r="A15" s="1" t="inlineStr">
        <is>
          <t>PhD_Paper_Integrated_Reservoir_Connectivity_Afsana_Zeynalli.pdf — fluid-contact architecture, theoretical shifted contacts, contact uncertainty, permeability integration, DCI/Bayesian framework.</t>
        </is>
      </c>
    </row>
    <row r="16">
      <c r="A16" s="1" t="inlineStr">
        <is>
          <t>CHIRAG_FLOWSCAPE_AGU_Manuscript(1).pdf — five-well Chirag workflow, formation-specific fluid columns, ±max(5 m, 3% of TST-S) screening envelope, uncertainty propagation.</t>
        </is>
      </c>
    </row>
    <row r="17">
      <c r="A17" s="1" t="inlineStr">
        <is>
          <t>PhD_Paper_Prediction of Remaining Oil and Well Placement in the Chirag Field.pdf — Balakhany VIII research context, contrasting fluid responses, connectivity analysis and future dynamic/ML integration.</t>
        </is>
      </c>
    </row>
  </sheetData>
  <mergeCells count="4">
    <mergeCell ref="A15:D15"/>
    <mergeCell ref="A17:D17"/>
    <mergeCell ref="A1:F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2026-08-26T14:42:18Z</dcterms:created>
  <dcterms:modified xmlns:dcterms="http://purl.org/dc/terms/" xmlns:xsi="http://www.w3.org/2001/XMLSchema-instance" xsi:type="dcterms:W3CDTF">2026-09-17T08:37:30Z</dcterms:modified>
  <cp:lastModifiedBy>Administrator</cp:lastModifiedBy>
</cp:coreProperties>
</file>